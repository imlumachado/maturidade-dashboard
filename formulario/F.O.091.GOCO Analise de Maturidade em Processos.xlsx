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d23091b390d060c3/Documentos/"/>
    </mc:Choice>
  </mc:AlternateContent>
  <xr:revisionPtr revIDLastSave="0" documentId="8_{5A4B7DE8-6887-409D-8597-06C3144DC7B5}" xr6:coauthVersionLast="47" xr6:coauthVersionMax="47" xr10:uidLastSave="{00000000-0000-0000-0000-000000000000}"/>
  <bookViews>
    <workbookView xWindow="-120" yWindow="-120" windowWidth="20730" windowHeight="11160" tabRatio="500" activeTab="4" xr2:uid="{00000000-000D-0000-FFFF-FFFF00000000}"/>
  </bookViews>
  <sheets>
    <sheet name="Documentos" sheetId="1" r:id="rId1"/>
    <sheet name="Indicadores" sheetId="9" r:id="rId2"/>
    <sheet name="Treinamento" sheetId="3" r:id="rId3"/>
    <sheet name="Qualidade" sheetId="4" r:id="rId4"/>
    <sheet name="Resumo" sheetId="5" r:id="rId5"/>
    <sheet name="Critérios" sheetId="6" r:id="rId6"/>
    <sheet name="Modelo de Score" sheetId="7" r:id="rId7"/>
    <sheet name="Como usar" sheetId="8" r:id="rId8"/>
  </sheets>
  <definedNames>
    <definedName name="_xlnm._FilterDatabase" localSheetId="0" hidden="1">Documentos!$A$1:$P$49</definedName>
  </definedNames>
  <calcPr calcId="191029"/>
</workbook>
</file>

<file path=xl/calcChain.xml><?xml version="1.0" encoding="utf-8"?>
<calcChain xmlns="http://schemas.openxmlformats.org/spreadsheetml/2006/main">
  <c r="B37" i="5" l="1"/>
  <c r="B36" i="5"/>
  <c r="B35" i="5"/>
  <c r="B34" i="5"/>
  <c r="B33" i="5"/>
  <c r="B32" i="5"/>
  <c r="B31" i="5"/>
  <c r="B30" i="5"/>
  <c r="B29" i="5"/>
  <c r="B26" i="5"/>
  <c r="B25" i="5"/>
  <c r="B24" i="5"/>
  <c r="B23" i="5"/>
  <c r="B22" i="5"/>
  <c r="B18" i="5"/>
  <c r="B21" i="5"/>
  <c r="B20" i="5"/>
  <c r="B19" i="5"/>
  <c r="P5" i="4"/>
  <c r="Q5" i="4"/>
  <c r="P3" i="4"/>
  <c r="O5" i="4"/>
  <c r="O4" i="4"/>
  <c r="N4" i="4"/>
  <c r="M4" i="4"/>
  <c r="L4" i="4"/>
  <c r="P4" i="4" s="1"/>
  <c r="P5" i="3"/>
  <c r="O5" i="3"/>
  <c r="N5" i="3"/>
  <c r="N4" i="3"/>
  <c r="M5" i="3"/>
  <c r="Q5" i="3" s="1"/>
  <c r="L3" i="9"/>
  <c r="L4" i="9"/>
  <c r="L5" i="9"/>
  <c r="L2" i="9"/>
  <c r="O5" i="9"/>
  <c r="N5" i="9"/>
  <c r="M5" i="9"/>
  <c r="K5" i="9"/>
  <c r="O4" i="9"/>
  <c r="N4" i="9"/>
  <c r="M4" i="9"/>
  <c r="K4" i="9"/>
  <c r="O3" i="9"/>
  <c r="N3" i="9"/>
  <c r="M3" i="9"/>
  <c r="K3" i="9"/>
  <c r="O2" i="9"/>
  <c r="N2" i="9"/>
  <c r="M2" i="9"/>
  <c r="K2" i="9"/>
  <c r="P2" i="9" s="1"/>
  <c r="L2" i="4"/>
  <c r="P3" i="9" l="1"/>
  <c r="P4" i="9"/>
  <c r="P5" i="9"/>
  <c r="E24" i="7"/>
  <c r="E23" i="7"/>
  <c r="E19" i="7"/>
  <c r="E18" i="7"/>
  <c r="E17" i="7"/>
  <c r="E13" i="7"/>
  <c r="E12" i="7"/>
  <c r="E11" i="7"/>
  <c r="E6" i="7"/>
  <c r="E5" i="7"/>
  <c r="E4" i="7"/>
  <c r="B46" i="5"/>
  <c r="B44" i="5"/>
  <c r="B43" i="5"/>
  <c r="B42" i="5"/>
  <c r="B41" i="5"/>
  <c r="B12" i="5"/>
  <c r="B11" i="5"/>
  <c r="B10" i="5"/>
  <c r="B8" i="5"/>
  <c r="B7" i="5"/>
  <c r="B6" i="5"/>
  <c r="B5" i="5"/>
  <c r="P4" i="3"/>
  <c r="O4" i="3"/>
  <c r="M4" i="3"/>
  <c r="P3" i="3"/>
  <c r="O3" i="3"/>
  <c r="N3" i="3"/>
  <c r="M3" i="3"/>
  <c r="P2" i="3"/>
  <c r="O2" i="3"/>
  <c r="N2" i="3"/>
  <c r="M2" i="3"/>
  <c r="Q49" i="1"/>
  <c r="P49" i="1"/>
  <c r="O49" i="1"/>
  <c r="N49" i="1"/>
  <c r="M49" i="1"/>
  <c r="L49" i="1"/>
  <c r="Q48" i="1"/>
  <c r="P48" i="1"/>
  <c r="O48" i="1"/>
  <c r="N48" i="1"/>
  <c r="M48" i="1"/>
  <c r="L48" i="1"/>
  <c r="Q47" i="1"/>
  <c r="P47" i="1"/>
  <c r="O47" i="1"/>
  <c r="N47" i="1"/>
  <c r="M47" i="1"/>
  <c r="L47" i="1"/>
  <c r="Q46" i="1"/>
  <c r="P46" i="1"/>
  <c r="O46" i="1"/>
  <c r="N46" i="1"/>
  <c r="M46" i="1"/>
  <c r="L46" i="1"/>
  <c r="Q45" i="1"/>
  <c r="P45" i="1"/>
  <c r="O45" i="1"/>
  <c r="N45" i="1"/>
  <c r="M45" i="1"/>
  <c r="L45" i="1"/>
  <c r="Q44" i="1"/>
  <c r="P44" i="1"/>
  <c r="O44" i="1"/>
  <c r="N44" i="1"/>
  <c r="M44" i="1"/>
  <c r="L44" i="1"/>
  <c r="Q43" i="1"/>
  <c r="P43" i="1"/>
  <c r="O43" i="1"/>
  <c r="N43" i="1"/>
  <c r="M43" i="1"/>
  <c r="L43" i="1"/>
  <c r="Q42" i="1"/>
  <c r="P42" i="1"/>
  <c r="O42" i="1"/>
  <c r="N42" i="1"/>
  <c r="M42" i="1"/>
  <c r="L42" i="1"/>
  <c r="Q41" i="1"/>
  <c r="P41" i="1"/>
  <c r="O41" i="1"/>
  <c r="N41" i="1"/>
  <c r="M41" i="1"/>
  <c r="L41" i="1"/>
  <c r="Q40" i="1"/>
  <c r="P40" i="1"/>
  <c r="O40" i="1"/>
  <c r="N40" i="1"/>
  <c r="M40" i="1"/>
  <c r="L40" i="1"/>
  <c r="Q39" i="1"/>
  <c r="P39" i="1"/>
  <c r="O39" i="1"/>
  <c r="N39" i="1"/>
  <c r="M39" i="1"/>
  <c r="L39" i="1"/>
  <c r="Q38" i="1"/>
  <c r="P38" i="1"/>
  <c r="O38" i="1"/>
  <c r="N38" i="1"/>
  <c r="M38" i="1"/>
  <c r="L38" i="1"/>
  <c r="Q37" i="1"/>
  <c r="P37" i="1"/>
  <c r="O37" i="1"/>
  <c r="N37" i="1"/>
  <c r="M37" i="1"/>
  <c r="L37" i="1"/>
  <c r="Q36" i="1"/>
  <c r="P36" i="1"/>
  <c r="O36" i="1"/>
  <c r="N36" i="1"/>
  <c r="M36" i="1"/>
  <c r="L36" i="1"/>
  <c r="Q35" i="1"/>
  <c r="P35" i="1"/>
  <c r="O35" i="1"/>
  <c r="N35" i="1"/>
  <c r="M35" i="1"/>
  <c r="L35" i="1"/>
  <c r="Q34" i="1"/>
  <c r="P34" i="1"/>
  <c r="O34" i="1"/>
  <c r="N34" i="1"/>
  <c r="M34" i="1"/>
  <c r="L34" i="1"/>
  <c r="Q33" i="1"/>
  <c r="P33" i="1"/>
  <c r="O33" i="1"/>
  <c r="N33" i="1"/>
  <c r="M33" i="1"/>
  <c r="L33" i="1"/>
  <c r="Q32" i="1"/>
  <c r="P32" i="1"/>
  <c r="O32" i="1"/>
  <c r="N32" i="1"/>
  <c r="M32" i="1"/>
  <c r="L32" i="1"/>
  <c r="Q31" i="1"/>
  <c r="P31" i="1"/>
  <c r="O31" i="1"/>
  <c r="N31" i="1"/>
  <c r="M31" i="1"/>
  <c r="L31" i="1"/>
  <c r="Q30" i="1"/>
  <c r="P30" i="1"/>
  <c r="O30" i="1"/>
  <c r="N30" i="1"/>
  <c r="M30" i="1"/>
  <c r="L30" i="1"/>
  <c r="Q29" i="1"/>
  <c r="P29" i="1"/>
  <c r="O29" i="1"/>
  <c r="N29" i="1"/>
  <c r="M29" i="1"/>
  <c r="L29" i="1"/>
  <c r="Q28" i="1"/>
  <c r="P28" i="1"/>
  <c r="O28" i="1"/>
  <c r="N28" i="1"/>
  <c r="M28" i="1"/>
  <c r="L28" i="1"/>
  <c r="Q27" i="1"/>
  <c r="P27" i="1"/>
  <c r="O27" i="1"/>
  <c r="N27" i="1"/>
  <c r="M27" i="1"/>
  <c r="L27" i="1"/>
  <c r="Q26" i="1"/>
  <c r="P26" i="1"/>
  <c r="O26" i="1"/>
  <c r="N26" i="1"/>
  <c r="M26" i="1"/>
  <c r="L26" i="1"/>
  <c r="Q25" i="1"/>
  <c r="P25" i="1"/>
  <c r="O25" i="1"/>
  <c r="N25" i="1"/>
  <c r="M25" i="1"/>
  <c r="L25" i="1"/>
  <c r="Q24" i="1"/>
  <c r="P24" i="1"/>
  <c r="O24" i="1"/>
  <c r="N24" i="1"/>
  <c r="M24" i="1"/>
  <c r="L24" i="1"/>
  <c r="Q23" i="1"/>
  <c r="P23" i="1"/>
  <c r="O23" i="1"/>
  <c r="N23" i="1"/>
  <c r="M23" i="1"/>
  <c r="L23" i="1"/>
  <c r="Q22" i="1"/>
  <c r="P22" i="1"/>
  <c r="O22" i="1"/>
  <c r="N22" i="1"/>
  <c r="M22" i="1"/>
  <c r="L22" i="1"/>
  <c r="Q21" i="1"/>
  <c r="P21" i="1"/>
  <c r="O21" i="1"/>
  <c r="N21" i="1"/>
  <c r="M21" i="1"/>
  <c r="L21" i="1"/>
  <c r="Q20" i="1"/>
  <c r="P20" i="1"/>
  <c r="O20" i="1"/>
  <c r="N20" i="1"/>
  <c r="M20" i="1"/>
  <c r="L20" i="1"/>
  <c r="Q19" i="1"/>
  <c r="P19" i="1"/>
  <c r="O19" i="1"/>
  <c r="N19" i="1"/>
  <c r="M19" i="1"/>
  <c r="L19" i="1"/>
  <c r="Q18" i="1"/>
  <c r="P18" i="1"/>
  <c r="O18" i="1"/>
  <c r="N18" i="1"/>
  <c r="M18" i="1"/>
  <c r="L18" i="1"/>
  <c r="Q17" i="1"/>
  <c r="P17" i="1"/>
  <c r="O17" i="1"/>
  <c r="N17" i="1"/>
  <c r="M17" i="1"/>
  <c r="L17" i="1"/>
  <c r="Q16" i="1"/>
  <c r="P16" i="1"/>
  <c r="O16" i="1"/>
  <c r="N16" i="1"/>
  <c r="M16" i="1"/>
  <c r="L16" i="1"/>
  <c r="Q15" i="1"/>
  <c r="P15" i="1"/>
  <c r="O15" i="1"/>
  <c r="N15" i="1"/>
  <c r="M15" i="1"/>
  <c r="L15" i="1"/>
  <c r="Q14" i="1"/>
  <c r="P14" i="1"/>
  <c r="O14" i="1"/>
  <c r="N14" i="1"/>
  <c r="M14" i="1"/>
  <c r="L14" i="1"/>
  <c r="Q13" i="1"/>
  <c r="P13" i="1"/>
  <c r="O13" i="1"/>
  <c r="N13" i="1"/>
  <c r="M13" i="1"/>
  <c r="L13" i="1"/>
  <c r="Q12" i="1"/>
  <c r="P12" i="1"/>
  <c r="O12" i="1"/>
  <c r="N12" i="1"/>
  <c r="M12" i="1"/>
  <c r="L12" i="1"/>
  <c r="Q11" i="1"/>
  <c r="P11" i="1"/>
  <c r="O11" i="1"/>
  <c r="N11" i="1"/>
  <c r="M11" i="1"/>
  <c r="L11" i="1"/>
  <c r="Q10" i="1"/>
  <c r="P10" i="1"/>
  <c r="O10" i="1"/>
  <c r="N10" i="1"/>
  <c r="M10" i="1"/>
  <c r="L10" i="1"/>
  <c r="Q9" i="1"/>
  <c r="P9" i="1"/>
  <c r="O9" i="1"/>
  <c r="N9" i="1"/>
  <c r="M9" i="1"/>
  <c r="L9" i="1"/>
  <c r="Q8" i="1"/>
  <c r="P8" i="1"/>
  <c r="O8" i="1"/>
  <c r="N8" i="1"/>
  <c r="M8" i="1"/>
  <c r="L8" i="1"/>
  <c r="Q7" i="1"/>
  <c r="P7" i="1"/>
  <c r="O7" i="1"/>
  <c r="N7" i="1"/>
  <c r="M7" i="1"/>
  <c r="L7" i="1"/>
  <c r="O6" i="1"/>
  <c r="N6" i="1"/>
  <c r="M6" i="1"/>
  <c r="L6" i="1"/>
  <c r="O5" i="1"/>
  <c r="P5" i="1" s="1"/>
  <c r="N5" i="1"/>
  <c r="M5" i="1"/>
  <c r="L5" i="1"/>
  <c r="O4" i="1"/>
  <c r="N4" i="1"/>
  <c r="M4" i="1"/>
  <c r="L4" i="1"/>
  <c r="O3" i="1"/>
  <c r="N3" i="1"/>
  <c r="M3" i="1"/>
  <c r="L3" i="1"/>
  <c r="O2" i="1"/>
  <c r="N2" i="1"/>
  <c r="M2" i="1"/>
  <c r="L2" i="1"/>
  <c r="Q4" i="4"/>
  <c r="N5" i="4"/>
  <c r="M5" i="4"/>
  <c r="O3" i="4"/>
  <c r="N3" i="4"/>
  <c r="M3" i="4"/>
  <c r="L3" i="4"/>
  <c r="O2" i="4"/>
  <c r="N2" i="4"/>
  <c r="M2" i="4"/>
  <c r="F8" i="7" l="1"/>
  <c r="P4" i="1"/>
  <c r="P6" i="1"/>
  <c r="P2" i="1"/>
  <c r="P3" i="1"/>
  <c r="Q2" i="3"/>
  <c r="Q4" i="3"/>
  <c r="F20" i="7"/>
  <c r="Q3" i="3"/>
  <c r="Q2" i="9"/>
  <c r="Q3" i="9"/>
  <c r="Q5" i="9"/>
  <c r="Q4" i="9"/>
  <c r="F25" i="7"/>
  <c r="P2" i="4"/>
  <c r="B50" i="5"/>
  <c r="F14" i="7"/>
  <c r="Q2" i="1" l="1"/>
  <c r="Q4" i="1"/>
  <c r="Q6" i="1"/>
  <c r="Q5" i="1"/>
  <c r="B9" i="5"/>
  <c r="B49" i="5" s="1"/>
  <c r="Q3" i="1"/>
  <c r="B4" i="5"/>
  <c r="Q2" i="4"/>
  <c r="R3" i="3"/>
  <c r="R5" i="3"/>
  <c r="R4" i="3"/>
  <c r="R2" i="3"/>
  <c r="B51" i="5"/>
  <c r="B40" i="5"/>
  <c r="Q3" i="4"/>
  <c r="B45" i="5"/>
  <c r="B52" i="5" s="1"/>
  <c r="B54" i="5" s="1"/>
</calcChain>
</file>

<file path=xl/sharedStrings.xml><?xml version="1.0" encoding="utf-8"?>
<sst xmlns="http://schemas.openxmlformats.org/spreadsheetml/2006/main" count="613" uniqueCount="286">
  <si>
    <t>ID Avaliação</t>
  </si>
  <si>
    <t>Data da avaliação</t>
  </si>
  <si>
    <t>Operação</t>
  </si>
  <si>
    <t>Frente avaliada</t>
  </si>
  <si>
    <t>Item avaliado</t>
  </si>
  <si>
    <t>Quantidade</t>
  </si>
  <si>
    <t>Existe?</t>
  </si>
  <si>
    <t>Está atualizado?</t>
  </si>
  <si>
    <t>Última atualização</t>
  </si>
  <si>
    <t>Padronizado?</t>
  </si>
  <si>
    <t>Conforme?</t>
  </si>
  <si>
    <t>Existência</t>
  </si>
  <si>
    <t>Atualização</t>
  </si>
  <si>
    <t>Padrão</t>
  </si>
  <si>
    <t>Conformidade</t>
  </si>
  <si>
    <t>Score</t>
  </si>
  <si>
    <t>Geral</t>
  </si>
  <si>
    <t>Observação</t>
  </si>
  <si>
    <t>Plano de Ação</t>
  </si>
  <si>
    <t>Responsável</t>
  </si>
  <si>
    <t>Prazo</t>
  </si>
  <si>
    <t>Status da Ação</t>
  </si>
  <si>
    <t>Mobilize</t>
  </si>
  <si>
    <t>Banco — N1</t>
  </si>
  <si>
    <t>Monitoria — Encerramento de leasing</t>
  </si>
  <si>
    <t>SIM</t>
  </si>
  <si>
    <t>N/A</t>
  </si>
  <si>
    <t>NÃO</t>
  </si>
  <si>
    <t>Não Conformidade</t>
  </si>
  <si>
    <t>A monitoria existe, porém o formulário é genérico e não possui avaliação específica para Encerramento de Leasing. O processo é avaliado de modo geral, com foco em FCR, informações corretas e classificação para N2. A Wiki foi vista como base, mas não foi evidenciada sua utilização na contestação ou resposta à operação. O formulário 'Back Office Banco / Locadora - Checklist 2025' não possui histórico de atualização ou aprovação, nem rotina de revisão.</t>
  </si>
  <si>
    <t>Criar critérios específicos para Encerramento de Leasing; separar requisitos comportamentais e processuais; formalizar revisão, aprovação e histórico do checklist; exigir evidência da referência utilizada em contestação e resposta.</t>
  </si>
  <si>
    <t>Qualidade e operação</t>
  </si>
  <si>
    <t>A definir</t>
  </si>
  <si>
    <t>Aguardando ação</t>
  </si>
  <si>
    <t>Backoffice — N2</t>
  </si>
  <si>
    <t>Monitoria — Cessão de Direitos</t>
  </si>
  <si>
    <t>A monitoria existe e a avaliação registrada recebeu nota 100. Entretanto, o formulário é genérico para Banco e Locadora e não separa aspectos comportamentais e processuais solicitados pela operação. Foram evidenciados acompanhamento de telas e consulta à Wiki 'Cessão de Direitos - dúvidas e informações'. O documento D.C.198.EXTE, versão 2.0, de 21/06/2024, apresenta problema na data de edição.</t>
  </si>
  <si>
    <t>Revisar e aprovar o checklist; criar critérios específicos por frente e processo; separar itens comportamentais e processuais; corrigir e validar a data de edição do D.C.198.EXTE; estabelecer rotina de atualização.</t>
  </si>
  <si>
    <t>Clube FIQ</t>
  </si>
  <si>
    <t>Monitoria — Clube FIQ</t>
  </si>
  <si>
    <t>Não há monitoria do Clube FIQ há três meses devido à reformulação em andamento.</t>
  </si>
  <si>
    <t>Retomar as monitorias após a definição dos novos fluxos; formalizar critérios, formulário, frequência, responsável e aprovação.</t>
  </si>
  <si>
    <t>Qualidade e gestão do Clube FIQ</t>
  </si>
  <si>
    <t>Nome_Documento</t>
  </si>
  <si>
    <t xml:space="preserve"> Padrão</t>
  </si>
  <si>
    <t>Documentação</t>
  </si>
  <si>
    <t>D.C.231.EXTE - Emissão de boletos e duvidas frequêntes</t>
  </si>
  <si>
    <t>NC 01: divergências de versão e data; o relatório não identifica a frente, o processo nem a data válida. Data da avaliação registrada pelo cabeçalho: 18/09/2026; o rodapé do relatório indica 16/09/2026.</t>
  </si>
  <si>
    <t>Validar versão, data e código do documento; atualizar o repositório e preservar a rastreabilidade.</t>
  </si>
  <si>
    <t>Equipe de processos</t>
  </si>
  <si>
    <t>Locadora — N1</t>
  </si>
  <si>
    <t>D.C.1504.EXTE - Promessa de pagamento e baixa de pagamento</t>
  </si>
  <si>
    <t>NC 03: datas de criação, modificação e aprovação duplicadas; o relatório não informa processo ou frente.</t>
  </si>
  <si>
    <t>Corrigir as datas e validar a trilha de criação, modificação e aprovação no controle documental.</t>
  </si>
  <si>
    <t>Backoffice Locadora — N2</t>
  </si>
  <si>
    <t>D.C.136.EXTE - Seguros e Sinistros</t>
  </si>
  <si>
    <t>O documento é denominado fluxograma, mas foi descrito como material de orientação ou passo a passo. Processo, frente e atualização não foram informados.</t>
  </si>
  <si>
    <t>Validar a classificação documental, o conteúdo, a versão vigente e o vínculo com o processo aplicável.</t>
  </si>
  <si>
    <t>Backoffice — Banco N2</t>
  </si>
  <si>
    <t>D.C.016.EXTE - Kit pós aprovado - Cessão de direitos</t>
  </si>
  <si>
    <t>A sequência documental deve ser explicitada e os SLAs por fila precisam ser confirmados.</t>
  </si>
  <si>
    <t>Organizar a cadeia documental por etapa, confirmar os SLAs e publicar a referência vigente.</t>
  </si>
  <si>
    <t>Jeferson Oliveira</t>
  </si>
  <si>
    <t>I.T.179.OPER - ORIENTAR QUANTO A TRATATIVA DE CLIENTES VIA CHAT</t>
  </si>
  <si>
    <t xml:space="preserve"> Wikis desatualizadas e ausência de classificação de criticidade consolidada para todos os processos.</t>
  </si>
  <si>
    <t>Atualizar Wikis e scripts, consolidar a criticidade e registrar aprovação, versão e vigência.</t>
  </si>
  <si>
    <t>Gestão do Clube FIQ e Processos</t>
  </si>
  <si>
    <t>Nome_Indicador</t>
  </si>
  <si>
    <t>Existe indicador?</t>
  </si>
  <si>
    <t>Como é atualizado?</t>
  </si>
  <si>
    <t>No padrão?</t>
  </si>
  <si>
    <t>Score Indicadores</t>
  </si>
  <si>
    <t>Automático</t>
  </si>
  <si>
    <t>Não Conformidade Grave</t>
  </si>
  <si>
    <t>Material de treinamento e reciclagem — Banco N1</t>
  </si>
  <si>
    <t>NC 08: material existente sem controle de versão e sem evidência individual completa da reciclagem. Atualização e padronização não foram demonstradas.</t>
  </si>
  <si>
    <t>Versionar o material, vincular as fontes vigentes e completar a evidência individual da reciclagem.</t>
  </si>
  <si>
    <t>Material e plano de treinamento — Locadora N1</t>
  </si>
  <si>
    <t>Há planos e materiais, porém faltou rastreabilidade da evidência individual. Atualização e padronização não foram demonstradas de forma suficiente.</t>
  </si>
  <si>
    <t>Vincular fontes vigentes, registrar versão e manter evidência individual da aplicação e reciclagem.</t>
  </si>
  <si>
    <t>Estrutura de treinamento — BackOffice N2</t>
  </si>
  <si>
    <t>A estrutura foi considerada compatível, mas o relatório não apresenta data de atualização nem evidência suficiente de padronização do material.</t>
  </si>
  <si>
    <t>Manter a estrutura e complementar os registros de atualização, versão, padrão e fontes utilizadas.</t>
  </si>
  <si>
    <t>RESUMO DA AVALIAÇÃO</t>
  </si>
  <si>
    <t>Indicador</t>
  </si>
  <si>
    <t>Resultado</t>
  </si>
  <si>
    <t>Faixa do Score</t>
  </si>
  <si>
    <t>Interpretação</t>
  </si>
  <si>
    <t>Documentações avaliadas</t>
  </si>
  <si>
    <t>0–25</t>
  </si>
  <si>
    <t>Baixissíma maturidade documental</t>
  </si>
  <si>
    <t>Documentações existentes</t>
  </si>
  <si>
    <t>26-35</t>
  </si>
  <si>
    <t>Baixa maturidade documental</t>
  </si>
  <si>
    <t>Documentações atualizadas</t>
  </si>
  <si>
    <t>36-75</t>
  </si>
  <si>
    <t>Maturidade intermediária</t>
  </si>
  <si>
    <t>Documentações no padrão</t>
  </si>
  <si>
    <t>76-85</t>
  </si>
  <si>
    <t>Boa maturidade documental</t>
  </si>
  <si>
    <t>Documentação Em Conformidade</t>
  </si>
  <si>
    <t>86-100</t>
  </si>
  <si>
    <t>Excelente maturidade documental</t>
  </si>
  <si>
    <t>Score médio de documentação</t>
  </si>
  <si>
    <t>% de existência</t>
  </si>
  <si>
    <t>% atualizado</t>
  </si>
  <si>
    <t>Observação metodológica</t>
  </si>
  <si>
    <t>% no padrão</t>
  </si>
  <si>
    <t>O Score Documentação é calculado por documentação e considera igualmente Existência, Atualização e Padrão. A volumetria (Quantidade) fica registrada para permitir análises posteriores de cobertura e ponderação.</t>
  </si>
  <si>
    <t>INDICADORES</t>
  </si>
  <si>
    <t>Indicadores avaliados</t>
  </si>
  <si>
    <t>Indicadores existentes</t>
  </si>
  <si>
    <t>Indicadores atualizados (automático ou manual)</t>
  </si>
  <si>
    <t>Indicadores no padrão</t>
  </si>
  <si>
    <t>Indicadores em conformidade</t>
  </si>
  <si>
    <t>Score médio de Indicadores</t>
  </si>
  <si>
    <t>% atualizado (automático/manual)</t>
  </si>
  <si>
    <t>TREINAMENTO</t>
  </si>
  <si>
    <t>Itens de treinamento avaliados</t>
  </si>
  <si>
    <t>Itens de treinamento existentes</t>
  </si>
  <si>
    <t>Itens de treinamento atualizados</t>
  </si>
  <si>
    <t>Itens de treinamento no padrão</t>
  </si>
  <si>
    <t>Itens de treinamento em conformidade</t>
  </si>
  <si>
    <t>Score médio de Treinamento</t>
  </si>
  <si>
    <t>QUALIDADE</t>
  </si>
  <si>
    <t>Itens de qualidade avaliados</t>
  </si>
  <si>
    <t>Itens de qualidade existentes</t>
  </si>
  <si>
    <t>Itens de qualidade atualizados</t>
  </si>
  <si>
    <t>Itens de qualidade no padrão</t>
  </si>
  <si>
    <t>Itens de qualidade em conformidade</t>
  </si>
  <si>
    <t>Score médio de Qualidade</t>
  </si>
  <si>
    <t>SCORE GERAL DE MATURIDADE (Documentação + Indicadores + Treinamento + Qualidade)</t>
  </si>
  <si>
    <t>Score Documentação</t>
  </si>
  <si>
    <t>Score Treinamento</t>
  </si>
  <si>
    <t>Score Qualidade</t>
  </si>
  <si>
    <t>SCORE GERAL DE MATURIDADE</t>
  </si>
  <si>
    <t>CRITÉRIOS E REGRAS DE PREENCHIMENTO</t>
  </si>
  <si>
    <t>Campo</t>
  </si>
  <si>
    <t>O que registrar</t>
  </si>
  <si>
    <t>Tipo</t>
  </si>
  <si>
    <t>Obrigatório?</t>
  </si>
  <si>
    <t>Regra</t>
  </si>
  <si>
    <t>Exemplo</t>
  </si>
  <si>
    <t>Data em que a análise foi realizada.</t>
  </si>
  <si>
    <t>Data</t>
  </si>
  <si>
    <t>Sim</t>
  </si>
  <si>
    <t>Usar dd/mm/aaaa.</t>
  </si>
  <si>
    <t>11/08/2026</t>
  </si>
  <si>
    <t>Nome da operação analisada.</t>
  </si>
  <si>
    <t>Texto</t>
  </si>
  <si>
    <t>Padronizar nomenclatura.</t>
  </si>
  <si>
    <t>Operação A</t>
  </si>
  <si>
    <t>Processo avaliado</t>
  </si>
  <si>
    <t>Processo ao qual a documentação pertence.</t>
  </si>
  <si>
    <t>Um processo pode ter vários documentos.</t>
  </si>
  <si>
    <t>Admissão</t>
  </si>
  <si>
    <t>Nome do documento analisado.</t>
  </si>
  <si>
    <t>Uma linha por documento.</t>
  </si>
  <si>
    <t>POP - Admissão</t>
  </si>
  <si>
    <t>Quantidade/volumetria relacionada ao processo ou documentação.</t>
  </si>
  <si>
    <t>Número</t>
  </si>
  <si>
    <t>Use para análises de cobertura e ponderação futura.</t>
  </si>
  <si>
    <t>3</t>
  </si>
  <si>
    <t>Se existe documentação suficiente para a necessidade avaliada.</t>
  </si>
  <si>
    <t>SIM/NÃO</t>
  </si>
  <si>
    <t>SIM = existe; NÃO = não existe.</t>
  </si>
  <si>
    <t>Se a documentação está vigente/atualizada.</t>
  </si>
  <si>
    <t>Avaliar conforme periodicidade ou necessidade definida.</t>
  </si>
  <si>
    <t>Data da última revisão/atualização conhecida.</t>
  </si>
  <si>
    <t>Quando houver</t>
  </si>
  <si>
    <t>Se não houver registro, deixar em branco e avaliar Atualização.</t>
  </si>
  <si>
    <t>05/06/2026</t>
  </si>
  <si>
    <t>Se atende ao padrão documental definido pela empresa.</t>
  </si>
  <si>
    <t>Considerar template, identificação, aprovação, versionamento etc.</t>
  </si>
  <si>
    <t>Resultado automático.</t>
  </si>
  <si>
    <t>Fórmula</t>
  </si>
  <si>
    <t>Média de Existência, Atualização e Padrão × 100.</t>
  </si>
  <si>
    <t>67</t>
  </si>
  <si>
    <t>Não Conformidade Grave, Não Conformidade Pontual , Conformidade</t>
  </si>
  <si>
    <t>Texto livre para definir especificidades</t>
  </si>
  <si>
    <t>Nome do indicador avaliado.</t>
  </si>
  <si>
    <t>Um indicador por linha.</t>
  </si>
  <si>
    <t>Taxa de Absenteísmo</t>
  </si>
  <si>
    <t>Se existe indicador formalizado para o processo/área avaliada.</t>
  </si>
  <si>
    <t>Forma como o indicador é atualizado.</t>
  </si>
  <si>
    <t>Lista</t>
  </si>
  <si>
    <t>Automático = atualização via sistema/BI; Manual = planilha/atualização manual; Não atualizado = sem rotina de atualização.</t>
  </si>
  <si>
    <t>Se o indicador segue o padrão definido (meta, periodicidade, dono, fórmula documentada).</t>
  </si>
  <si>
    <t>Considerar meta, periodicidade e responsável definidos.</t>
  </si>
  <si>
    <t>Média de Existência, Atualização, Padrão e Conformidade × 100.</t>
  </si>
  <si>
    <t>75</t>
  </si>
  <si>
    <t>Nome_Treinamento</t>
  </si>
  <si>
    <t>Nome do treinamento avaliado.</t>
  </si>
  <si>
    <t>Um treinamento por linha.</t>
  </si>
  <si>
    <t>Treinamento - Admissão</t>
  </si>
  <si>
    <t>Treinamento está coerente aos documentos?</t>
  </si>
  <si>
    <t>Se o conteúdo do treinamento reflete o que está documentado (POP/Política).</t>
  </si>
  <si>
    <t>Comparar treinamento vigente com a documentação vigente.</t>
  </si>
  <si>
    <t>Treinamento foi aplicado?</t>
  </si>
  <si>
    <t>Se o treinamento foi de fato aplicado ao time.</t>
  </si>
  <si>
    <t>Considerar evidência de aplicação (lista de presença, LMS etc.).</t>
  </si>
  <si>
    <t>Houve atualização?</t>
  </si>
  <si>
    <t>Se o treinamento foi atualizado após a última mudança no processo/documento.</t>
  </si>
  <si>
    <t>SIM = atualizado após última mudança; NÃO = desatualizado.</t>
  </si>
  <si>
    <t>Média de Coerência, Aplicação, Atualização e Conformidade × 100.</t>
  </si>
  <si>
    <t>Processo Monitorado</t>
  </si>
  <si>
    <t>Nome do processo objeto da monitoria de qualidade.</t>
  </si>
  <si>
    <t>Uma linha por processo monitorado.</t>
  </si>
  <si>
    <t>Foram feitas monitorias de qualidade?</t>
  </si>
  <si>
    <t>Se existe rotina de monitoria de qualidade para o processo.</t>
  </si>
  <si>
    <t>SIM = existe monitoria; NÃO = não existe.</t>
  </si>
  <si>
    <t>Como são feitas as monitorias?</t>
  </si>
  <si>
    <t>Abrangência da monitoria realizada.</t>
  </si>
  <si>
    <t>Integral = 100% dos casos; Amostral = por amostragem; Não realizada = sem monitoria.</t>
  </si>
  <si>
    <t>Amostral</t>
  </si>
  <si>
    <t>Média de Existência, Abrangência e Conformidade × 100.</t>
  </si>
  <si>
    <t>MODELO DE SCORE — BASE PARA EVOLUÇÃO DA MATURIDADE</t>
  </si>
  <si>
    <t>Dimensão</t>
  </si>
  <si>
    <t>Pontuação atual</t>
  </si>
  <si>
    <t>Peso sugerido</t>
  </si>
  <si>
    <t>Score ponderado</t>
  </si>
  <si>
    <t>Fonte</t>
  </si>
  <si>
    <t>Existe documentação?</t>
  </si>
  <si>
    <t>1 = SIM / 0 = NÃO</t>
  </si>
  <si>
    <t>Avaliação</t>
  </si>
  <si>
    <t>Pode ser refinado para medir cobertura do processo.</t>
  </si>
  <si>
    <t>Pode incorporar faixas por idade da revisão.</t>
  </si>
  <si>
    <t>Está no padrão?</t>
  </si>
  <si>
    <t>Pode evoluir para checklist de conformidade.</t>
  </si>
  <si>
    <t>Volumetria</t>
  </si>
  <si>
    <t>Valor registrado</t>
  </si>
  <si>
    <t>Não entra no score inicial; recomenda-se usar depois como peso de criticidade/cobertura.</t>
  </si>
  <si>
    <t>Score consolidado</t>
  </si>
  <si>
    <t>INDICADORES — PESO 1/4 DO SCORE GERAL</t>
  </si>
  <si>
    <t>Indicador formalizado para o processo/área.</t>
  </si>
  <si>
    <t>1=Automático / 0,5=Manual / 0=Não atualizado</t>
  </si>
  <si>
    <t>Automação da atualização eleva a maturidade.</t>
  </si>
  <si>
    <t>Meta, periodicidade e dono definidos.</t>
  </si>
  <si>
    <t>TREINAMENTO — PESO 1/4 DO SCORE GERAL</t>
  </si>
  <si>
    <t>Coerência</t>
  </si>
  <si>
    <t>Treinamento coerente aos documentos?</t>
  </si>
  <si>
    <t>Conteúdo alinhado ao documento vigente.</t>
  </si>
  <si>
    <t>Aplicação</t>
  </si>
  <si>
    <t>Evidência de aplicação ao time.</t>
  </si>
  <si>
    <t>Atualizado após última mudança no processo.</t>
  </si>
  <si>
    <t>QUALIDADE — PESO 1/4 DO SCORE GERAL</t>
  </si>
  <si>
    <t>Rotina de monitoria existente.</t>
  </si>
  <si>
    <t>Abrangência</t>
  </si>
  <si>
    <t>1=Integral / 0,5=Amostral / 0=Não realizada</t>
  </si>
  <si>
    <t>Monitoria integral indica maior maturidade.</t>
  </si>
  <si>
    <t>COMO UTILIZAR O FORMULÁRIO</t>
  </si>
  <si>
    <t>1</t>
  </si>
  <si>
    <t>Defina a operação</t>
  </si>
  <si>
    <t>Informe a operação que será avaliada.</t>
  </si>
  <si>
    <t>2</t>
  </si>
  <si>
    <t>Liste os processos</t>
  </si>
  <si>
    <t>Registre cada processo que será objeto da análise.</t>
  </si>
  <si>
    <t>Registre as documentações</t>
  </si>
  <si>
    <t>Para cada documento, use uma nova linha. Se um processo possuir 3 documentos, serão 3 linhas para o mesmo processo.</t>
  </si>
  <si>
    <t>4</t>
  </si>
  <si>
    <t>Avalie cada documento</t>
  </si>
  <si>
    <t>Preencha Existência, Atualização, Última atualização e No padrão?.</t>
  </si>
  <si>
    <t>5</t>
  </si>
  <si>
    <t>Observe a volumetria</t>
  </si>
  <si>
    <t>Use Quantidade para registrar a dimensão do processo/documentação. Essa informação ficará disponível para o score de cobertura/criticidade em uma etapa posterior.</t>
  </si>
  <si>
    <t>6</t>
  </si>
  <si>
    <t>Consulte o resumo</t>
  </si>
  <si>
    <t>A aba Resumo consolida os principais indicadores e o score documental.</t>
  </si>
  <si>
    <t>Estrutura recomendada</t>
  </si>
  <si>
    <t>1 Processo → 1 ou N Documentações → 1 avaliação por documentação</t>
  </si>
  <si>
    <t>Novos módulos</t>
  </si>
  <si>
    <t>7</t>
  </si>
  <si>
    <t>Preencha Indicadores</t>
  </si>
  <si>
    <t>Aba "Indicadores": para cada indicador do processo, informe se existe, como é atualizado (Automático/Manual/Não atualizado) e se está no padrão.</t>
  </si>
  <si>
    <t>8</t>
  </si>
  <si>
    <t>Preencha Treinamento</t>
  </si>
  <si>
    <t>Aba "Treinamento": para cada treinamento, informe se está coerente aos documentos, se foi aplicado e se houve atualização.</t>
  </si>
  <si>
    <t>9</t>
  </si>
  <si>
    <t>Preencha Qualidade</t>
  </si>
  <si>
    <t>Aba "Qualidade": para cada processo, informe se há monitoria de qualidade e como ela é feita (Integral/Amostral/Não realizada).</t>
  </si>
  <si>
    <t>10</t>
  </si>
  <si>
    <t>Consulte o Score Geral</t>
  </si>
  <si>
    <t>A aba Resumo agora consolida o Score Documentação, Indicadores, Treinamento e Qualidade em um "Score Geral de Maturidade" (média dos 4 pilares).</t>
  </si>
  <si>
    <t>Treinamento e Processos</t>
  </si>
  <si>
    <t>Sube Aplicação</t>
  </si>
  <si>
    <t>Monitoria — Infração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</si>
</sst>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0.0"/>
    <numFmt numFmtId="166" formatCode="0.0%"/>
  </numFmts>
  <fonts count="15" x14ac:knownFonts="1">
    <font>
      <sz val="11"/>
      <color theme="1"/>
      <name val="Calibri"/>
      <charset val="1"/>
    </font>
    <font>
      <sz val="9"/>
      <color rgb="FFFFFFFF"/>
      <name val="Calibri"/>
      <charset val="1"/>
    </font>
    <font>
      <sz val="9"/>
      <color theme="1"/>
      <name val="Calibri"/>
      <charset val="1"/>
    </font>
    <font>
      <b/>
      <sz val="14"/>
      <color rgb="FFFFFFFF"/>
      <name val="Stack Sans Notch"/>
      <charset val="1"/>
    </font>
    <font>
      <b/>
      <sz val="11"/>
      <color rgb="FFFFFFFF"/>
      <name val="Stack Sans Notch"/>
      <charset val="1"/>
    </font>
    <font>
      <sz val="11"/>
      <color theme="1"/>
      <name val="Stack Sans Notch"/>
      <charset val="1"/>
    </font>
    <font>
      <sz val="11"/>
      <name val="Calibri"/>
      <charset val="1"/>
    </font>
    <font>
      <b/>
      <sz val="12"/>
      <name val="Calibri"/>
      <charset val="1"/>
    </font>
    <font>
      <b/>
      <sz val="11"/>
      <color theme="1"/>
      <name val="Stack Sans Notch"/>
      <charset val="1"/>
    </font>
    <font>
      <b/>
      <sz val="11"/>
      <color theme="1"/>
      <name val="Calibri"/>
      <charset val="1"/>
    </font>
    <font>
      <b/>
      <sz val="11"/>
      <name val="Calibri"/>
      <charset val="1"/>
    </font>
    <font>
      <sz val="11"/>
      <color theme="1"/>
      <name val="Calibri"/>
      <charset val="1"/>
    </font>
    <font>
      <sz val="9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2F0D9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00B05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2">
    <xf numFmtId="0" fontId="0" fillId="0" borderId="0"/>
    <xf numFmtId="9" fontId="11" fillId="0" borderId="0"/>
  </cellStyleXfs>
  <cellXfs count="6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2" fontId="0" fillId="0" borderId="0" xfId="0" applyNumberFormat="1" applyAlignment="1">
      <alignment vertical="top" wrapText="1"/>
    </xf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/>
    <xf numFmtId="0" fontId="4" fillId="2" borderId="0" xfId="0" applyFont="1" applyFill="1"/>
    <xf numFmtId="0" fontId="5" fillId="4" borderId="1" xfId="0" applyFont="1" applyFill="1" applyBorder="1"/>
    <xf numFmtId="0" fontId="0" fillId="0" borderId="1" xfId="0" applyBorder="1" applyAlignment="1">
      <alignment horizontal="center" vertical="center"/>
    </xf>
    <xf numFmtId="0" fontId="0" fillId="5" borderId="0" xfId="0" applyFill="1"/>
    <xf numFmtId="0" fontId="0" fillId="3" borderId="0" xfId="0" applyFill="1"/>
    <xf numFmtId="0" fontId="0" fillId="6" borderId="0" xfId="0" applyFill="1"/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6" fillId="0" borderId="1" xfId="0" applyFont="1" applyBorder="1"/>
    <xf numFmtId="1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7" fillId="0" borderId="1" xfId="0" applyFont="1" applyBorder="1"/>
    <xf numFmtId="165" fontId="7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center" wrapText="1"/>
    </xf>
    <xf numFmtId="0" fontId="8" fillId="2" borderId="0" xfId="0" applyFont="1" applyFill="1"/>
    <xf numFmtId="165" fontId="9" fillId="0" borderId="0" xfId="0" applyNumberFormat="1" applyFont="1"/>
    <xf numFmtId="165" fontId="0" fillId="0" borderId="0" xfId="0" applyNumberFormat="1"/>
    <xf numFmtId="0" fontId="9" fillId="0" borderId="0" xfId="0" applyFont="1"/>
    <xf numFmtId="0" fontId="0" fillId="0" borderId="0" xfId="0" applyAlignment="1">
      <alignment wrapText="1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vertical="center" wrapText="1"/>
    </xf>
    <xf numFmtId="0" fontId="10" fillId="0" borderId="0" xfId="0" applyFont="1"/>
    <xf numFmtId="14" fontId="0" fillId="0" borderId="1" xfId="0" applyNumberFormat="1" applyBorder="1" applyAlignment="1">
      <alignment vertical="top" wrapText="1"/>
    </xf>
    <xf numFmtId="14" fontId="0" fillId="0" borderId="0" xfId="0" applyNumberFormat="1"/>
    <xf numFmtId="165" fontId="0" fillId="0" borderId="1" xfId="0" applyNumberFormat="1" applyBorder="1" applyAlignment="1">
      <alignment vertical="top" wrapText="1"/>
    </xf>
    <xf numFmtId="165" fontId="0" fillId="0" borderId="0" xfId="0" applyNumberFormat="1" applyAlignment="1">
      <alignment vertical="top" wrapText="1"/>
    </xf>
    <xf numFmtId="14" fontId="0" fillId="4" borderId="1" xfId="0" applyNumberFormat="1" applyFill="1" applyBorder="1"/>
    <xf numFmtId="165" fontId="0" fillId="0" borderId="1" xfId="0" applyNumberFormat="1" applyBorder="1"/>
    <xf numFmtId="9" fontId="0" fillId="0" borderId="1" xfId="1" applyFont="1" applyBorder="1" applyAlignment="1">
      <alignment vertical="top" wrapText="1"/>
    </xf>
    <xf numFmtId="9" fontId="6" fillId="0" borderId="1" xfId="1" applyFont="1" applyBorder="1" applyAlignment="1">
      <alignment vertical="center" wrapText="1"/>
    </xf>
    <xf numFmtId="9" fontId="6" fillId="4" borderId="1" xfId="1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0" borderId="0" xfId="0" applyFont="1"/>
    <xf numFmtId="0" fontId="0" fillId="4" borderId="1" xfId="0" applyFill="1" applyBorder="1" applyAlignment="1">
      <alignment wrapText="1"/>
    </xf>
    <xf numFmtId="0" fontId="13" fillId="0" borderId="0" xfId="0" applyFont="1" applyAlignment="1">
      <alignment wrapText="1"/>
    </xf>
    <xf numFmtId="1" fontId="0" fillId="0" borderId="1" xfId="0" applyNumberFormat="1" applyBorder="1"/>
    <xf numFmtId="2" fontId="0" fillId="0" borderId="0" xfId="0" applyNumberFormat="1"/>
    <xf numFmtId="0" fontId="3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0" fontId="0" fillId="0" borderId="0" xfId="0" applyAlignment="1">
      <alignment vertical="center" wrapText="1"/>
    </xf>
    <xf numFmtId="0" fontId="14" fillId="0" borderId="0" xfId="0" applyFont="1"/>
    <xf numFmtId="0" fontId="0" fillId="4" borderId="0" xfId="0" applyFill="1" applyBorder="1"/>
    <xf numFmtId="0" fontId="14" fillId="4" borderId="1" xfId="0" applyFont="1" applyFill="1" applyBorder="1"/>
    <xf numFmtId="0" fontId="14" fillId="4" borderId="1" xfId="0" applyFont="1" applyFill="1" applyBorder="1" applyAlignment="1">
      <alignment wrapText="1"/>
    </xf>
  </cellXfs>
  <cellStyles count="2">
    <cellStyle name="Normal" xfId="0" builtinId="0"/>
    <cellStyle name="Percent" xfId="1" builtinId="5"/>
  </cellStyles>
  <dxfs count="41"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1D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9"/>
  <sheetViews>
    <sheetView topLeftCell="F1" zoomScaleNormal="100" workbookViewId="0">
      <pane ySplit="1" topLeftCell="A2" activePane="bottomLeft" state="frozen"/>
      <selection pane="bottomLeft" activeCell="J6" sqref="J6"/>
    </sheetView>
  </sheetViews>
  <sheetFormatPr defaultColWidth="14.42578125" defaultRowHeight="15" x14ac:dyDescent="0.25"/>
  <cols>
    <col min="1" max="1" width="15.28515625" bestFit="1" customWidth="1"/>
    <col min="2" max="2" width="19.85546875" bestFit="1" customWidth="1"/>
    <col min="3" max="3" width="13" bestFit="1" customWidth="1"/>
    <col min="4" max="4" width="19.85546875" bestFit="1" customWidth="1"/>
    <col min="5" max="5" width="38.5703125" customWidth="1"/>
    <col min="6" max="6" width="14.85546875" bestFit="1" customWidth="1"/>
    <col min="7" max="7" width="11" bestFit="1" customWidth="1"/>
    <col min="8" max="8" width="18.7109375" bestFit="1" customWidth="1"/>
    <col min="9" max="9" width="20.5703125" bestFit="1" customWidth="1"/>
    <col min="10" max="10" width="16.140625" bestFit="1" customWidth="1"/>
    <col min="11" max="11" width="13.85546875" bestFit="1" customWidth="1"/>
    <col min="12" max="12" width="13.42578125" bestFit="1" customWidth="1"/>
    <col min="13" max="13" width="14.7109375" bestFit="1" customWidth="1"/>
    <col min="14" max="14" width="11.42578125" bestFit="1" customWidth="1"/>
    <col min="15" max="15" width="16.5703125" bestFit="1" customWidth="1"/>
    <col min="16" max="16" width="17.140625" bestFit="1" customWidth="1"/>
    <col min="17" max="17" width="5.28515625" bestFit="1" customWidth="1"/>
    <col min="18" max="18" width="181.42578125" bestFit="1" customWidth="1"/>
    <col min="19" max="19" width="110.28515625" bestFit="1" customWidth="1"/>
    <col min="20" max="20" width="30.28515625" bestFit="1" customWidth="1"/>
    <col min="21" max="21" width="8.7109375" bestFit="1" customWidth="1"/>
    <col min="22" max="22" width="16.28515625" bestFit="1" customWidth="1"/>
    <col min="23" max="26" width="8.710937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43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44</v>
      </c>
      <c r="O1" s="2" t="s">
        <v>14</v>
      </c>
      <c r="P1" s="2" t="s">
        <v>45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/>
      <c r="X1" s="3"/>
      <c r="Y1" s="3"/>
      <c r="Z1" s="3"/>
    </row>
    <row r="2" spans="1:26" ht="30" customHeight="1" x14ac:dyDescent="0.25">
      <c r="A2" s="7">
        <v>928734</v>
      </c>
      <c r="B2" s="36">
        <v>46283</v>
      </c>
      <c r="C2" s="4" t="s">
        <v>22</v>
      </c>
      <c r="D2" s="4" t="s">
        <v>23</v>
      </c>
      <c r="E2" s="4" t="s">
        <v>46</v>
      </c>
      <c r="F2" s="4">
        <v>1</v>
      </c>
      <c r="G2" s="4" t="s">
        <v>25</v>
      </c>
      <c r="H2" s="4" t="s">
        <v>25</v>
      </c>
      <c r="I2" s="5" t="s">
        <v>26</v>
      </c>
      <c r="J2" s="4" t="s">
        <v>27</v>
      </c>
      <c r="K2" s="4" t="s">
        <v>17</v>
      </c>
      <c r="L2" s="4">
        <f t="shared" ref="L2:L21" si="0">IF(G2="","",IF(G2="SIM",1,0))</f>
        <v>1</v>
      </c>
      <c r="M2" s="4">
        <f t="shared" ref="M2:M21" si="1">IF(H2="","",IF(H2="SIM",1,0))</f>
        <v>1</v>
      </c>
      <c r="N2" s="4">
        <f t="shared" ref="N2:N21" si="2">IF(J2="","",IF(J2="SIM",1,0))</f>
        <v>0</v>
      </c>
      <c r="O2" s="4" t="str">
        <f t="shared" ref="O2:O3" si="3">IF(K2="","",IF(K2="Conformidade",1,IF(K2="Não conformidade",0,IF(K2="Não conformidade grave",-1,""))))</f>
        <v/>
      </c>
      <c r="P2" s="4">
        <f>IF(COUNTA(G2,H2,J2,K2)=0,"",ROUND(AVERAGE(L2:O2)*100,0))</f>
        <v>67</v>
      </c>
      <c r="Q2" s="6">
        <f>IFERROR(AVERAGEIF(C$2:C$49,C2,P$2:P$49),"N/A")</f>
        <v>76.8</v>
      </c>
      <c r="R2" t="s">
        <v>47</v>
      </c>
      <c r="S2" t="s">
        <v>48</v>
      </c>
      <c r="T2" t="s">
        <v>49</v>
      </c>
      <c r="U2" t="s">
        <v>32</v>
      </c>
      <c r="V2" t="s">
        <v>33</v>
      </c>
    </row>
    <row r="3" spans="1:26" ht="30" customHeight="1" x14ac:dyDescent="0.25">
      <c r="A3" s="4">
        <v>928734</v>
      </c>
      <c r="B3" s="36">
        <v>46283</v>
      </c>
      <c r="C3" s="4" t="s">
        <v>22</v>
      </c>
      <c r="D3" s="4" t="s">
        <v>50</v>
      </c>
      <c r="E3" s="4" t="s">
        <v>51</v>
      </c>
      <c r="F3" s="4">
        <v>1</v>
      </c>
      <c r="G3" s="4" t="s">
        <v>25</v>
      </c>
      <c r="H3" s="4" t="s">
        <v>25</v>
      </c>
      <c r="I3" s="5" t="s">
        <v>26</v>
      </c>
      <c r="J3" s="4" t="s">
        <v>27</v>
      </c>
      <c r="K3" s="4" t="s">
        <v>17</v>
      </c>
      <c r="L3" s="4">
        <f t="shared" si="0"/>
        <v>1</v>
      </c>
      <c r="M3" s="4">
        <f t="shared" si="1"/>
        <v>1</v>
      </c>
      <c r="N3" s="4">
        <f t="shared" si="2"/>
        <v>0</v>
      </c>
      <c r="O3" s="4" t="str">
        <f t="shared" si="3"/>
        <v/>
      </c>
      <c r="P3" s="4">
        <f>IF(COUNTA(G3,H3,J3)=0,"",ROUND(AVERAGE(L3:O3)*100,0))</f>
        <v>67</v>
      </c>
      <c r="Q3" s="6">
        <f>IFERROR(AVERAGEIF(C$2:C$49,C3,P$2:P$49),"N/A")</f>
        <v>76.8</v>
      </c>
      <c r="R3" t="s">
        <v>52</v>
      </c>
      <c r="S3" t="s">
        <v>53</v>
      </c>
      <c r="T3" t="s">
        <v>49</v>
      </c>
      <c r="U3" t="s">
        <v>32</v>
      </c>
      <c r="V3" t="s">
        <v>33</v>
      </c>
    </row>
    <row r="4" spans="1:26" ht="30" customHeight="1" x14ac:dyDescent="0.25">
      <c r="A4" s="4">
        <v>928734</v>
      </c>
      <c r="B4" s="36">
        <v>46283</v>
      </c>
      <c r="C4" s="4" t="s">
        <v>22</v>
      </c>
      <c r="D4" s="4" t="s">
        <v>54</v>
      </c>
      <c r="E4" s="4" t="s">
        <v>55</v>
      </c>
      <c r="F4" s="4">
        <v>1</v>
      </c>
      <c r="G4" s="4" t="s">
        <v>25</v>
      </c>
      <c r="H4" s="4" t="s">
        <v>25</v>
      </c>
      <c r="I4" s="36" t="s">
        <v>26</v>
      </c>
      <c r="J4" s="4" t="s">
        <v>25</v>
      </c>
      <c r="K4" s="4" t="s">
        <v>14</v>
      </c>
      <c r="L4" s="4">
        <f t="shared" si="0"/>
        <v>1</v>
      </c>
      <c r="M4" s="4">
        <f t="shared" si="1"/>
        <v>1</v>
      </c>
      <c r="N4" s="4">
        <f t="shared" si="2"/>
        <v>1</v>
      </c>
      <c r="O4" s="4">
        <f t="shared" ref="O4:O27" si="4">IF(K4="","",IF(K4="Conformidade",1,IF(K4="Não Conformidade",0,IF(K4="Não Conformidade Grave",-1,""))))</f>
        <v>1</v>
      </c>
      <c r="P4" s="38">
        <f t="shared" ref="P4:P26" si="5">IF(COUNTA(G4,H4,J4,K4)=0,"",ROUND(AVERAGE(L4:O4)*100,0))</f>
        <v>100</v>
      </c>
      <c r="Q4" s="39">
        <f>IFERROR(AVERAGEIF(C$2:C$49,C4,P$2:P$49),"N/A")</f>
        <v>76.8</v>
      </c>
      <c r="R4" t="s">
        <v>56</v>
      </c>
      <c r="S4" t="s">
        <v>57</v>
      </c>
      <c r="T4" t="s">
        <v>49</v>
      </c>
      <c r="U4" s="37" t="s">
        <v>32</v>
      </c>
      <c r="V4" t="s">
        <v>33</v>
      </c>
    </row>
    <row r="5" spans="1:26" ht="30" customHeight="1" x14ac:dyDescent="0.25">
      <c r="A5" s="4">
        <v>928734</v>
      </c>
      <c r="B5" s="36">
        <v>46283</v>
      </c>
      <c r="C5" s="4" t="s">
        <v>22</v>
      </c>
      <c r="D5" s="4" t="s">
        <v>58</v>
      </c>
      <c r="E5" s="4" t="s">
        <v>59</v>
      </c>
      <c r="F5" s="4">
        <v>1</v>
      </c>
      <c r="G5" s="4" t="s">
        <v>25</v>
      </c>
      <c r="H5" s="4" t="s">
        <v>25</v>
      </c>
      <c r="I5" s="36" t="s">
        <v>26</v>
      </c>
      <c r="J5" s="4" t="s">
        <v>25</v>
      </c>
      <c r="K5" s="4" t="s">
        <v>14</v>
      </c>
      <c r="L5" s="4">
        <f t="shared" si="0"/>
        <v>1</v>
      </c>
      <c r="M5" s="4">
        <f t="shared" si="1"/>
        <v>1</v>
      </c>
      <c r="N5" s="4">
        <f t="shared" si="2"/>
        <v>1</v>
      </c>
      <c r="O5" s="4">
        <f t="shared" si="4"/>
        <v>1</v>
      </c>
      <c r="P5" s="38">
        <f t="shared" si="5"/>
        <v>100</v>
      </c>
      <c r="Q5" s="39">
        <f>IFERROR(AVERAGEIF(C$2:C$49,C5,P$2:P$49),"N/A")</f>
        <v>76.8</v>
      </c>
      <c r="R5" t="s">
        <v>60</v>
      </c>
      <c r="S5" t="s">
        <v>61</v>
      </c>
      <c r="T5" t="s">
        <v>62</v>
      </c>
      <c r="U5" s="37" t="s">
        <v>32</v>
      </c>
      <c r="V5" t="s">
        <v>33</v>
      </c>
    </row>
    <row r="6" spans="1:26" ht="30" customHeight="1" x14ac:dyDescent="0.25">
      <c r="A6" s="4">
        <v>928734</v>
      </c>
      <c r="B6" s="36">
        <v>46283</v>
      </c>
      <c r="C6" s="4" t="s">
        <v>22</v>
      </c>
      <c r="D6" s="4" t="s">
        <v>38</v>
      </c>
      <c r="E6" s="4" t="s">
        <v>63</v>
      </c>
      <c r="F6" s="4">
        <v>1</v>
      </c>
      <c r="G6" s="4" t="s">
        <v>25</v>
      </c>
      <c r="H6" s="4" t="s">
        <v>27</v>
      </c>
      <c r="I6" s="36" t="s">
        <v>26</v>
      </c>
      <c r="J6" s="4" t="s">
        <v>25</v>
      </c>
      <c r="K6" s="4" t="s">
        <v>28</v>
      </c>
      <c r="L6" s="4">
        <f t="shared" si="0"/>
        <v>1</v>
      </c>
      <c r="M6" s="4">
        <f t="shared" si="1"/>
        <v>0</v>
      </c>
      <c r="N6" s="4">
        <f t="shared" si="2"/>
        <v>1</v>
      </c>
      <c r="O6" s="4">
        <f t="shared" si="4"/>
        <v>0</v>
      </c>
      <c r="P6" s="38">
        <f t="shared" si="5"/>
        <v>50</v>
      </c>
      <c r="Q6" s="39">
        <f>IFERROR(AVERAGEIF(C$2:C$49,C6,P$2:P$49),"N/A")</f>
        <v>76.8</v>
      </c>
      <c r="R6" t="s">
        <v>64</v>
      </c>
      <c r="S6" t="s">
        <v>65</v>
      </c>
      <c r="T6" t="s">
        <v>66</v>
      </c>
      <c r="U6" s="37" t="s">
        <v>32</v>
      </c>
      <c r="V6" t="s">
        <v>33</v>
      </c>
    </row>
    <row r="7" spans="1:26" x14ac:dyDescent="0.25">
      <c r="A7" s="4"/>
      <c r="B7" s="36"/>
      <c r="C7" s="4"/>
      <c r="D7" s="4"/>
      <c r="E7" s="4"/>
      <c r="F7" s="4"/>
      <c r="G7" s="4"/>
      <c r="H7" s="4"/>
      <c r="I7" s="36"/>
      <c r="J7" s="4"/>
      <c r="K7" s="4"/>
      <c r="L7" s="4" t="str">
        <f t="shared" si="0"/>
        <v/>
      </c>
      <c r="M7" s="4" t="str">
        <f t="shared" si="1"/>
        <v/>
      </c>
      <c r="N7" s="4" t="str">
        <f t="shared" si="2"/>
        <v/>
      </c>
      <c r="O7" s="4" t="str">
        <f t="shared" si="4"/>
        <v/>
      </c>
      <c r="P7" s="38" t="str">
        <f t="shared" si="5"/>
        <v/>
      </c>
      <c r="Q7" s="39" t="str">
        <f>IFERROR(AVERAGEIF(C$2:C$49,C7,P$2:P$49),"N/A")</f>
        <v>N/A</v>
      </c>
      <c r="U7" s="37"/>
    </row>
    <row r="8" spans="1:26" x14ac:dyDescent="0.25">
      <c r="A8" s="4"/>
      <c r="B8" s="36"/>
      <c r="C8" s="4"/>
      <c r="D8" s="4"/>
      <c r="E8" s="4"/>
      <c r="F8" s="4"/>
      <c r="G8" s="4"/>
      <c r="H8" s="4"/>
      <c r="I8" s="36"/>
      <c r="J8" s="4"/>
      <c r="K8" s="4"/>
      <c r="L8" s="4" t="str">
        <f t="shared" si="0"/>
        <v/>
      </c>
      <c r="M8" s="4" t="str">
        <f t="shared" si="1"/>
        <v/>
      </c>
      <c r="N8" s="4" t="str">
        <f t="shared" si="2"/>
        <v/>
      </c>
      <c r="O8" s="4" t="str">
        <f t="shared" si="4"/>
        <v/>
      </c>
      <c r="P8" s="38" t="str">
        <f t="shared" si="5"/>
        <v/>
      </c>
      <c r="Q8" s="39" t="str">
        <f>IFERROR(AVERAGEIF(C$2:C$49,C8,P$2:P$49),"N/A")</f>
        <v>N/A</v>
      </c>
      <c r="U8" s="37"/>
    </row>
    <row r="9" spans="1:26" x14ac:dyDescent="0.25">
      <c r="A9" s="4"/>
      <c r="B9" s="36"/>
      <c r="C9" s="4"/>
      <c r="D9" s="4"/>
      <c r="E9" s="4"/>
      <c r="F9" s="4"/>
      <c r="G9" s="4"/>
      <c r="H9" s="4"/>
      <c r="I9" s="36"/>
      <c r="J9" s="4"/>
      <c r="K9" s="4"/>
      <c r="L9" s="4" t="str">
        <f t="shared" si="0"/>
        <v/>
      </c>
      <c r="M9" s="4" t="str">
        <f t="shared" si="1"/>
        <v/>
      </c>
      <c r="N9" s="4" t="str">
        <f t="shared" si="2"/>
        <v/>
      </c>
      <c r="O9" s="4" t="str">
        <f t="shared" si="4"/>
        <v/>
      </c>
      <c r="P9" s="38" t="str">
        <f t="shared" si="5"/>
        <v/>
      </c>
      <c r="Q9" s="39" t="str">
        <f>IFERROR(AVERAGEIF(C$2:C$49,C9,P$2:P$49),"N/A")</f>
        <v>N/A</v>
      </c>
      <c r="U9" s="37"/>
    </row>
    <row r="10" spans="1:26" x14ac:dyDescent="0.25">
      <c r="A10" s="4"/>
      <c r="B10" s="36"/>
      <c r="C10" s="4"/>
      <c r="D10" s="4"/>
      <c r="E10" s="4"/>
      <c r="F10" s="4"/>
      <c r="G10" s="4"/>
      <c r="H10" s="4"/>
      <c r="I10" s="36"/>
      <c r="J10" s="4"/>
      <c r="K10" s="4"/>
      <c r="L10" s="4" t="str">
        <f t="shared" si="0"/>
        <v/>
      </c>
      <c r="M10" s="4" t="str">
        <f t="shared" si="1"/>
        <v/>
      </c>
      <c r="N10" s="4" t="str">
        <f t="shared" si="2"/>
        <v/>
      </c>
      <c r="O10" s="4" t="str">
        <f t="shared" si="4"/>
        <v/>
      </c>
      <c r="P10" s="38" t="str">
        <f t="shared" si="5"/>
        <v/>
      </c>
      <c r="Q10" s="39" t="str">
        <f>IFERROR(AVERAGEIF(C$2:C$49,C10,P$2:P$49),"N/A")</f>
        <v>N/A</v>
      </c>
      <c r="U10" s="37"/>
    </row>
    <row r="11" spans="1:26" x14ac:dyDescent="0.25">
      <c r="A11" s="4"/>
      <c r="B11" s="36"/>
      <c r="C11" s="4"/>
      <c r="D11" s="4"/>
      <c r="E11" s="4"/>
      <c r="F11" s="4"/>
      <c r="G11" s="4"/>
      <c r="H11" s="4"/>
      <c r="I11" s="36"/>
      <c r="J11" s="4"/>
      <c r="K11" s="4"/>
      <c r="L11" s="4" t="str">
        <f t="shared" si="0"/>
        <v/>
      </c>
      <c r="M11" s="4" t="str">
        <f t="shared" si="1"/>
        <v/>
      </c>
      <c r="N11" s="4" t="str">
        <f t="shared" si="2"/>
        <v/>
      </c>
      <c r="O11" s="4" t="str">
        <f t="shared" si="4"/>
        <v/>
      </c>
      <c r="P11" s="38" t="str">
        <f t="shared" si="5"/>
        <v/>
      </c>
      <c r="Q11" s="39" t="str">
        <f>IFERROR(AVERAGEIF(C$2:C$49,C11,P$2:P$49),"N/A")</f>
        <v>N/A</v>
      </c>
      <c r="U11" s="37"/>
    </row>
    <row r="12" spans="1:26" x14ac:dyDescent="0.25">
      <c r="A12" s="4"/>
      <c r="B12" s="36"/>
      <c r="C12" s="4"/>
      <c r="D12" s="4"/>
      <c r="E12" s="4"/>
      <c r="F12" s="4"/>
      <c r="G12" s="4"/>
      <c r="H12" s="4"/>
      <c r="I12" s="36"/>
      <c r="J12" s="4"/>
      <c r="K12" s="4"/>
      <c r="L12" s="4" t="str">
        <f t="shared" si="0"/>
        <v/>
      </c>
      <c r="M12" s="4" t="str">
        <f t="shared" si="1"/>
        <v/>
      </c>
      <c r="N12" s="4" t="str">
        <f t="shared" si="2"/>
        <v/>
      </c>
      <c r="O12" s="4" t="str">
        <f t="shared" si="4"/>
        <v/>
      </c>
      <c r="P12" s="38" t="str">
        <f t="shared" si="5"/>
        <v/>
      </c>
      <c r="Q12" s="39" t="str">
        <f>IFERROR(AVERAGEIF(C$2:C$49,C12,P$2:P$49),"N/A")</f>
        <v>N/A</v>
      </c>
      <c r="U12" s="37"/>
    </row>
    <row r="13" spans="1:26" x14ac:dyDescent="0.25">
      <c r="A13" s="4"/>
      <c r="B13" s="36"/>
      <c r="C13" s="4"/>
      <c r="D13" s="4"/>
      <c r="E13" s="4"/>
      <c r="F13" s="4"/>
      <c r="G13" s="4"/>
      <c r="H13" s="4"/>
      <c r="I13" s="36"/>
      <c r="J13" s="4"/>
      <c r="K13" s="4"/>
      <c r="L13" s="4" t="str">
        <f t="shared" si="0"/>
        <v/>
      </c>
      <c r="M13" s="4" t="str">
        <f t="shared" si="1"/>
        <v/>
      </c>
      <c r="N13" s="4" t="str">
        <f t="shared" si="2"/>
        <v/>
      </c>
      <c r="O13" s="4" t="str">
        <f t="shared" si="4"/>
        <v/>
      </c>
      <c r="P13" s="38" t="str">
        <f t="shared" si="5"/>
        <v/>
      </c>
      <c r="Q13" s="39" t="str">
        <f>IFERROR(AVERAGEIF(C$2:C$49,C13,P$2:P$49),"N/A")</f>
        <v>N/A</v>
      </c>
      <c r="U13" s="37"/>
    </row>
    <row r="14" spans="1:26" x14ac:dyDescent="0.25">
      <c r="A14" s="4"/>
      <c r="B14" s="36"/>
      <c r="C14" s="4"/>
      <c r="D14" s="4"/>
      <c r="E14" s="4"/>
      <c r="F14" s="4"/>
      <c r="G14" s="4"/>
      <c r="H14" s="4"/>
      <c r="I14" s="36"/>
      <c r="J14" s="4"/>
      <c r="K14" s="4"/>
      <c r="L14" s="4" t="str">
        <f t="shared" si="0"/>
        <v/>
      </c>
      <c r="M14" s="4" t="str">
        <f t="shared" si="1"/>
        <v/>
      </c>
      <c r="N14" s="4" t="str">
        <f t="shared" si="2"/>
        <v/>
      </c>
      <c r="O14" s="4" t="str">
        <f t="shared" si="4"/>
        <v/>
      </c>
      <c r="P14" s="38" t="str">
        <f t="shared" si="5"/>
        <v/>
      </c>
      <c r="Q14" s="39" t="str">
        <f>IFERROR(AVERAGEIF(C$2:C$49,C14,P$2:P$49),"N/A")</f>
        <v>N/A</v>
      </c>
      <c r="U14" s="37"/>
    </row>
    <row r="15" spans="1:26" x14ac:dyDescent="0.25">
      <c r="A15" s="4"/>
      <c r="B15" s="36"/>
      <c r="C15" s="4"/>
      <c r="D15" s="4"/>
      <c r="E15" s="4"/>
      <c r="F15" s="4"/>
      <c r="G15" s="4"/>
      <c r="H15" s="4"/>
      <c r="I15" s="36"/>
      <c r="J15" s="4"/>
      <c r="K15" s="4"/>
      <c r="L15" s="4" t="str">
        <f t="shared" si="0"/>
        <v/>
      </c>
      <c r="M15" s="4" t="str">
        <f t="shared" si="1"/>
        <v/>
      </c>
      <c r="N15" s="4" t="str">
        <f t="shared" si="2"/>
        <v/>
      </c>
      <c r="O15" s="4" t="str">
        <f t="shared" si="4"/>
        <v/>
      </c>
      <c r="P15" s="38" t="str">
        <f t="shared" si="5"/>
        <v/>
      </c>
      <c r="Q15" s="39" t="str">
        <f>IFERROR(AVERAGEIF(C$2:C$49,C15,P$2:P$49),"N/A")</f>
        <v>N/A</v>
      </c>
      <c r="U15" s="37"/>
    </row>
    <row r="16" spans="1:26" x14ac:dyDescent="0.25">
      <c r="A16" s="4"/>
      <c r="B16" s="36"/>
      <c r="C16" s="4"/>
      <c r="D16" s="4"/>
      <c r="E16" s="4"/>
      <c r="F16" s="4"/>
      <c r="G16" s="4"/>
      <c r="H16" s="4"/>
      <c r="I16" s="36"/>
      <c r="J16" s="4"/>
      <c r="K16" s="4"/>
      <c r="L16" s="4" t="str">
        <f t="shared" si="0"/>
        <v/>
      </c>
      <c r="M16" s="4" t="str">
        <f t="shared" si="1"/>
        <v/>
      </c>
      <c r="N16" s="4" t="str">
        <f t="shared" si="2"/>
        <v/>
      </c>
      <c r="O16" s="4" t="str">
        <f t="shared" si="4"/>
        <v/>
      </c>
      <c r="P16" s="38" t="str">
        <f t="shared" si="5"/>
        <v/>
      </c>
      <c r="Q16" s="39" t="str">
        <f>IFERROR(AVERAGEIF(C$2:C$49,C16,P$2:P$49),"N/A")</f>
        <v>N/A</v>
      </c>
      <c r="U16" s="37"/>
    </row>
    <row r="17" spans="1:21" x14ac:dyDescent="0.25">
      <c r="A17" s="4"/>
      <c r="B17" s="36"/>
      <c r="C17" s="4"/>
      <c r="D17" s="4"/>
      <c r="E17" s="4"/>
      <c r="F17" s="4"/>
      <c r="G17" s="4"/>
      <c r="H17" s="4"/>
      <c r="I17" s="36"/>
      <c r="J17" s="4"/>
      <c r="K17" s="4"/>
      <c r="L17" s="4" t="str">
        <f t="shared" si="0"/>
        <v/>
      </c>
      <c r="M17" s="4" t="str">
        <f t="shared" si="1"/>
        <v/>
      </c>
      <c r="N17" s="4" t="str">
        <f t="shared" si="2"/>
        <v/>
      </c>
      <c r="O17" s="4" t="str">
        <f t="shared" si="4"/>
        <v/>
      </c>
      <c r="P17" s="38" t="str">
        <f t="shared" si="5"/>
        <v/>
      </c>
      <c r="Q17" s="39" t="str">
        <f>IFERROR(AVERAGEIF(C$2:C$49,C17,P$2:P$49),"N/A")</f>
        <v>N/A</v>
      </c>
      <c r="U17" s="37"/>
    </row>
    <row r="18" spans="1:21" x14ac:dyDescent="0.25">
      <c r="A18" s="4"/>
      <c r="B18" s="36"/>
      <c r="C18" s="4"/>
      <c r="D18" s="4"/>
      <c r="E18" s="4"/>
      <c r="F18" s="4"/>
      <c r="G18" s="4"/>
      <c r="H18" s="4"/>
      <c r="I18" s="36"/>
      <c r="J18" s="4"/>
      <c r="K18" s="4"/>
      <c r="L18" s="4" t="str">
        <f t="shared" si="0"/>
        <v/>
      </c>
      <c r="M18" s="4" t="str">
        <f t="shared" si="1"/>
        <v/>
      </c>
      <c r="N18" s="4" t="str">
        <f t="shared" si="2"/>
        <v/>
      </c>
      <c r="O18" s="4" t="str">
        <f t="shared" si="4"/>
        <v/>
      </c>
      <c r="P18" s="38" t="str">
        <f t="shared" si="5"/>
        <v/>
      </c>
      <c r="Q18" s="39" t="str">
        <f>IFERROR(AVERAGEIF(C$2:C$49,C18,P$2:P$49),"N/A")</f>
        <v>N/A</v>
      </c>
      <c r="U18" s="37"/>
    </row>
    <row r="19" spans="1:21" x14ac:dyDescent="0.25">
      <c r="A19" s="4"/>
      <c r="B19" s="36"/>
      <c r="C19" s="4"/>
      <c r="D19" s="4"/>
      <c r="E19" s="4"/>
      <c r="F19" s="4"/>
      <c r="G19" s="4"/>
      <c r="H19" s="4"/>
      <c r="I19" s="36"/>
      <c r="J19" s="4"/>
      <c r="K19" s="4"/>
      <c r="L19" s="4" t="str">
        <f t="shared" si="0"/>
        <v/>
      </c>
      <c r="M19" s="4" t="str">
        <f t="shared" si="1"/>
        <v/>
      </c>
      <c r="N19" s="4" t="str">
        <f t="shared" si="2"/>
        <v/>
      </c>
      <c r="O19" s="4" t="str">
        <f t="shared" si="4"/>
        <v/>
      </c>
      <c r="P19" s="38" t="str">
        <f t="shared" si="5"/>
        <v/>
      </c>
      <c r="Q19" s="39" t="str">
        <f>IFERROR(AVERAGEIF(C$2:C$49,C19,P$2:P$49),"N/A")</f>
        <v>N/A</v>
      </c>
      <c r="U19" s="37"/>
    </row>
    <row r="20" spans="1:21" x14ac:dyDescent="0.25">
      <c r="A20" s="4"/>
      <c r="B20" s="36"/>
      <c r="C20" s="4"/>
      <c r="D20" s="4"/>
      <c r="E20" s="4"/>
      <c r="F20" s="4"/>
      <c r="G20" s="4"/>
      <c r="H20" s="4"/>
      <c r="I20" s="36"/>
      <c r="J20" s="4"/>
      <c r="K20" s="4"/>
      <c r="L20" s="4" t="str">
        <f t="shared" si="0"/>
        <v/>
      </c>
      <c r="M20" s="4" t="str">
        <f t="shared" si="1"/>
        <v/>
      </c>
      <c r="N20" s="4" t="str">
        <f t="shared" si="2"/>
        <v/>
      </c>
      <c r="O20" s="4" t="str">
        <f t="shared" si="4"/>
        <v/>
      </c>
      <c r="P20" s="38" t="str">
        <f t="shared" si="5"/>
        <v/>
      </c>
      <c r="Q20" s="39" t="str">
        <f>IFERROR(AVERAGEIF(C$2:C$49,C20,P$2:P$49),"N/A")</f>
        <v>N/A</v>
      </c>
      <c r="U20" s="37"/>
    </row>
    <row r="21" spans="1:21" x14ac:dyDescent="0.25">
      <c r="A21" s="4"/>
      <c r="B21" s="36"/>
      <c r="C21" s="4"/>
      <c r="D21" s="4"/>
      <c r="E21" s="4"/>
      <c r="F21" s="4"/>
      <c r="G21" s="4"/>
      <c r="H21" s="4"/>
      <c r="I21" s="36"/>
      <c r="J21" s="4"/>
      <c r="K21" s="4"/>
      <c r="L21" s="4" t="str">
        <f t="shared" si="0"/>
        <v/>
      </c>
      <c r="M21" s="4" t="str">
        <f t="shared" si="1"/>
        <v/>
      </c>
      <c r="N21" s="4" t="str">
        <f t="shared" si="2"/>
        <v/>
      </c>
      <c r="O21" s="4" t="str">
        <f t="shared" si="4"/>
        <v/>
      </c>
      <c r="P21" s="38" t="str">
        <f t="shared" si="5"/>
        <v/>
      </c>
      <c r="Q21" s="39" t="str">
        <f>IFERROR(AVERAGEIF(C$2:C$49,C21,P$2:P$49),"N/A")</f>
        <v>N/A</v>
      </c>
      <c r="U21" s="37"/>
    </row>
    <row r="22" spans="1:21" x14ac:dyDescent="0.25">
      <c r="A22" s="4"/>
      <c r="B22" s="36"/>
      <c r="C22" s="4"/>
      <c r="D22" s="4"/>
      <c r="E22" s="4"/>
      <c r="F22" s="4"/>
      <c r="G22" s="4"/>
      <c r="H22" s="4"/>
      <c r="I22" s="36"/>
      <c r="J22" s="4"/>
      <c r="K22" s="4"/>
      <c r="L22" s="4" t="str">
        <f t="shared" ref="L22:L49" si="6">IF(G22="","",IF(G22="SIM",1,0))</f>
        <v/>
      </c>
      <c r="M22" s="4" t="str">
        <f t="shared" ref="M22:M49" si="7">IF(H22="","",IF(H22="SIM",1,0))</f>
        <v/>
      </c>
      <c r="N22" s="4" t="str">
        <f t="shared" ref="N22:N49" si="8">IF(J22="","",IF(J22="SIM",1,0))</f>
        <v/>
      </c>
      <c r="O22" s="4" t="str">
        <f t="shared" si="4"/>
        <v/>
      </c>
      <c r="P22" s="38" t="str">
        <f t="shared" si="5"/>
        <v/>
      </c>
      <c r="Q22" s="39" t="str">
        <f>IFERROR(AVERAGEIF(C$2:C$49,C22,P$2:P$49),"N/A")</f>
        <v>N/A</v>
      </c>
      <c r="U22" s="37"/>
    </row>
    <row r="23" spans="1:21" x14ac:dyDescent="0.25">
      <c r="A23" s="4"/>
      <c r="B23" s="36"/>
      <c r="C23" s="4"/>
      <c r="D23" s="4"/>
      <c r="E23" s="4"/>
      <c r="F23" s="4"/>
      <c r="G23" s="4"/>
      <c r="H23" s="4"/>
      <c r="I23" s="36"/>
      <c r="J23" s="4"/>
      <c r="K23" s="4"/>
      <c r="L23" s="4" t="str">
        <f t="shared" si="6"/>
        <v/>
      </c>
      <c r="M23" s="4" t="str">
        <f t="shared" si="7"/>
        <v/>
      </c>
      <c r="N23" s="4" t="str">
        <f t="shared" si="8"/>
        <v/>
      </c>
      <c r="O23" s="4" t="str">
        <f t="shared" si="4"/>
        <v/>
      </c>
      <c r="P23" s="38" t="str">
        <f t="shared" si="5"/>
        <v/>
      </c>
      <c r="Q23" s="39" t="str">
        <f>IFERROR(AVERAGEIF(C$2:C$49,C23,P$2:P$49),"N/A")</f>
        <v>N/A</v>
      </c>
      <c r="U23" s="37"/>
    </row>
    <row r="24" spans="1:21" x14ac:dyDescent="0.25">
      <c r="A24" s="4"/>
      <c r="B24" s="36"/>
      <c r="C24" s="4"/>
      <c r="D24" s="4"/>
      <c r="E24" s="4"/>
      <c r="F24" s="4"/>
      <c r="G24" s="4"/>
      <c r="H24" s="4"/>
      <c r="I24" s="36"/>
      <c r="J24" s="4"/>
      <c r="K24" s="4"/>
      <c r="L24" s="4" t="str">
        <f t="shared" si="6"/>
        <v/>
      </c>
      <c r="M24" s="4" t="str">
        <f t="shared" si="7"/>
        <v/>
      </c>
      <c r="N24" s="4" t="str">
        <f t="shared" si="8"/>
        <v/>
      </c>
      <c r="O24" s="4" t="str">
        <f t="shared" si="4"/>
        <v/>
      </c>
      <c r="P24" s="38" t="str">
        <f t="shared" si="5"/>
        <v/>
      </c>
      <c r="Q24" s="39" t="str">
        <f>IFERROR(AVERAGEIF(C$2:C$49,C24,P$2:P$49),"N/A")</f>
        <v>N/A</v>
      </c>
      <c r="U24" s="37"/>
    </row>
    <row r="25" spans="1:21" x14ac:dyDescent="0.25">
      <c r="A25" s="4"/>
      <c r="B25" s="36"/>
      <c r="C25" s="4"/>
      <c r="D25" s="4"/>
      <c r="E25" s="4"/>
      <c r="F25" s="4"/>
      <c r="G25" s="4"/>
      <c r="H25" s="4"/>
      <c r="I25" s="36"/>
      <c r="J25" s="4"/>
      <c r="K25" s="4"/>
      <c r="L25" s="4" t="str">
        <f t="shared" si="6"/>
        <v/>
      </c>
      <c r="M25" s="4" t="str">
        <f t="shared" si="7"/>
        <v/>
      </c>
      <c r="N25" s="4" t="str">
        <f t="shared" si="8"/>
        <v/>
      </c>
      <c r="O25" s="4" t="str">
        <f t="shared" si="4"/>
        <v/>
      </c>
      <c r="P25" s="38" t="str">
        <f t="shared" si="5"/>
        <v/>
      </c>
      <c r="Q25" s="39" t="str">
        <f>IFERROR(AVERAGEIF(C$2:C$49,C25,P$2:P$49),"N/A")</f>
        <v>N/A</v>
      </c>
      <c r="U25" s="37"/>
    </row>
    <row r="26" spans="1:21" x14ac:dyDescent="0.25">
      <c r="A26" s="4"/>
      <c r="B26" s="36"/>
      <c r="C26" s="4"/>
      <c r="D26" s="4"/>
      <c r="E26" s="4"/>
      <c r="F26" s="4"/>
      <c r="G26" s="4"/>
      <c r="H26" s="4"/>
      <c r="I26" s="36"/>
      <c r="J26" s="4"/>
      <c r="K26" s="4"/>
      <c r="L26" s="4" t="str">
        <f t="shared" si="6"/>
        <v/>
      </c>
      <c r="M26" s="4" t="str">
        <f t="shared" si="7"/>
        <v/>
      </c>
      <c r="N26" s="4" t="str">
        <f t="shared" si="8"/>
        <v/>
      </c>
      <c r="O26" s="4" t="str">
        <f t="shared" si="4"/>
        <v/>
      </c>
      <c r="P26" s="38" t="str">
        <f t="shared" si="5"/>
        <v/>
      </c>
      <c r="Q26" s="39" t="str">
        <f>IFERROR(AVERAGEIF(C$2:C$49,C26,P$2:P$49),"N/A")</f>
        <v>N/A</v>
      </c>
      <c r="U26" s="37"/>
    </row>
    <row r="27" spans="1:21" x14ac:dyDescent="0.25">
      <c r="A27" s="4"/>
      <c r="B27" s="36"/>
      <c r="C27" s="4"/>
      <c r="D27" s="4"/>
      <c r="E27" s="4"/>
      <c r="F27" s="4"/>
      <c r="G27" s="4"/>
      <c r="H27" s="4"/>
      <c r="I27" s="36"/>
      <c r="J27" s="4"/>
      <c r="K27" s="4"/>
      <c r="L27" s="4" t="str">
        <f t="shared" si="6"/>
        <v/>
      </c>
      <c r="M27" s="4" t="str">
        <f t="shared" si="7"/>
        <v/>
      </c>
      <c r="N27" s="4" t="str">
        <f t="shared" si="8"/>
        <v/>
      </c>
      <c r="O27" s="4" t="str">
        <f t="shared" si="4"/>
        <v/>
      </c>
      <c r="P27" s="38" t="str">
        <f t="shared" ref="P27:P49" si="9">IF(COUNTA(G27,H27,J27,K27)=0,"",ROUND(AVERAGE(L27:O27)*100,0))</f>
        <v/>
      </c>
      <c r="Q27" s="39" t="str">
        <f>IFERROR(AVERAGEIF(C$2:C$49,C27,P$2:P$49),"N/A")</f>
        <v>N/A</v>
      </c>
      <c r="U27" s="37"/>
    </row>
    <row r="28" spans="1:21" x14ac:dyDescent="0.25">
      <c r="A28" s="4"/>
      <c r="B28" s="36"/>
      <c r="C28" s="4"/>
      <c r="D28" s="4"/>
      <c r="E28" s="4"/>
      <c r="F28" s="4"/>
      <c r="G28" s="4"/>
      <c r="H28" s="4"/>
      <c r="I28" s="36"/>
      <c r="J28" s="4"/>
      <c r="K28" s="4"/>
      <c r="L28" s="4" t="str">
        <f t="shared" si="6"/>
        <v/>
      </c>
      <c r="M28" s="4" t="str">
        <f t="shared" si="7"/>
        <v/>
      </c>
      <c r="N28" s="4" t="str">
        <f t="shared" si="8"/>
        <v/>
      </c>
      <c r="O28" s="4" t="str">
        <f t="shared" ref="O28:O49" si="10">IF(K28="","",IF(K28="Conformidade",1,IF(K28="Não Conformidade",0,IF(K28="Não Conformidade Grave",-1,""))))</f>
        <v/>
      </c>
      <c r="P28" s="38" t="str">
        <f t="shared" si="9"/>
        <v/>
      </c>
      <c r="Q28" s="39" t="str">
        <f>IFERROR(AVERAGEIF(C$2:C$49,C28,P$2:P$49),"N/A")</f>
        <v>N/A</v>
      </c>
      <c r="U28" s="37"/>
    </row>
    <row r="29" spans="1:21" x14ac:dyDescent="0.25">
      <c r="A29" s="4"/>
      <c r="B29" s="36"/>
      <c r="C29" s="4"/>
      <c r="D29" s="4"/>
      <c r="E29" s="4"/>
      <c r="F29" s="4"/>
      <c r="G29" s="4"/>
      <c r="H29" s="4"/>
      <c r="I29" s="36"/>
      <c r="J29" s="4"/>
      <c r="K29" s="4"/>
      <c r="L29" s="4" t="str">
        <f t="shared" si="6"/>
        <v/>
      </c>
      <c r="M29" s="4" t="str">
        <f t="shared" si="7"/>
        <v/>
      </c>
      <c r="N29" s="4" t="str">
        <f t="shared" si="8"/>
        <v/>
      </c>
      <c r="O29" s="4" t="str">
        <f t="shared" si="10"/>
        <v/>
      </c>
      <c r="P29" s="38" t="str">
        <f t="shared" si="9"/>
        <v/>
      </c>
      <c r="Q29" s="39" t="str">
        <f>IFERROR(AVERAGEIF(C$2:C$49,C29,P$2:P$49),"N/A")</f>
        <v>N/A</v>
      </c>
      <c r="U29" s="37"/>
    </row>
    <row r="30" spans="1:21" x14ac:dyDescent="0.25">
      <c r="A30" s="4"/>
      <c r="B30" s="36"/>
      <c r="C30" s="4"/>
      <c r="D30" s="4"/>
      <c r="E30" s="4"/>
      <c r="F30" s="4"/>
      <c r="G30" s="4"/>
      <c r="H30" s="4"/>
      <c r="I30" s="36"/>
      <c r="J30" s="4"/>
      <c r="K30" s="4"/>
      <c r="L30" s="4" t="str">
        <f t="shared" si="6"/>
        <v/>
      </c>
      <c r="M30" s="4" t="str">
        <f t="shared" si="7"/>
        <v/>
      </c>
      <c r="N30" s="4" t="str">
        <f t="shared" si="8"/>
        <v/>
      </c>
      <c r="O30" s="4" t="str">
        <f t="shared" si="10"/>
        <v/>
      </c>
      <c r="P30" s="38" t="str">
        <f t="shared" si="9"/>
        <v/>
      </c>
      <c r="Q30" s="39" t="str">
        <f>IFERROR(AVERAGEIF(C$2:C$49,C30,P$2:P$49),"N/A")</f>
        <v>N/A</v>
      </c>
      <c r="U30" s="37"/>
    </row>
    <row r="31" spans="1:21" x14ac:dyDescent="0.25">
      <c r="A31" s="4"/>
      <c r="B31" s="36"/>
      <c r="C31" s="4"/>
      <c r="D31" s="4"/>
      <c r="E31" s="4"/>
      <c r="F31" s="4"/>
      <c r="G31" s="4"/>
      <c r="H31" s="4"/>
      <c r="I31" s="36"/>
      <c r="J31" s="4"/>
      <c r="K31" s="4"/>
      <c r="L31" s="4" t="str">
        <f t="shared" si="6"/>
        <v/>
      </c>
      <c r="M31" s="4" t="str">
        <f t="shared" si="7"/>
        <v/>
      </c>
      <c r="N31" s="4" t="str">
        <f t="shared" si="8"/>
        <v/>
      </c>
      <c r="O31" s="4" t="str">
        <f t="shared" si="10"/>
        <v/>
      </c>
      <c r="P31" s="38" t="str">
        <f t="shared" si="9"/>
        <v/>
      </c>
      <c r="Q31" s="39" t="str">
        <f>IFERROR(AVERAGEIF(C$2:C$49,C31,P$2:P$49),"N/A")</f>
        <v>N/A</v>
      </c>
      <c r="U31" s="37"/>
    </row>
    <row r="32" spans="1:21" x14ac:dyDescent="0.25">
      <c r="A32" s="4"/>
      <c r="B32" s="36"/>
      <c r="C32" s="4"/>
      <c r="D32" s="4"/>
      <c r="E32" s="4"/>
      <c r="F32" s="4"/>
      <c r="G32" s="4"/>
      <c r="H32" s="4"/>
      <c r="I32" s="36"/>
      <c r="J32" s="4"/>
      <c r="K32" s="4"/>
      <c r="L32" s="4" t="str">
        <f t="shared" si="6"/>
        <v/>
      </c>
      <c r="M32" s="4" t="str">
        <f t="shared" si="7"/>
        <v/>
      </c>
      <c r="N32" s="4" t="str">
        <f t="shared" si="8"/>
        <v/>
      </c>
      <c r="O32" s="4" t="str">
        <f t="shared" si="10"/>
        <v/>
      </c>
      <c r="P32" s="38" t="str">
        <f t="shared" si="9"/>
        <v/>
      </c>
      <c r="Q32" s="39" t="str">
        <f>IFERROR(AVERAGEIF(C$2:C$49,C32,P$2:P$49),"N/A")</f>
        <v>N/A</v>
      </c>
      <c r="U32" s="37"/>
    </row>
    <row r="33" spans="1:21" x14ac:dyDescent="0.25">
      <c r="A33" s="4"/>
      <c r="B33" s="36"/>
      <c r="C33" s="4"/>
      <c r="D33" s="4"/>
      <c r="E33" s="4"/>
      <c r="F33" s="4"/>
      <c r="G33" s="4"/>
      <c r="H33" s="4"/>
      <c r="I33" s="36"/>
      <c r="J33" s="4"/>
      <c r="K33" s="4"/>
      <c r="L33" s="4" t="str">
        <f t="shared" si="6"/>
        <v/>
      </c>
      <c r="M33" s="4" t="str">
        <f t="shared" si="7"/>
        <v/>
      </c>
      <c r="N33" s="4" t="str">
        <f t="shared" si="8"/>
        <v/>
      </c>
      <c r="O33" s="4" t="str">
        <f t="shared" si="10"/>
        <v/>
      </c>
      <c r="P33" s="38" t="str">
        <f t="shared" si="9"/>
        <v/>
      </c>
      <c r="Q33" s="39" t="str">
        <f>IFERROR(AVERAGEIF(C$2:C$49,C33,P$2:P$49),"N/A")</f>
        <v>N/A</v>
      </c>
      <c r="U33" s="37"/>
    </row>
    <row r="34" spans="1:21" x14ac:dyDescent="0.25">
      <c r="A34" s="4"/>
      <c r="B34" s="36"/>
      <c r="C34" s="4"/>
      <c r="D34" s="4"/>
      <c r="E34" s="4"/>
      <c r="F34" s="4"/>
      <c r="G34" s="4"/>
      <c r="H34" s="4"/>
      <c r="I34" s="36"/>
      <c r="J34" s="4"/>
      <c r="K34" s="4"/>
      <c r="L34" s="4" t="str">
        <f t="shared" si="6"/>
        <v/>
      </c>
      <c r="M34" s="4" t="str">
        <f t="shared" si="7"/>
        <v/>
      </c>
      <c r="N34" s="4" t="str">
        <f t="shared" si="8"/>
        <v/>
      </c>
      <c r="O34" s="4" t="str">
        <f t="shared" si="10"/>
        <v/>
      </c>
      <c r="P34" s="38" t="str">
        <f t="shared" si="9"/>
        <v/>
      </c>
      <c r="Q34" s="39" t="str">
        <f>IFERROR(AVERAGEIF(C$2:C$49,C34,P$2:P$49),"N/A")</f>
        <v>N/A</v>
      </c>
      <c r="U34" s="37"/>
    </row>
    <row r="35" spans="1:21" x14ac:dyDescent="0.25">
      <c r="A35" s="4"/>
      <c r="B35" s="36"/>
      <c r="C35" s="4"/>
      <c r="D35" s="4"/>
      <c r="E35" s="4"/>
      <c r="F35" s="4"/>
      <c r="G35" s="4"/>
      <c r="H35" s="4"/>
      <c r="I35" s="36"/>
      <c r="J35" s="4"/>
      <c r="K35" s="4"/>
      <c r="L35" s="4" t="str">
        <f t="shared" si="6"/>
        <v/>
      </c>
      <c r="M35" s="4" t="str">
        <f t="shared" si="7"/>
        <v/>
      </c>
      <c r="N35" s="4" t="str">
        <f t="shared" si="8"/>
        <v/>
      </c>
      <c r="O35" s="4" t="str">
        <f t="shared" si="10"/>
        <v/>
      </c>
      <c r="P35" s="38" t="str">
        <f t="shared" si="9"/>
        <v/>
      </c>
      <c r="Q35" s="39" t="str">
        <f>IFERROR(AVERAGEIF(C$2:C$49,C35,P$2:P$49),"N/A")</f>
        <v>N/A</v>
      </c>
      <c r="U35" s="37"/>
    </row>
    <row r="36" spans="1:21" x14ac:dyDescent="0.25">
      <c r="A36" s="4"/>
      <c r="B36" s="36"/>
      <c r="C36" s="4"/>
      <c r="D36" s="4"/>
      <c r="E36" s="4"/>
      <c r="F36" s="4"/>
      <c r="G36" s="4"/>
      <c r="H36" s="4"/>
      <c r="I36" s="36"/>
      <c r="J36" s="4"/>
      <c r="K36" s="4"/>
      <c r="L36" s="4" t="str">
        <f t="shared" si="6"/>
        <v/>
      </c>
      <c r="M36" s="4" t="str">
        <f t="shared" si="7"/>
        <v/>
      </c>
      <c r="N36" s="4" t="str">
        <f t="shared" si="8"/>
        <v/>
      </c>
      <c r="O36" s="4" t="str">
        <f t="shared" si="10"/>
        <v/>
      </c>
      <c r="P36" s="38" t="str">
        <f t="shared" si="9"/>
        <v/>
      </c>
      <c r="Q36" s="39" t="str">
        <f>IFERROR(AVERAGEIF(C$2:C$49,C36,P$2:P$49),"N/A")</f>
        <v>N/A</v>
      </c>
      <c r="U36" s="37"/>
    </row>
    <row r="37" spans="1:21" x14ac:dyDescent="0.25">
      <c r="A37" s="4"/>
      <c r="B37" s="36"/>
      <c r="C37" s="4"/>
      <c r="D37" s="4"/>
      <c r="E37" s="4"/>
      <c r="F37" s="4"/>
      <c r="G37" s="4"/>
      <c r="H37" s="4"/>
      <c r="I37" s="36"/>
      <c r="J37" s="4"/>
      <c r="K37" s="4"/>
      <c r="L37" s="4" t="str">
        <f t="shared" si="6"/>
        <v/>
      </c>
      <c r="M37" s="4" t="str">
        <f t="shared" si="7"/>
        <v/>
      </c>
      <c r="N37" s="4" t="str">
        <f t="shared" si="8"/>
        <v/>
      </c>
      <c r="O37" s="4" t="str">
        <f t="shared" si="10"/>
        <v/>
      </c>
      <c r="P37" s="38" t="str">
        <f t="shared" si="9"/>
        <v/>
      </c>
      <c r="Q37" s="39" t="str">
        <f>IFERROR(AVERAGEIF(C$2:C$49,C37,P$2:P$49),"N/A")</f>
        <v>N/A</v>
      </c>
      <c r="U37" s="37"/>
    </row>
    <row r="38" spans="1:21" x14ac:dyDescent="0.25">
      <c r="A38" s="4"/>
      <c r="B38" s="36"/>
      <c r="C38" s="4"/>
      <c r="D38" s="4"/>
      <c r="E38" s="4"/>
      <c r="F38" s="4"/>
      <c r="G38" s="4"/>
      <c r="H38" s="4"/>
      <c r="I38" s="36"/>
      <c r="J38" s="4"/>
      <c r="K38" s="4"/>
      <c r="L38" s="4" t="str">
        <f t="shared" si="6"/>
        <v/>
      </c>
      <c r="M38" s="4" t="str">
        <f t="shared" si="7"/>
        <v/>
      </c>
      <c r="N38" s="4" t="str">
        <f t="shared" si="8"/>
        <v/>
      </c>
      <c r="O38" s="4" t="str">
        <f t="shared" si="10"/>
        <v/>
      </c>
      <c r="P38" s="38" t="str">
        <f t="shared" si="9"/>
        <v/>
      </c>
      <c r="Q38" s="39" t="str">
        <f>IFERROR(AVERAGEIF(C$2:C$49,C38,P$2:P$49),"N/A")</f>
        <v>N/A</v>
      </c>
      <c r="U38" s="37"/>
    </row>
    <row r="39" spans="1:21" x14ac:dyDescent="0.25">
      <c r="A39" s="4"/>
      <c r="B39" s="36"/>
      <c r="C39" s="4"/>
      <c r="D39" s="4"/>
      <c r="E39" s="4"/>
      <c r="F39" s="4"/>
      <c r="G39" s="4"/>
      <c r="H39" s="4"/>
      <c r="I39" s="36"/>
      <c r="J39" s="4"/>
      <c r="K39" s="4"/>
      <c r="L39" s="4" t="str">
        <f t="shared" si="6"/>
        <v/>
      </c>
      <c r="M39" s="4" t="str">
        <f t="shared" si="7"/>
        <v/>
      </c>
      <c r="N39" s="4" t="str">
        <f t="shared" si="8"/>
        <v/>
      </c>
      <c r="O39" s="4" t="str">
        <f t="shared" si="10"/>
        <v/>
      </c>
      <c r="P39" s="38" t="str">
        <f t="shared" si="9"/>
        <v/>
      </c>
      <c r="Q39" s="39" t="str">
        <f>IFERROR(AVERAGEIF(C$2:C$49,C39,P$2:P$49),"N/A")</f>
        <v>N/A</v>
      </c>
      <c r="U39" s="37"/>
    </row>
    <row r="40" spans="1:21" x14ac:dyDescent="0.25">
      <c r="A40" s="4"/>
      <c r="B40" s="36"/>
      <c r="C40" s="4"/>
      <c r="D40" s="4"/>
      <c r="E40" s="4"/>
      <c r="F40" s="4"/>
      <c r="G40" s="4"/>
      <c r="H40" s="4"/>
      <c r="I40" s="36"/>
      <c r="J40" s="4"/>
      <c r="K40" s="4"/>
      <c r="L40" s="4" t="str">
        <f t="shared" si="6"/>
        <v/>
      </c>
      <c r="M40" s="4" t="str">
        <f t="shared" si="7"/>
        <v/>
      </c>
      <c r="N40" s="4" t="str">
        <f t="shared" si="8"/>
        <v/>
      </c>
      <c r="O40" s="4" t="str">
        <f t="shared" si="10"/>
        <v/>
      </c>
      <c r="P40" s="38" t="str">
        <f t="shared" si="9"/>
        <v/>
      </c>
      <c r="Q40" s="39" t="str">
        <f>IFERROR(AVERAGEIF(C$2:C$49,C40,P$2:P$49),"N/A")</f>
        <v>N/A</v>
      </c>
      <c r="U40" s="37"/>
    </row>
    <row r="41" spans="1:21" x14ac:dyDescent="0.25">
      <c r="A41" s="4"/>
      <c r="B41" s="36"/>
      <c r="C41" s="4"/>
      <c r="D41" s="4"/>
      <c r="E41" s="4"/>
      <c r="F41" s="4"/>
      <c r="G41" s="4"/>
      <c r="H41" s="4"/>
      <c r="I41" s="36"/>
      <c r="J41" s="4"/>
      <c r="K41" s="4"/>
      <c r="L41" s="4" t="str">
        <f t="shared" si="6"/>
        <v/>
      </c>
      <c r="M41" s="4" t="str">
        <f t="shared" si="7"/>
        <v/>
      </c>
      <c r="N41" s="4" t="str">
        <f t="shared" si="8"/>
        <v/>
      </c>
      <c r="O41" s="4" t="str">
        <f t="shared" si="10"/>
        <v/>
      </c>
      <c r="P41" s="38" t="str">
        <f t="shared" si="9"/>
        <v/>
      </c>
      <c r="Q41" s="39" t="str">
        <f>IFERROR(AVERAGEIF(C$2:C$49,C41,P$2:P$49),"N/A")</f>
        <v>N/A</v>
      </c>
      <c r="U41" s="37"/>
    </row>
    <row r="42" spans="1:21" x14ac:dyDescent="0.25">
      <c r="A42" s="4"/>
      <c r="B42" s="36"/>
      <c r="C42" s="4"/>
      <c r="D42" s="4"/>
      <c r="E42" s="4"/>
      <c r="F42" s="4"/>
      <c r="G42" s="4"/>
      <c r="H42" s="4"/>
      <c r="I42" s="36"/>
      <c r="J42" s="4"/>
      <c r="K42" s="4"/>
      <c r="L42" s="4" t="str">
        <f t="shared" si="6"/>
        <v/>
      </c>
      <c r="M42" s="4" t="str">
        <f t="shared" si="7"/>
        <v/>
      </c>
      <c r="N42" s="4" t="str">
        <f t="shared" si="8"/>
        <v/>
      </c>
      <c r="O42" s="4" t="str">
        <f t="shared" si="10"/>
        <v/>
      </c>
      <c r="P42" s="38" t="str">
        <f t="shared" si="9"/>
        <v/>
      </c>
      <c r="Q42" s="39" t="str">
        <f>IFERROR(AVERAGEIF(C$2:C$49,C42,P$2:P$49),"N/A")</f>
        <v>N/A</v>
      </c>
      <c r="U42" s="37"/>
    </row>
    <row r="43" spans="1:21" x14ac:dyDescent="0.25">
      <c r="A43" s="4"/>
      <c r="B43" s="36"/>
      <c r="C43" s="4"/>
      <c r="D43" s="4"/>
      <c r="E43" s="4"/>
      <c r="F43" s="4"/>
      <c r="G43" s="4"/>
      <c r="H43" s="4"/>
      <c r="I43" s="36"/>
      <c r="J43" s="4"/>
      <c r="K43" s="4"/>
      <c r="L43" s="4" t="str">
        <f t="shared" si="6"/>
        <v/>
      </c>
      <c r="M43" s="4" t="str">
        <f t="shared" si="7"/>
        <v/>
      </c>
      <c r="N43" s="4" t="str">
        <f t="shared" si="8"/>
        <v/>
      </c>
      <c r="O43" s="4" t="str">
        <f t="shared" si="10"/>
        <v/>
      </c>
      <c r="P43" s="38" t="str">
        <f t="shared" si="9"/>
        <v/>
      </c>
      <c r="Q43" s="39" t="str">
        <f>IFERROR(AVERAGEIF(C$2:C$49,C43,P$2:P$49),"N/A")</f>
        <v>N/A</v>
      </c>
      <c r="U43" s="37"/>
    </row>
    <row r="44" spans="1:21" x14ac:dyDescent="0.25">
      <c r="A44" s="4"/>
      <c r="B44" s="36"/>
      <c r="C44" s="4"/>
      <c r="D44" s="4"/>
      <c r="E44" s="4"/>
      <c r="F44" s="4"/>
      <c r="G44" s="4"/>
      <c r="H44" s="4"/>
      <c r="I44" s="36"/>
      <c r="J44" s="4"/>
      <c r="K44" s="4"/>
      <c r="L44" s="4" t="str">
        <f t="shared" si="6"/>
        <v/>
      </c>
      <c r="M44" s="4" t="str">
        <f t="shared" si="7"/>
        <v/>
      </c>
      <c r="N44" s="4" t="str">
        <f t="shared" si="8"/>
        <v/>
      </c>
      <c r="O44" s="4" t="str">
        <f t="shared" si="10"/>
        <v/>
      </c>
      <c r="P44" s="38" t="str">
        <f t="shared" si="9"/>
        <v/>
      </c>
      <c r="Q44" s="39" t="str">
        <f>IFERROR(AVERAGEIF(C$2:C$49,C44,P$2:P$49),"N/A")</f>
        <v>N/A</v>
      </c>
      <c r="U44" s="37"/>
    </row>
    <row r="45" spans="1:21" x14ac:dyDescent="0.25">
      <c r="A45" s="4"/>
      <c r="B45" s="36"/>
      <c r="C45" s="4"/>
      <c r="D45" s="4"/>
      <c r="E45" s="4"/>
      <c r="F45" s="4"/>
      <c r="G45" s="4"/>
      <c r="H45" s="4"/>
      <c r="I45" s="36"/>
      <c r="J45" s="4"/>
      <c r="K45" s="4"/>
      <c r="L45" s="4" t="str">
        <f t="shared" si="6"/>
        <v/>
      </c>
      <c r="M45" s="4" t="str">
        <f t="shared" si="7"/>
        <v/>
      </c>
      <c r="N45" s="4" t="str">
        <f t="shared" si="8"/>
        <v/>
      </c>
      <c r="O45" s="4" t="str">
        <f t="shared" si="10"/>
        <v/>
      </c>
      <c r="P45" s="38" t="str">
        <f t="shared" si="9"/>
        <v/>
      </c>
      <c r="Q45" s="39" t="str">
        <f>IFERROR(AVERAGEIF(C$2:C$49,C45,P$2:P$49),"N/A")</f>
        <v>N/A</v>
      </c>
      <c r="U45" s="37"/>
    </row>
    <row r="46" spans="1:21" x14ac:dyDescent="0.25">
      <c r="A46" s="4"/>
      <c r="B46" s="36"/>
      <c r="C46" s="4"/>
      <c r="D46" s="4"/>
      <c r="E46" s="4"/>
      <c r="F46" s="4"/>
      <c r="G46" s="4"/>
      <c r="H46" s="4"/>
      <c r="I46" s="36"/>
      <c r="J46" s="4"/>
      <c r="K46" s="4"/>
      <c r="L46" s="4" t="str">
        <f t="shared" si="6"/>
        <v/>
      </c>
      <c r="M46" s="4" t="str">
        <f t="shared" si="7"/>
        <v/>
      </c>
      <c r="N46" s="4" t="str">
        <f t="shared" si="8"/>
        <v/>
      </c>
      <c r="O46" s="4" t="str">
        <f t="shared" si="10"/>
        <v/>
      </c>
      <c r="P46" s="38" t="str">
        <f t="shared" si="9"/>
        <v/>
      </c>
      <c r="Q46" s="39" t="str">
        <f>IFERROR(AVERAGEIF(C$2:C$49,C46,P$2:P$49),"N/A")</f>
        <v>N/A</v>
      </c>
      <c r="U46" s="37"/>
    </row>
    <row r="47" spans="1:21" x14ac:dyDescent="0.25">
      <c r="A47" s="4"/>
      <c r="B47" s="36"/>
      <c r="C47" s="4"/>
      <c r="D47" s="4"/>
      <c r="E47" s="4"/>
      <c r="F47" s="4"/>
      <c r="G47" s="4"/>
      <c r="H47" s="4"/>
      <c r="I47" s="36"/>
      <c r="J47" s="4"/>
      <c r="K47" s="4"/>
      <c r="L47" s="4" t="str">
        <f t="shared" si="6"/>
        <v/>
      </c>
      <c r="M47" s="4" t="str">
        <f t="shared" si="7"/>
        <v/>
      </c>
      <c r="N47" s="4" t="str">
        <f t="shared" si="8"/>
        <v/>
      </c>
      <c r="O47" s="4" t="str">
        <f t="shared" si="10"/>
        <v/>
      </c>
      <c r="P47" s="38" t="str">
        <f t="shared" si="9"/>
        <v/>
      </c>
      <c r="Q47" s="39" t="str">
        <f>IFERROR(AVERAGEIF(C$2:C$49,C47,P$2:P$49),"N/A")</f>
        <v>N/A</v>
      </c>
      <c r="U47" s="37"/>
    </row>
    <row r="48" spans="1:21" x14ac:dyDescent="0.25">
      <c r="A48" s="4"/>
      <c r="B48" s="36"/>
      <c r="C48" s="4"/>
      <c r="D48" s="4"/>
      <c r="E48" s="4"/>
      <c r="F48" s="4"/>
      <c r="G48" s="4"/>
      <c r="H48" s="4"/>
      <c r="I48" s="36"/>
      <c r="J48" s="4"/>
      <c r="K48" s="4"/>
      <c r="L48" s="4" t="str">
        <f t="shared" si="6"/>
        <v/>
      </c>
      <c r="M48" s="4" t="str">
        <f t="shared" si="7"/>
        <v/>
      </c>
      <c r="N48" s="4" t="str">
        <f t="shared" si="8"/>
        <v/>
      </c>
      <c r="O48" s="4" t="str">
        <f t="shared" si="10"/>
        <v/>
      </c>
      <c r="P48" s="38" t="str">
        <f t="shared" si="9"/>
        <v/>
      </c>
      <c r="Q48" s="39" t="str">
        <f>IFERROR(AVERAGEIF(C$2:C$49,C48,P$2:P$49),"N/A")</f>
        <v>N/A</v>
      </c>
      <c r="U48" s="37"/>
    </row>
    <row r="49" spans="1:21" x14ac:dyDescent="0.25">
      <c r="A49" s="4"/>
      <c r="B49" s="36"/>
      <c r="C49" s="4"/>
      <c r="D49" s="4"/>
      <c r="E49" s="4"/>
      <c r="F49" s="4"/>
      <c r="G49" s="4"/>
      <c r="H49" s="4"/>
      <c r="I49" s="36"/>
      <c r="J49" s="4"/>
      <c r="K49" s="4"/>
      <c r="L49" s="4" t="str">
        <f t="shared" si="6"/>
        <v/>
      </c>
      <c r="M49" s="4" t="str">
        <f t="shared" si="7"/>
        <v/>
      </c>
      <c r="N49" s="4" t="str">
        <f t="shared" si="8"/>
        <v/>
      </c>
      <c r="O49" s="4" t="str">
        <f t="shared" si="10"/>
        <v/>
      </c>
      <c r="P49" s="38" t="str">
        <f t="shared" si="9"/>
        <v/>
      </c>
      <c r="Q49" s="39" t="str">
        <f>IFERROR(AVERAGEIF(C$2:C$49,C49,P$2:P$49),"N/A")</f>
        <v>N/A</v>
      </c>
      <c r="U49" s="37"/>
    </row>
  </sheetData>
  <autoFilter ref="A1:P49" xr:uid="{00000000-0009-0000-0000-000000000000}"/>
  <conditionalFormatting sqref="G2:H49 K3:K992 J3:J49">
    <cfRule type="cellIs" dxfId="40" priority="4" operator="equal">
      <formula>"SIM"</formula>
    </cfRule>
    <cfRule type="cellIs" dxfId="39" priority="5" operator="equal">
      <formula>"NÃO"</formula>
    </cfRule>
  </conditionalFormatting>
  <conditionalFormatting sqref="J2:K2">
    <cfRule type="cellIs" dxfId="38" priority="6" operator="equal">
      <formula>"SIM"</formula>
    </cfRule>
    <cfRule type="cellIs" dxfId="37" priority="7" operator="equal">
      <formula>"NÃO"</formula>
    </cfRule>
  </conditionalFormatting>
  <conditionalFormatting sqref="Q50:Q992 P2:Q49">
    <cfRule type="cellIs" dxfId="36" priority="8" operator="lessThan">
      <formula>50</formula>
    </cfRule>
    <cfRule type="cellIs" dxfId="35" priority="9" operator="between">
      <formula>50</formula>
      <formula>79</formula>
    </cfRule>
    <cfRule type="cellIs" dxfId="34" priority="10" operator="greaterThanOrEqual">
      <formula>80</formula>
    </cfRule>
  </conditionalFormatting>
  <dataValidations count="5">
    <dataValidation type="date" allowBlank="1" sqref="I2:I3 B2:B3" xr:uid="{00000000-0002-0000-0000-000002000000}">
      <formula1>DATE(2000,1,1)</formula1>
      <formula2>DATE(2100,12,31)</formula2>
    </dataValidation>
    <dataValidation type="decimal" operator="greaterThanOrEqual" allowBlank="1" sqref="F2:F3" xr:uid="{00000000-0002-0000-0000-000003000000}">
      <formula1>0</formula1>
      <formula2>0</formula2>
    </dataValidation>
    <dataValidation type="list" allowBlank="1" sqref="G2:H6 J2:J6" xr:uid="{00000000-0002-0000-0000-000001000000}">
      <formula1>"SIM,NÃO"</formula1>
      <formula2>0</formula2>
    </dataValidation>
    <dataValidation type="list" allowBlank="1" sqref="K2:K992" xr:uid="{00000000-0002-0000-0000-000000000000}">
      <formula1>"Não Conformidade Grave,Não Conformidade,Conformidade,Observação"</formula1>
      <formula2>0</formula2>
    </dataValidation>
    <dataValidation type="list" allowBlank="1" sqref="V2:V992" xr:uid="{00000000-0002-0000-0000-000004000000}">
      <formula1>"Aberto,Em andamento,Concluído"</formula1>
    </dataValidation>
  </dataValidations>
  <pageMargins left="0.75" right="0.75" top="1" bottom="1" header="0.511811023622047" footer="0.511811023622047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52904-D6E8-4CC9-A67B-383FD537F806}">
  <dimension ref="A1:V5"/>
  <sheetViews>
    <sheetView workbookViewId="0">
      <selection activeCell="P20" sqref="P20"/>
    </sheetView>
  </sheetViews>
  <sheetFormatPr defaultRowHeight="15" x14ac:dyDescent="0.25"/>
  <cols>
    <col min="1" max="1" width="11.7109375" bestFit="1" customWidth="1"/>
    <col min="2" max="2" width="18.28515625" style="37" bestFit="1" customWidth="1"/>
    <col min="3" max="3" width="9.42578125" bestFit="1" customWidth="1"/>
    <col min="4" max="4" width="15.5703125" bestFit="1" customWidth="1"/>
    <col min="5" max="5" width="11.42578125" bestFit="1" customWidth="1"/>
    <col min="6" max="6" width="16.140625" bestFit="1" customWidth="1"/>
    <col min="7" max="7" width="16.140625" customWidth="1"/>
    <col min="8" max="8" width="18.5703125" bestFit="1" customWidth="1"/>
    <col min="9" max="9" width="11.140625" bestFit="1" customWidth="1"/>
    <col min="10" max="10" width="23.7109375" bestFit="1" customWidth="1"/>
    <col min="11" max="11" width="9.85546875" bestFit="1" customWidth="1"/>
    <col min="12" max="12" width="14.85546875" bestFit="1" customWidth="1"/>
    <col min="13" max="13" width="11.140625" bestFit="1" customWidth="1"/>
    <col min="14" max="14" width="7.140625" bestFit="1" customWidth="1"/>
    <col min="15" max="15" width="13.85546875" bestFit="1" customWidth="1"/>
    <col min="16" max="16" width="16.7109375" bestFit="1" customWidth="1"/>
    <col min="17" max="17" width="12" bestFit="1" customWidth="1"/>
    <col min="18" max="18" width="11.28515625" bestFit="1" customWidth="1"/>
    <col min="19" max="19" width="13.5703125" bestFit="1" customWidth="1"/>
    <col min="20" max="20" width="12.140625" bestFit="1" customWidth="1"/>
    <col min="21" max="21" width="5.85546875" bestFit="1" customWidth="1"/>
    <col min="22" max="22" width="13.85546875" bestFit="1" customWidth="1"/>
  </cols>
  <sheetData>
    <row r="1" spans="1:22" x14ac:dyDescent="0.25">
      <c r="A1" t="s">
        <v>0</v>
      </c>
      <c r="B1" s="37" t="s">
        <v>1</v>
      </c>
      <c r="C1" t="s">
        <v>2</v>
      </c>
      <c r="D1" t="s">
        <v>3</v>
      </c>
      <c r="E1" t="s">
        <v>5</v>
      </c>
      <c r="F1" t="s">
        <v>68</v>
      </c>
      <c r="G1" s="58" t="s">
        <v>242</v>
      </c>
      <c r="H1" t="s">
        <v>69</v>
      </c>
      <c r="I1" t="s">
        <v>70</v>
      </c>
      <c r="J1" t="s">
        <v>10</v>
      </c>
      <c r="K1" t="s">
        <v>11</v>
      </c>
      <c r="L1" s="58" t="s">
        <v>284</v>
      </c>
      <c r="M1" t="s">
        <v>12</v>
      </c>
      <c r="N1" t="s">
        <v>13</v>
      </c>
      <c r="O1" t="s">
        <v>14</v>
      </c>
      <c r="P1" t="s">
        <v>71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5">
      <c r="A2">
        <v>928734</v>
      </c>
      <c r="B2" s="37">
        <v>46283</v>
      </c>
      <c r="C2" t="s">
        <v>22</v>
      </c>
      <c r="D2" t="s">
        <v>34</v>
      </c>
      <c r="E2">
        <v>1</v>
      </c>
      <c r="F2" s="4" t="s">
        <v>25</v>
      </c>
      <c r="G2" s="4" t="s">
        <v>25</v>
      </c>
      <c r="H2" s="8" t="s">
        <v>72</v>
      </c>
      <c r="I2" s="4" t="s">
        <v>25</v>
      </c>
      <c r="J2" s="4" t="s">
        <v>17</v>
      </c>
      <c r="K2">
        <f>IF(F2="","",IF(F2="SIM",1,0))</f>
        <v>1</v>
      </c>
      <c r="L2">
        <f>IF(G2="","",IF(G2="SIM",1,0))</f>
        <v>1</v>
      </c>
      <c r="M2">
        <f>IF(H2="","",IF(H2="Automático",1,IF(H2="Manual",0.5,IF(H2="Não atualizado",0,""))))</f>
        <v>1</v>
      </c>
      <c r="N2">
        <f>IF(I2="","",IF(I2="SIM",1,0))</f>
        <v>1</v>
      </c>
      <c r="O2" t="str">
        <f>IF(J2="","",IF(J2="Conformidade",1,IF(J2="Não Conformidade",0,IF(J2="Não Conformidade Grave",-1,""))))</f>
        <v/>
      </c>
      <c r="P2">
        <f>IF(COUNTA(F2:J2)=0,"",ROUND(AVERAGE(K2:O2)*100,0))</f>
        <v>100</v>
      </c>
      <c r="Q2" s="51">
        <f>IFERROR(AVERAGEIF(C$2:C$171,C2,P$2:P$171),"N/A")</f>
        <v>80</v>
      </c>
    </row>
    <row r="3" spans="1:22" x14ac:dyDescent="0.25">
      <c r="A3">
        <v>928734</v>
      </c>
      <c r="B3" s="37">
        <v>46283</v>
      </c>
      <c r="C3" t="s">
        <v>22</v>
      </c>
      <c r="D3" t="s">
        <v>23</v>
      </c>
      <c r="E3">
        <v>1</v>
      </c>
      <c r="F3" s="4" t="s">
        <v>25</v>
      </c>
      <c r="G3" s="4" t="s">
        <v>25</v>
      </c>
      <c r="H3" s="8" t="s">
        <v>72</v>
      </c>
      <c r="I3" s="4" t="s">
        <v>27</v>
      </c>
      <c r="J3" s="4" t="s">
        <v>28</v>
      </c>
      <c r="K3">
        <f>IF(F3="","",IF(F3="SIM",1,0))</f>
        <v>1</v>
      </c>
      <c r="L3">
        <f t="shared" ref="L3:L5" si="0">IF(G3="","",IF(G3="SIM",1,0))</f>
        <v>1</v>
      </c>
      <c r="M3">
        <f>IF(H3="","",IF(H3="Automático",1,IF(H3="Manual",0.5,IF(H3="Não atualizado",0,""))))</f>
        <v>1</v>
      </c>
      <c r="N3">
        <f>IF(I3="","",IF(I3="SIM",1,0))</f>
        <v>0</v>
      </c>
      <c r="O3">
        <f>IF(J3="","",IF(J3="Conformidade",1,IF(J3="Não Conformidade",0,IF(J3="Não Conformidade Grave",-1,""))))</f>
        <v>0</v>
      </c>
      <c r="P3">
        <f>IF(COUNTA(F3:J3)=0,"",ROUND(AVERAGE(K3:O3)*100,0))</f>
        <v>60</v>
      </c>
      <c r="Q3" s="51">
        <f>IFERROR(AVERAGEIF(C$2:C$171,C3,P$2:P$171),"N/A")</f>
        <v>80</v>
      </c>
    </row>
    <row r="4" spans="1:22" x14ac:dyDescent="0.25">
      <c r="A4">
        <v>928734</v>
      </c>
      <c r="B4" s="37">
        <v>46283</v>
      </c>
      <c r="C4" t="s">
        <v>22</v>
      </c>
      <c r="D4" t="s">
        <v>38</v>
      </c>
      <c r="E4">
        <v>1</v>
      </c>
      <c r="F4" s="4" t="s">
        <v>25</v>
      </c>
      <c r="G4" s="4" t="s">
        <v>25</v>
      </c>
      <c r="H4" s="8" t="s">
        <v>72</v>
      </c>
      <c r="I4" s="4" t="s">
        <v>27</v>
      </c>
      <c r="J4" s="4" t="s">
        <v>28</v>
      </c>
      <c r="K4">
        <f>IF(F4="","",IF(F4="SIM",1,0))</f>
        <v>1</v>
      </c>
      <c r="L4">
        <f t="shared" si="0"/>
        <v>1</v>
      </c>
      <c r="M4">
        <f>IF(H4="","",IF(H4="Automático",1,IF(H4="Manual",0.5,IF(H4="Não atualizado",0,""))))</f>
        <v>1</v>
      </c>
      <c r="N4">
        <f>IF(I4="","",IF(I4="SIM",1,0))</f>
        <v>0</v>
      </c>
      <c r="O4">
        <f>IF(J4="","",IF(J4="Conformidade",1,IF(J4="Não Conformidade",0,IF(J4="Não Conformidade Grave",-1,""))))</f>
        <v>0</v>
      </c>
      <c r="P4">
        <f>IF(COUNTA(F4:J4)=0,"",ROUND(AVERAGE(K4:O4)*100,0))</f>
        <v>60</v>
      </c>
      <c r="Q4" s="51">
        <f>IFERROR(AVERAGEIF(C$2:C$171,C4,P$2:P$171),"N/A")</f>
        <v>80</v>
      </c>
    </row>
    <row r="5" spans="1:22" x14ac:dyDescent="0.25">
      <c r="A5">
        <v>928734</v>
      </c>
      <c r="B5" s="37">
        <v>46283</v>
      </c>
      <c r="C5" t="s">
        <v>22</v>
      </c>
      <c r="D5" t="s">
        <v>50</v>
      </c>
      <c r="E5">
        <v>1</v>
      </c>
      <c r="F5" s="4" t="s">
        <v>25</v>
      </c>
      <c r="G5" s="4" t="s">
        <v>25</v>
      </c>
      <c r="H5" s="8" t="s">
        <v>72</v>
      </c>
      <c r="I5" s="4" t="s">
        <v>25</v>
      </c>
      <c r="J5" s="4" t="s">
        <v>14</v>
      </c>
      <c r="K5">
        <f>IF(F5="","",IF(F5="SIM",1,0))</f>
        <v>1</v>
      </c>
      <c r="L5">
        <f t="shared" si="0"/>
        <v>1</v>
      </c>
      <c r="M5">
        <f>IF(H5="","",IF(H5="Automático",1,IF(H5="Manual",0.5,IF(H5="Não atualizado",0,""))))</f>
        <v>1</v>
      </c>
      <c r="N5">
        <f>IF(I5="","",IF(I5="SIM",1,0))</f>
        <v>1</v>
      </c>
      <c r="O5">
        <f>IF(J5="","",IF(J5="Conformidade",1,IF(J5="Não Conformidade",0,IF(J5="Não Conformidade Grave",-1,""))))</f>
        <v>1</v>
      </c>
      <c r="P5">
        <f>IF(COUNTA(F5:J5)=0,"",ROUND(AVERAGE(K5:O5)*100,0))</f>
        <v>100</v>
      </c>
      <c r="Q5" s="51">
        <f>IFERROR(AVERAGEIF(C$2:C$171,C5,P$2:P$171),"N/A")</f>
        <v>80</v>
      </c>
    </row>
  </sheetData>
  <conditionalFormatting sqref="I2:J5 F2:G5">
    <cfRule type="cellIs" dxfId="33" priority="3" operator="equal">
      <formula>"SIM"</formula>
    </cfRule>
    <cfRule type="cellIs" dxfId="32" priority="4" operator="equal">
      <formula>"NÃO"</formula>
    </cfRule>
  </conditionalFormatting>
  <dataValidations count="3">
    <dataValidation type="list" allowBlank="1" sqref="H2:H5" xr:uid="{C3BB923A-7C00-4145-9F4D-51BD86D8D251}">
      <formula1>"Automático,Manual,Não atualizado"</formula1>
      <formula2>0</formula2>
    </dataValidation>
    <dataValidation type="list" allowBlank="1" sqref="J2:J5" xr:uid="{69B316C6-6E8C-4750-8B48-0B95D02A3253}">
      <formula1>"Não Conformidade Grave,Não Conformidade,Conformidade,Observação"</formula1>
      <formula2>0</formula2>
    </dataValidation>
    <dataValidation type="list" allowBlank="1" sqref="I2:I5 F2:G5" xr:uid="{99D6AFA3-078F-4A18-8D26-749847694146}">
      <formula1>"SIM,NÃO"</formula1>
      <formula2>0</formula2>
    </dataValidation>
  </dataValidations>
  <pageMargins left="0.75" right="0.75" top="1" bottom="1" header="0.5" footer="0.5"/>
  <pageSetup paperSize="9" orientation="portrait" r:id="rId1"/>
  <ignoredErrors>
    <ignoredError sqref="M2:M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"/>
  <sheetViews>
    <sheetView topLeftCell="F1" zoomScaleNormal="100" workbookViewId="0">
      <pane ySplit="1" topLeftCell="A2" activePane="bottomLeft" state="frozen"/>
      <selection pane="bottomLeft" activeCell="L4" sqref="L4"/>
    </sheetView>
  </sheetViews>
  <sheetFormatPr defaultColWidth="8.7109375" defaultRowHeight="15" x14ac:dyDescent="0.25"/>
  <cols>
    <col min="1" max="1" width="10.7109375" bestFit="1" customWidth="1"/>
    <col min="2" max="2" width="15.28515625" bestFit="1" customWidth="1"/>
    <col min="3" max="3" width="8.7109375" bestFit="1" customWidth="1"/>
    <col min="4" max="4" width="15.28515625" bestFit="1" customWidth="1"/>
    <col min="5" max="5" width="41.85546875" style="31" customWidth="1"/>
    <col min="6" max="6" width="10.28515625" bestFit="1" customWidth="1"/>
    <col min="7" max="7" width="6.42578125" bestFit="1" customWidth="1"/>
    <col min="8" max="8" width="16.140625" customWidth="1"/>
    <col min="9" max="9" width="14.140625" bestFit="1" customWidth="1"/>
    <col min="10" max="10" width="16" customWidth="1"/>
    <col min="11" max="11" width="11.5703125" bestFit="1" customWidth="1"/>
    <col min="12" max="12" width="23.7109375" bestFit="1" customWidth="1"/>
    <col min="13" max="13" width="8.85546875" bestFit="1" customWidth="1"/>
    <col min="14" max="14" width="10.140625" bestFit="1" customWidth="1"/>
    <col min="15" max="15" width="6.42578125" bestFit="1" customWidth="1"/>
    <col min="16" max="16" width="12" bestFit="1" customWidth="1"/>
    <col min="17" max="17" width="7.5703125" bestFit="1" customWidth="1"/>
    <col min="18" max="18" width="12" bestFit="1" customWidth="1"/>
    <col min="19" max="20" width="49.5703125" style="31" customWidth="1"/>
    <col min="21" max="21" width="23.5703125" bestFit="1" customWidth="1"/>
    <col min="23" max="23" width="16.28515625" bestFit="1" customWidth="1"/>
  </cols>
  <sheetData>
    <row r="1" spans="1:23" s="47" customFormat="1" x14ac:dyDescent="0.25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6" t="s">
        <v>6</v>
      </c>
      <c r="H1" s="46" t="s">
        <v>242</v>
      </c>
      <c r="I1" s="46" t="s">
        <v>7</v>
      </c>
      <c r="J1" s="46" t="s">
        <v>8</v>
      </c>
      <c r="K1" s="46" t="s">
        <v>9</v>
      </c>
      <c r="L1" s="46" t="s">
        <v>10</v>
      </c>
      <c r="M1" s="46" t="s">
        <v>11</v>
      </c>
      <c r="N1" s="46" t="s">
        <v>12</v>
      </c>
      <c r="O1" s="46" t="s">
        <v>13</v>
      </c>
      <c r="P1" s="46" t="s">
        <v>14</v>
      </c>
      <c r="Q1" s="46" t="s">
        <v>15</v>
      </c>
      <c r="R1" s="46" t="s">
        <v>16</v>
      </c>
      <c r="S1" s="49" t="s">
        <v>17</v>
      </c>
      <c r="T1" s="49" t="s">
        <v>18</v>
      </c>
      <c r="U1" s="47" t="s">
        <v>19</v>
      </c>
      <c r="V1" s="47" t="s">
        <v>20</v>
      </c>
      <c r="W1" s="47" t="s">
        <v>21</v>
      </c>
    </row>
    <row r="2" spans="1:23" ht="45" customHeight="1" x14ac:dyDescent="0.25">
      <c r="A2" s="7">
        <v>928734</v>
      </c>
      <c r="B2" s="40">
        <v>46283</v>
      </c>
      <c r="C2" s="8" t="s">
        <v>22</v>
      </c>
      <c r="D2" s="8" t="s">
        <v>23</v>
      </c>
      <c r="E2" s="48" t="s">
        <v>74</v>
      </c>
      <c r="F2" s="8">
        <v>1</v>
      </c>
      <c r="G2" s="8" t="s">
        <v>25</v>
      </c>
      <c r="H2" s="8" t="s">
        <v>25</v>
      </c>
      <c r="I2" s="8" t="s">
        <v>25</v>
      </c>
      <c r="J2" s="40" t="s">
        <v>26</v>
      </c>
      <c r="K2" s="8" t="s">
        <v>25</v>
      </c>
      <c r="L2" s="8" t="s">
        <v>17</v>
      </c>
      <c r="M2" s="7">
        <f>IF(G2="","",IF(G2="SIM",1,IF(G2="NÃO",0,"")))</f>
        <v>1</v>
      </c>
      <c r="N2" s="7">
        <f t="shared" ref="N2:N4" si="0">IF(I2="","",IF(I2="SIM",1,IF(I2="NÃO",0,"")))</f>
        <v>1</v>
      </c>
      <c r="O2" s="7">
        <f>IF(K2="","",IF(K2="SIM",1,IF(K2="NÃO",0,"")))</f>
        <v>1</v>
      </c>
      <c r="P2" s="7" t="str">
        <f>IF(L2="","",IF(L2="Conformidade",1,IF(L2="Não Conformidade",0,IF(L2="Não Conformidade Grave",-1,""))))</f>
        <v/>
      </c>
      <c r="Q2" s="7">
        <f>IF(COUNTA(G2:I2,K2:L2)=0,"",ROUND(AVERAGE(M2:P2)*100,0))</f>
        <v>100</v>
      </c>
      <c r="R2" s="8">
        <f>IFERROR(AVERAGEIF(C$2:C$5,C2,Q$2:Q$5),"N/A")</f>
        <v>62.5</v>
      </c>
      <c r="S2" s="31" t="s">
        <v>75</v>
      </c>
      <c r="T2" s="31" t="s">
        <v>76</v>
      </c>
      <c r="U2" t="s">
        <v>283</v>
      </c>
      <c r="V2" t="s">
        <v>32</v>
      </c>
      <c r="W2" t="s">
        <v>33</v>
      </c>
    </row>
    <row r="3" spans="1:23" ht="45" customHeight="1" x14ac:dyDescent="0.25">
      <c r="A3" s="7">
        <v>928734</v>
      </c>
      <c r="B3" s="40">
        <v>46283</v>
      </c>
      <c r="C3" s="8" t="s">
        <v>22</v>
      </c>
      <c r="D3" s="8" t="s">
        <v>50</v>
      </c>
      <c r="E3" s="48" t="s">
        <v>77</v>
      </c>
      <c r="F3" s="8">
        <v>1</v>
      </c>
      <c r="G3" s="8" t="s">
        <v>25</v>
      </c>
      <c r="H3" s="8" t="s">
        <v>25</v>
      </c>
      <c r="I3" s="8" t="s">
        <v>25</v>
      </c>
      <c r="J3" s="40" t="s">
        <v>26</v>
      </c>
      <c r="K3" s="8" t="s">
        <v>25</v>
      </c>
      <c r="L3" s="8" t="s">
        <v>17</v>
      </c>
      <c r="M3" s="7">
        <f>IF(G3="","",IF(G3="SIM",1,IF(G3="NÃO",0,"")))</f>
        <v>1</v>
      </c>
      <c r="N3" s="7">
        <f t="shared" si="0"/>
        <v>1</v>
      </c>
      <c r="O3" s="7">
        <f>IF(K3="","",IF(K3="SIM",1,IF(K3="NÃO",0,"")))</f>
        <v>1</v>
      </c>
      <c r="P3" s="41" t="str">
        <f>IF(L3="","",IF(L3="Conformidade",1,IF(L3="Não Conformidade",0,IF(L3="Não Conformidade Grave",-1,""))))</f>
        <v/>
      </c>
      <c r="Q3" s="50">
        <f>IF(COUNTA(G3:I3,K3:L3)=0,"",ROUND(AVERAGE(M3:P3)*100,0))</f>
        <v>100</v>
      </c>
      <c r="R3" s="8">
        <f>IFERROR(AVERAGEIF(C$2:C$5,C3,Q$2:Q$5),"N/A")</f>
        <v>62.5</v>
      </c>
      <c r="S3" s="31" t="s">
        <v>78</v>
      </c>
      <c r="T3" s="31" t="s">
        <v>79</v>
      </c>
      <c r="U3" t="s">
        <v>283</v>
      </c>
      <c r="V3" t="s">
        <v>32</v>
      </c>
      <c r="W3" t="s">
        <v>33</v>
      </c>
    </row>
    <row r="4" spans="1:23" ht="45" customHeight="1" x14ac:dyDescent="0.25">
      <c r="A4" s="7">
        <v>928734</v>
      </c>
      <c r="B4" s="40">
        <v>46283</v>
      </c>
      <c r="C4" s="8" t="s">
        <v>22</v>
      </c>
      <c r="D4" s="8" t="s">
        <v>34</v>
      </c>
      <c r="E4" s="48" t="s">
        <v>80</v>
      </c>
      <c r="F4" s="8">
        <v>1</v>
      </c>
      <c r="G4" s="8" t="s">
        <v>27</v>
      </c>
      <c r="H4" s="60" t="s">
        <v>26</v>
      </c>
      <c r="I4" s="60" t="s">
        <v>26</v>
      </c>
      <c r="J4" s="60" t="s">
        <v>26</v>
      </c>
      <c r="K4" s="60" t="s">
        <v>26</v>
      </c>
      <c r="L4" s="8" t="s">
        <v>73</v>
      </c>
      <c r="M4" s="7">
        <f>IF(G4="","",IF(G4="SIM",1,IF(G4="NÃO",0,"")))</f>
        <v>0</v>
      </c>
      <c r="N4" s="7" t="str">
        <f>IF(I4="","",IF(I4="SIM",1,IF(I4="NÃO",0,"")))</f>
        <v/>
      </c>
      <c r="O4" s="7" t="str">
        <f>IF(K4="","",IF(K4="SIM",1,IF(K4="NÃO",0,"")))</f>
        <v/>
      </c>
      <c r="P4" s="41">
        <f>IF(L4="","",IF(L4="Conformidade",1,IF(L4="Não Conformidade",0,IF(L4="Não Conformidade Grave",-1,""))))</f>
        <v>-1</v>
      </c>
      <c r="Q4" s="50">
        <f>IF(COUNTA(G4:I4,K4:L4)=0,"",ROUND(AVERAGE(M4:P4)*100,0))</f>
        <v>-50</v>
      </c>
      <c r="R4" s="8">
        <f>IFERROR(AVERAGEIF(C$2:C$5,C5,Q$2:Q$5),"N/A")</f>
        <v>62.5</v>
      </c>
      <c r="S4" s="31" t="s">
        <v>81</v>
      </c>
      <c r="T4" s="31" t="s">
        <v>82</v>
      </c>
      <c r="U4" t="s">
        <v>283</v>
      </c>
      <c r="V4" t="s">
        <v>32</v>
      </c>
      <c r="W4" t="s">
        <v>33</v>
      </c>
    </row>
    <row r="5" spans="1:23" x14ac:dyDescent="0.25">
      <c r="A5" s="7">
        <v>928734</v>
      </c>
      <c r="B5" s="40">
        <v>46283</v>
      </c>
      <c r="C5" s="8" t="s">
        <v>22</v>
      </c>
      <c r="D5" s="58" t="s">
        <v>38</v>
      </c>
      <c r="F5" s="59">
        <v>0</v>
      </c>
      <c r="G5" s="60" t="s">
        <v>25</v>
      </c>
      <c r="H5" s="8" t="s">
        <v>25</v>
      </c>
      <c r="I5" s="8" t="s">
        <v>25</v>
      </c>
      <c r="J5" s="8" t="s">
        <v>25</v>
      </c>
      <c r="K5" s="8" t="s">
        <v>25</v>
      </c>
      <c r="L5" s="8" t="s">
        <v>14</v>
      </c>
      <c r="M5" s="7">
        <f>IF(G5="","",IF(G5="SIM",1,IF(G5="NÃO",0,"")))</f>
        <v>1</v>
      </c>
      <c r="N5" s="7">
        <f>IF(I5="","",IF(I5="SIM",1,IF(I5="NÃO",0,"")))</f>
        <v>1</v>
      </c>
      <c r="O5" s="7">
        <f>IF(K5="","",IF(K5="SIM",1,IF(K5="NÃO",0,"")))</f>
        <v>1</v>
      </c>
      <c r="P5" s="41">
        <f>IF(L5="","",IF(L5="Conformidade",1,IF(L5="Não Conformidade",0,IF(L5="Não Conformidade Grave",-1,""))))</f>
        <v>1</v>
      </c>
      <c r="Q5" s="50">
        <f>IF(COUNTA(G5:I5,K5:L5)=0,"",ROUND(AVERAGE(M5:P5)*100,0))</f>
        <v>100</v>
      </c>
      <c r="R5" s="8">
        <f>IFERROR(AVERAGEIF(C$2:C$5,C5,Q$2:Q$5),"N/A")</f>
        <v>62.5</v>
      </c>
    </row>
  </sheetData>
  <conditionalFormatting sqref="G2:G5 I2:K3 H4:K4">
    <cfRule type="cellIs" dxfId="31" priority="7" operator="equal">
      <formula>"SIM"</formula>
    </cfRule>
    <cfRule type="cellIs" dxfId="30" priority="8" operator="equal">
      <formula>"NÃO"</formula>
    </cfRule>
  </conditionalFormatting>
  <conditionalFormatting sqref="P2:Q5">
    <cfRule type="cellIs" dxfId="29" priority="20" operator="lessThan">
      <formula>50</formula>
    </cfRule>
    <cfRule type="cellIs" dxfId="28" priority="21" operator="between">
      <formula>50</formula>
      <formula>79</formula>
    </cfRule>
    <cfRule type="cellIs" dxfId="27" priority="22" operator="greaterThanOrEqual">
      <formula>80</formula>
    </cfRule>
  </conditionalFormatting>
  <conditionalFormatting sqref="H2:H3">
    <cfRule type="cellIs" dxfId="26" priority="3" operator="equal">
      <formula>"SIM"</formula>
    </cfRule>
    <cfRule type="cellIs" dxfId="25" priority="4" operator="equal">
      <formula>"NÃO"</formula>
    </cfRule>
  </conditionalFormatting>
  <conditionalFormatting sqref="H5:K5">
    <cfRule type="cellIs" dxfId="24" priority="1" operator="equal">
      <formula>"SIM"</formula>
    </cfRule>
    <cfRule type="cellIs" dxfId="23" priority="2" operator="equal">
      <formula>"NÃO"</formula>
    </cfRule>
  </conditionalFormatting>
  <dataValidations count="5">
    <dataValidation type="decimal" operator="greaterThanOrEqual" allowBlank="1" sqref="F2:F4" xr:uid="{00000000-0002-0000-0200-000000000000}">
      <formula1>0</formula1>
      <formula2>0</formula2>
    </dataValidation>
    <dataValidation type="list" allowBlank="1" sqref="G2:K5" xr:uid="{00000000-0002-0000-0200-000001000000}">
      <formula1>"SIM,NÃO"</formula1>
      <formula2>0</formula2>
    </dataValidation>
    <dataValidation type="list" allowBlank="1" sqref="L2:L5" xr:uid="{00000000-0002-0000-0200-000002000000}">
      <formula1>"Não Conformidade Grave,Não Conformidade,Conformidade,Observação"</formula1>
      <formula2>0</formula2>
    </dataValidation>
    <dataValidation type="date" allowBlank="1" sqref="B2:B5" xr:uid="{00000000-0002-0000-0200-000003000000}">
      <formula1>DATE(2000,1,1)</formula1>
      <formula2>0</formula2>
    </dataValidation>
    <dataValidation type="list" allowBlank="1" sqref="V2:V4" xr:uid="{00000000-0002-0000-0200-000004000000}">
      <formula1>"Aberto,Em andamento,Concluído"</formula1>
    </dataValidation>
  </dataValidations>
  <pageMargins left="0.75" right="0.75" top="1" bottom="1" header="0.511811023622047" footer="0.511811023622047"/>
  <pageSetup paperSize="9" orientation="portrait" horizontalDpi="300" verticalDpi="300" r:id="rId1"/>
  <ignoredErrors>
    <ignoredError sqref="R4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5"/>
  <sheetViews>
    <sheetView topLeftCell="E1" zoomScaleNormal="100" workbookViewId="0">
      <pane ySplit="1" topLeftCell="A3" activePane="bottomLeft" state="frozen"/>
      <selection pane="bottomLeft" activeCell="K5" sqref="K5"/>
    </sheetView>
  </sheetViews>
  <sheetFormatPr defaultColWidth="8.7109375" defaultRowHeight="15" x14ac:dyDescent="0.25"/>
  <cols>
    <col min="1" max="1" width="10.7109375" bestFit="1" customWidth="1"/>
    <col min="2" max="2" width="15.28515625" bestFit="1" customWidth="1"/>
    <col min="3" max="3" width="8.7109375" bestFit="1" customWidth="1"/>
    <col min="4" max="4" width="37.5703125" bestFit="1" customWidth="1"/>
    <col min="5" max="5" width="41.85546875" style="31" customWidth="1"/>
    <col min="6" max="6" width="10.28515625" bestFit="1" customWidth="1"/>
    <col min="7" max="7" width="6.42578125" bestFit="1" customWidth="1"/>
    <col min="8" max="8" width="14.140625" bestFit="1" customWidth="1"/>
    <col min="9" max="9" width="16" bestFit="1" customWidth="1"/>
    <col min="10" max="10" width="11.5703125" bestFit="1" customWidth="1"/>
    <col min="11" max="11" width="18" bestFit="1" customWidth="1"/>
    <col min="12" max="12" width="8.85546875" bestFit="1" customWidth="1"/>
    <col min="13" max="13" width="10.140625" bestFit="1" customWidth="1"/>
    <col min="14" max="14" width="6.42578125" bestFit="1" customWidth="1"/>
    <col min="15" max="15" width="12" bestFit="1" customWidth="1"/>
    <col min="16" max="16" width="7.7109375" bestFit="1" customWidth="1"/>
    <col min="17" max="17" width="5.7109375" bestFit="1" customWidth="1"/>
    <col min="18" max="18" width="72.85546875" style="31" customWidth="1"/>
    <col min="19" max="19" width="49.5703125" style="31" customWidth="1"/>
    <col min="20" max="20" width="30.42578125" bestFit="1" customWidth="1"/>
    <col min="22" max="22" width="16.28515625" bestFit="1" customWidth="1"/>
  </cols>
  <sheetData>
    <row r="1" spans="1:22" s="47" customFormat="1" x14ac:dyDescent="0.25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6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6" t="s">
        <v>11</v>
      </c>
      <c r="M1" s="46" t="s">
        <v>12</v>
      </c>
      <c r="N1" s="46" t="s">
        <v>13</v>
      </c>
      <c r="O1" s="46" t="s">
        <v>14</v>
      </c>
      <c r="P1" s="47" t="s">
        <v>15</v>
      </c>
      <c r="Q1" s="47" t="s">
        <v>16</v>
      </c>
      <c r="R1" s="49" t="s">
        <v>17</v>
      </c>
      <c r="S1" s="49" t="s">
        <v>18</v>
      </c>
      <c r="T1" s="47" t="s">
        <v>19</v>
      </c>
      <c r="U1" s="47" t="s">
        <v>20</v>
      </c>
      <c r="V1" s="47" t="s">
        <v>21</v>
      </c>
    </row>
    <row r="2" spans="1:22" ht="90" customHeight="1" x14ac:dyDescent="0.25">
      <c r="A2" s="7">
        <v>928734</v>
      </c>
      <c r="B2" s="40">
        <v>46283</v>
      </c>
      <c r="C2" s="8" t="s">
        <v>22</v>
      </c>
      <c r="D2" s="8" t="s">
        <v>23</v>
      </c>
      <c r="E2" s="48" t="s">
        <v>24</v>
      </c>
      <c r="F2" s="8">
        <v>1</v>
      </c>
      <c r="G2" s="8" t="s">
        <v>25</v>
      </c>
      <c r="H2" s="8" t="s">
        <v>25</v>
      </c>
      <c r="I2" s="40" t="s">
        <v>26</v>
      </c>
      <c r="J2" s="8" t="s">
        <v>25</v>
      </c>
      <c r="K2" s="8" t="s">
        <v>14</v>
      </c>
      <c r="L2" s="7">
        <f>IF(G2="","",IF(G2="SIM",0.5,IF(G2="NÃO",0,"")))</f>
        <v>0.5</v>
      </c>
      <c r="M2" s="7">
        <f t="shared" ref="L2:M5" si="0">IF(H2="","",IF(H2="SIM",1,IF(H2="NÃO",0,"")))</f>
        <v>1</v>
      </c>
      <c r="N2" s="7">
        <f>IF(J2="","",IF(J2="SIM",1,IF(J2="NÃO",0,"")))</f>
        <v>1</v>
      </c>
      <c r="O2" s="8">
        <f>IF(K2="","",IF(K2="Conformidade",1,IF(K2="Não Conformidade",0,IF(K2="Não Conformidade Grave",-1,""))))</f>
        <v>1</v>
      </c>
      <c r="P2">
        <f>IF(COUNTA(G2:H2,J2:K2)=0,"",ROUND(AVERAGE(L2:O2)*100,0))</f>
        <v>88</v>
      </c>
      <c r="Q2">
        <f>IFERROR(AVERAGEIF(C$2:C$202,C2,P$2:P$202),"N/A")</f>
        <v>59.5</v>
      </c>
      <c r="R2" s="31" t="s">
        <v>29</v>
      </c>
      <c r="S2" s="31" t="s">
        <v>30</v>
      </c>
      <c r="T2" t="s">
        <v>31</v>
      </c>
      <c r="U2" t="s">
        <v>32</v>
      </c>
      <c r="V2" t="s">
        <v>33</v>
      </c>
    </row>
    <row r="3" spans="1:22" ht="90" x14ac:dyDescent="0.25">
      <c r="A3" s="7">
        <v>928734</v>
      </c>
      <c r="B3" s="40">
        <v>46283</v>
      </c>
      <c r="C3" s="8" t="s">
        <v>22</v>
      </c>
      <c r="D3" s="8" t="s">
        <v>34</v>
      </c>
      <c r="E3" s="48" t="s">
        <v>35</v>
      </c>
      <c r="F3" s="8">
        <v>1</v>
      </c>
      <c r="G3" s="8" t="s">
        <v>25</v>
      </c>
      <c r="H3" s="8" t="s">
        <v>25</v>
      </c>
      <c r="I3" s="40" t="s">
        <v>26</v>
      </c>
      <c r="J3" s="8" t="s">
        <v>25</v>
      </c>
      <c r="K3" s="8" t="s">
        <v>14</v>
      </c>
      <c r="L3" s="7">
        <f t="shared" si="0"/>
        <v>1</v>
      </c>
      <c r="M3" s="41">
        <f t="shared" si="0"/>
        <v>1</v>
      </c>
      <c r="N3" s="41">
        <f>IF(J3="","",IF(J3="SIM",1,IF(J3="NÃO",0,"")))</f>
        <v>1</v>
      </c>
      <c r="O3" s="8">
        <f>IF(K3="","",IF(K3="Conformidade",1,IF(K3="Não Conformidade",0,IF(K3="Não Conformidade Grave",-1,""))))</f>
        <v>1</v>
      </c>
      <c r="P3">
        <f>IF(COUNTA(G3:H3,J3:K3)=0,"",ROUND(AVERAGE(L3:O3)*100,0))</f>
        <v>100</v>
      </c>
      <c r="Q3">
        <f>IFERROR(AVERAGEIF(C$2:C$202,C3,P$2:P$202),"N/A")</f>
        <v>59.5</v>
      </c>
      <c r="R3" s="31" t="s">
        <v>36</v>
      </c>
      <c r="S3" s="31" t="s">
        <v>37</v>
      </c>
      <c r="T3" t="s">
        <v>31</v>
      </c>
      <c r="U3" t="s">
        <v>32</v>
      </c>
      <c r="V3" t="s">
        <v>33</v>
      </c>
    </row>
    <row r="4" spans="1:22" ht="90" x14ac:dyDescent="0.25">
      <c r="A4" s="7">
        <v>928734</v>
      </c>
      <c r="B4" s="40">
        <v>46283</v>
      </c>
      <c r="C4" s="8" t="s">
        <v>22</v>
      </c>
      <c r="D4" s="8" t="s">
        <v>34</v>
      </c>
      <c r="E4" s="61" t="s">
        <v>285</v>
      </c>
      <c r="F4" s="8">
        <v>1</v>
      </c>
      <c r="G4" s="8" t="s">
        <v>25</v>
      </c>
      <c r="H4" s="8" t="s">
        <v>25</v>
      </c>
      <c r="I4" s="40" t="s">
        <v>26</v>
      </c>
      <c r="J4" s="8" t="s">
        <v>25</v>
      </c>
      <c r="K4" s="8" t="s">
        <v>14</v>
      </c>
      <c r="L4" s="7">
        <f t="shared" ref="L4" si="1">IF(G4="","",IF(G4="SIM",1,IF(G4="NÃO",0,"")))</f>
        <v>1</v>
      </c>
      <c r="M4" s="41">
        <f t="shared" ref="M4" si="2">IF(H4="","",IF(H4="SIM",1,IF(H4="NÃO",0,"")))</f>
        <v>1</v>
      </c>
      <c r="N4" s="41">
        <f>IF(J4="","",IF(J4="SIM",1,IF(J4="NÃO",0,"")))</f>
        <v>1</v>
      </c>
      <c r="O4" s="8">
        <f>IF(K4="","",IF(K4="Conformidade",1,IF(K4="Não Conformidade",0,IF(K4="Não Conformidade Grave",-1,""))))</f>
        <v>1</v>
      </c>
      <c r="P4">
        <f>IF(COUNTA(G4:H4,J4:K4)=0,"",ROUND(AVERAGE(L4:O4)*100,0))</f>
        <v>100</v>
      </c>
      <c r="Q4">
        <f>IFERROR(AVERAGEIF(C$2:C$202,C4,P$2:P$202),"N/A")</f>
        <v>59.5</v>
      </c>
      <c r="R4" s="31" t="s">
        <v>36</v>
      </c>
      <c r="S4" s="31" t="s">
        <v>37</v>
      </c>
      <c r="T4" t="s">
        <v>31</v>
      </c>
      <c r="U4" t="s">
        <v>32</v>
      </c>
      <c r="V4" t="s">
        <v>33</v>
      </c>
    </row>
    <row r="5" spans="1:22" ht="45" x14ac:dyDescent="0.25">
      <c r="A5">
        <v>928734</v>
      </c>
      <c r="B5" s="37">
        <v>46283</v>
      </c>
      <c r="C5" t="s">
        <v>22</v>
      </c>
      <c r="D5" t="s">
        <v>38</v>
      </c>
      <c r="E5" s="31" t="s">
        <v>39</v>
      </c>
      <c r="F5">
        <v>1</v>
      </c>
      <c r="G5" s="37" t="s">
        <v>26</v>
      </c>
      <c r="H5" s="37" t="s">
        <v>26</v>
      </c>
      <c r="I5" s="37" t="s">
        <v>26</v>
      </c>
      <c r="J5" s="37" t="s">
        <v>26</v>
      </c>
      <c r="K5" s="8" t="s">
        <v>73</v>
      </c>
      <c r="L5">
        <v>0</v>
      </c>
      <c r="M5" t="str">
        <f t="shared" si="0"/>
        <v/>
      </c>
      <c r="N5" t="str">
        <f>IF(J5="","",IF(J5="SIM",1,IF(J5="NÃO",0,"")))</f>
        <v/>
      </c>
      <c r="O5">
        <f>IF(K5="","",IF(K5="Conformidade",1,IF(K5="Não Conformidade",0,IF(K5="Não Conformidade Grave",-1,""))))</f>
        <v>-1</v>
      </c>
      <c r="P5">
        <f>IF(COUNTA(G5:H5,I5:K5)=0,"",ROUND(AVERAGE(L5:O5)*100,0))</f>
        <v>-50</v>
      </c>
      <c r="Q5">
        <f>IFERROR(AVERAGEIF(C$2:C$202,C5,P$2:P$202),"N/A")</f>
        <v>59.5</v>
      </c>
      <c r="R5" s="31" t="s">
        <v>40</v>
      </c>
      <c r="S5" s="31" t="s">
        <v>41</v>
      </c>
      <c r="T5" t="s">
        <v>42</v>
      </c>
      <c r="U5" t="s">
        <v>32</v>
      </c>
      <c r="V5" t="s">
        <v>33</v>
      </c>
    </row>
  </sheetData>
  <conditionalFormatting sqref="G2:J4">
    <cfRule type="cellIs" dxfId="22" priority="5" operator="equal">
      <formula>"SIM"</formula>
    </cfRule>
    <cfRule type="cellIs" dxfId="21" priority="6" operator="equal">
      <formula>"NÃO"</formula>
    </cfRule>
  </conditionalFormatting>
  <conditionalFormatting sqref="M2:N4">
    <cfRule type="cellIs" dxfId="20" priority="20" operator="lessThan">
      <formula>50</formula>
    </cfRule>
    <cfRule type="cellIs" dxfId="19" priority="21" operator="between">
      <formula>50</formula>
      <formula>79</formula>
    </cfRule>
    <cfRule type="cellIs" dxfId="18" priority="22" operator="greaterThanOrEqual">
      <formula>80</formula>
    </cfRule>
  </conditionalFormatting>
  <dataValidations count="4">
    <dataValidation type="decimal" operator="greaterThanOrEqual" allowBlank="1" sqref="F2:F4" xr:uid="{00000000-0002-0000-0300-000000000000}">
      <formula1>0</formula1>
      <formula2>0</formula2>
    </dataValidation>
    <dataValidation type="list" allowBlank="1" sqref="G2:J4" xr:uid="{00000000-0002-0000-0300-000001000000}">
      <formula1>"SIM,NÃO"</formula1>
      <formula2>0</formula2>
    </dataValidation>
    <dataValidation type="list" allowBlank="1" sqref="K2:K5" xr:uid="{00000000-0002-0000-0300-000002000000}">
      <formula1>"Não Conformidade Grave,Não Conformidade,Conformidade,Observação"</formula1>
      <formula2>0</formula2>
    </dataValidation>
    <dataValidation type="date" allowBlank="1" sqref="B2:B4" xr:uid="{00000000-0002-0000-0300-000003000000}">
      <formula1>DATE(2000,1,1)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tabSelected="1" zoomScale="73" zoomScaleNormal="100" workbookViewId="0">
      <selection activeCell="B55" sqref="B55"/>
    </sheetView>
  </sheetViews>
  <sheetFormatPr defaultColWidth="14.42578125" defaultRowHeight="15" x14ac:dyDescent="0.25"/>
  <cols>
    <col min="1" max="1" width="36.42578125" customWidth="1"/>
    <col min="2" max="2" width="22" customWidth="1"/>
    <col min="3" max="3" width="3" customWidth="1"/>
    <col min="4" max="4" width="32.140625" customWidth="1"/>
    <col min="5" max="5" width="39.7109375" customWidth="1"/>
    <col min="6" max="8" width="15" customWidth="1"/>
    <col min="9" max="26" width="8.7109375" customWidth="1"/>
  </cols>
  <sheetData>
    <row r="1" spans="1:8" ht="25.5" customHeight="1" x14ac:dyDescent="0.3">
      <c r="A1" s="52" t="s">
        <v>83</v>
      </c>
      <c r="B1" s="53"/>
      <c r="C1" s="53"/>
      <c r="D1" s="53"/>
      <c r="E1" s="53"/>
      <c r="F1" s="53"/>
      <c r="G1" s="53"/>
      <c r="H1" s="53"/>
    </row>
    <row r="3" spans="1:8" ht="15" customHeight="1" x14ac:dyDescent="0.25">
      <c r="A3" s="9" t="s">
        <v>84</v>
      </c>
      <c r="B3" s="9" t="s">
        <v>85</v>
      </c>
      <c r="D3" s="10" t="s">
        <v>86</v>
      </c>
      <c r="E3" s="10" t="s">
        <v>87</v>
      </c>
    </row>
    <row r="4" spans="1:8" ht="15" customHeight="1" x14ac:dyDescent="0.25">
      <c r="A4" s="11" t="s">
        <v>88</v>
      </c>
      <c r="B4" s="12">
        <f>COUNT(Documentos!P2:P49)</f>
        <v>5</v>
      </c>
      <c r="D4" s="11" t="s">
        <v>89</v>
      </c>
      <c r="E4" t="s">
        <v>90</v>
      </c>
      <c r="F4" s="13"/>
    </row>
    <row r="5" spans="1:8" ht="15" customHeight="1" x14ac:dyDescent="0.25">
      <c r="A5" s="11" t="s">
        <v>91</v>
      </c>
      <c r="B5" s="12">
        <f>COUNTIF(Documentos!G2:G49,"SIM")</f>
        <v>5</v>
      </c>
      <c r="D5" s="11" t="s">
        <v>92</v>
      </c>
      <c r="E5" t="s">
        <v>93</v>
      </c>
      <c r="F5" s="13"/>
    </row>
    <row r="6" spans="1:8" ht="15" customHeight="1" x14ac:dyDescent="0.25">
      <c r="A6" s="11" t="s">
        <v>94</v>
      </c>
      <c r="B6" s="12">
        <f>COUNTIF(Documentos!H2:H49,"SIM")</f>
        <v>4</v>
      </c>
      <c r="D6" s="11" t="s">
        <v>95</v>
      </c>
      <c r="E6" t="s">
        <v>96</v>
      </c>
      <c r="F6" s="14"/>
    </row>
    <row r="7" spans="1:8" ht="15" customHeight="1" x14ac:dyDescent="0.25">
      <c r="A7" s="11" t="s">
        <v>97</v>
      </c>
      <c r="B7" s="12">
        <f>COUNTIF(Documentos!J2:J49,"SIM")</f>
        <v>3</v>
      </c>
      <c r="D7" s="11" t="s">
        <v>98</v>
      </c>
      <c r="E7" t="s">
        <v>99</v>
      </c>
      <c r="F7" s="14"/>
    </row>
    <row r="8" spans="1:8" ht="15" customHeight="1" x14ac:dyDescent="0.25">
      <c r="A8" s="11" t="s">
        <v>100</v>
      </c>
      <c r="B8" s="12">
        <f>IFERROR(COUNTIF(Documentos!K2:K49,"Conformidade")-COUNTIF(Documentos!K2:K49,"Não Conformidade Grave"),"")</f>
        <v>2</v>
      </c>
      <c r="D8" s="11" t="s">
        <v>101</v>
      </c>
      <c r="E8" t="s">
        <v>102</v>
      </c>
      <c r="F8" s="15"/>
    </row>
    <row r="9" spans="1:8" ht="15" customHeight="1" x14ac:dyDescent="0.25">
      <c r="A9" s="11" t="s">
        <v>103</v>
      </c>
      <c r="B9" s="16">
        <f>IFERROR(AVERAGE(Documentos!P2:P49),0)</f>
        <v>76.8</v>
      </c>
    </row>
    <row r="10" spans="1:8" ht="15" customHeight="1" x14ac:dyDescent="0.25">
      <c r="A10" s="11" t="s">
        <v>104</v>
      </c>
      <c r="B10" s="17">
        <f>IFERROR(COUNTIF(Documentos!G2:G49,"SIM")/COUNTA(Documentos!G2:G49),0)</f>
        <v>1</v>
      </c>
    </row>
    <row r="11" spans="1:8" ht="15" customHeight="1" x14ac:dyDescent="0.25">
      <c r="A11" s="11" t="s">
        <v>105</v>
      </c>
      <c r="B11" s="17">
        <f>IFERROR(COUNTIF(Documentos!H2:H49,"SIM")/COUNTA(Documentos!H2:H49),0)</f>
        <v>0.8</v>
      </c>
      <c r="D11" s="10" t="s">
        <v>106</v>
      </c>
    </row>
    <row r="12" spans="1:8" ht="15" customHeight="1" x14ac:dyDescent="0.25">
      <c r="A12" s="11" t="s">
        <v>107</v>
      </c>
      <c r="B12" s="17">
        <f>IFERROR(COUNTIF(Documentos!J2:J49,"SIM")/COUNTA(Documentos!J2:J49),0)</f>
        <v>0.6</v>
      </c>
      <c r="D12" s="54" t="s">
        <v>108</v>
      </c>
      <c r="E12" s="53"/>
      <c r="F12" s="53"/>
      <c r="G12" s="53"/>
      <c r="H12" s="53"/>
    </row>
    <row r="13" spans="1:8" ht="15" customHeight="1" x14ac:dyDescent="0.25">
      <c r="D13" s="53"/>
      <c r="E13" s="53"/>
      <c r="F13" s="53"/>
      <c r="G13" s="53"/>
      <c r="H13" s="53"/>
    </row>
    <row r="14" spans="1:8" ht="15" customHeight="1" x14ac:dyDescent="0.25">
      <c r="D14" s="53"/>
      <c r="E14" s="53"/>
      <c r="F14" s="53"/>
      <c r="G14" s="53"/>
      <c r="H14" s="53"/>
    </row>
    <row r="15" spans="1:8" ht="15" customHeight="1" x14ac:dyDescent="0.25">
      <c r="D15" s="53"/>
      <c r="E15" s="53"/>
      <c r="F15" s="53"/>
      <c r="G15" s="53"/>
      <c r="H15" s="53"/>
    </row>
    <row r="17" spans="1:2" ht="19.5" customHeight="1" x14ac:dyDescent="0.25">
      <c r="A17" s="55" t="s">
        <v>109</v>
      </c>
      <c r="B17" s="53"/>
    </row>
    <row r="18" spans="1:2" ht="15" customHeight="1" x14ac:dyDescent="0.25">
      <c r="A18" s="19" t="s">
        <v>110</v>
      </c>
      <c r="B18" s="20">
        <f>COUNT(Indicadores!P2:P201)</f>
        <v>4</v>
      </c>
    </row>
    <row r="19" spans="1:2" ht="15" customHeight="1" x14ac:dyDescent="0.25">
      <c r="A19" s="19" t="s">
        <v>111</v>
      </c>
      <c r="B19" s="20">
        <f>COUNTIF(Indicadores!F2:F201,"SIM")</f>
        <v>4</v>
      </c>
    </row>
    <row r="20" spans="1:2" ht="15" customHeight="1" x14ac:dyDescent="0.25">
      <c r="A20" s="19" t="s">
        <v>112</v>
      </c>
      <c r="B20" s="20">
        <f>COUNTIF(Indicadores!H2:H201,"Automático")+COUNTIF(Indicadores!H2:H201,"Manual")</f>
        <v>4</v>
      </c>
    </row>
    <row r="21" spans="1:2" ht="15.75" customHeight="1" x14ac:dyDescent="0.25">
      <c r="A21" s="19" t="s">
        <v>113</v>
      </c>
      <c r="B21" s="20">
        <f>COUNTIF(Indicadores!I2:I201,"SIM")</f>
        <v>2</v>
      </c>
    </row>
    <row r="22" spans="1:2" ht="15.75" customHeight="1" x14ac:dyDescent="0.25">
      <c r="A22" s="19" t="s">
        <v>114</v>
      </c>
      <c r="B22" s="20">
        <f>IFERROR(COUNTIF(Indicadores!J2:J201,"Conformidade")*1+COUNTIF(Indicadores!J2:J201,"Não Conformidade")*0+COUNTIF(Indicadores!J2:J201,"Não Conformidade Grave")*-1,"")</f>
        <v>1</v>
      </c>
    </row>
    <row r="23" spans="1:2" ht="15.75" customHeight="1" x14ac:dyDescent="0.25">
      <c r="A23" s="19" t="s">
        <v>115</v>
      </c>
      <c r="B23" s="21">
        <f>IFERROR(AVERAGE(Indicadores!P2:P201),0)</f>
        <v>80</v>
      </c>
    </row>
    <row r="24" spans="1:2" ht="15.75" customHeight="1" x14ac:dyDescent="0.25">
      <c r="A24" s="19" t="s">
        <v>104</v>
      </c>
      <c r="B24" s="22">
        <f>IFERROR(COUNTIF(Indicadores!G2:G201,"SIM")/COUNTA(Indicadores!G2:G201),0)</f>
        <v>1</v>
      </c>
    </row>
    <row r="25" spans="1:2" ht="15.75" customHeight="1" x14ac:dyDescent="0.25">
      <c r="A25" s="19" t="s">
        <v>116</v>
      </c>
      <c r="B25" s="22">
        <f>IFERROR((COUNTIF(Indicadores!H2:H201,"Automático")+COUNTIF(Indicadores!H2:H201,"Manual"))/COUNTA(Indicadores!H2:H201),0)</f>
        <v>1</v>
      </c>
    </row>
    <row r="26" spans="1:2" ht="15.75" customHeight="1" x14ac:dyDescent="0.25">
      <c r="A26" s="19" t="s">
        <v>107</v>
      </c>
      <c r="B26" s="22">
        <f>IFERROR(COUNTIF(Indicadores!I2:I201,"SIM")/COUNTA(Indicadores!I2:I201),0)</f>
        <v>0.5</v>
      </c>
    </row>
    <row r="27" spans="1:2" ht="15.75" customHeight="1" x14ac:dyDescent="0.25"/>
    <row r="28" spans="1:2" ht="19.5" customHeight="1" x14ac:dyDescent="0.25">
      <c r="A28" s="55" t="s">
        <v>117</v>
      </c>
      <c r="B28" s="53"/>
    </row>
    <row r="29" spans="1:2" ht="15.75" customHeight="1" x14ac:dyDescent="0.25">
      <c r="A29" s="19" t="s">
        <v>118</v>
      </c>
      <c r="B29" s="20">
        <f>COUNT(Treinamento!Q2:Q5)</f>
        <v>4</v>
      </c>
    </row>
    <row r="30" spans="1:2" ht="15.75" customHeight="1" x14ac:dyDescent="0.25">
      <c r="A30" s="19" t="s">
        <v>119</v>
      </c>
      <c r="B30" s="20">
        <f>COUNTIF(Treinamento!G2:G5,"SIM")</f>
        <v>3</v>
      </c>
    </row>
    <row r="31" spans="1:2" ht="15.75" customHeight="1" x14ac:dyDescent="0.25">
      <c r="A31" s="19" t="s">
        <v>120</v>
      </c>
      <c r="B31" s="20">
        <f>COUNTIF(Treinamento!I2:I5,"SIM")</f>
        <v>3</v>
      </c>
    </row>
    <row r="32" spans="1:2" ht="15.75" customHeight="1" x14ac:dyDescent="0.25">
      <c r="A32" s="19" t="s">
        <v>121</v>
      </c>
      <c r="B32" s="20">
        <f>COUNTIF(Treinamento!K2:K5,"SIM")</f>
        <v>3</v>
      </c>
    </row>
    <row r="33" spans="1:5" ht="15.75" customHeight="1" x14ac:dyDescent="0.25">
      <c r="A33" s="19" t="s">
        <v>122</v>
      </c>
      <c r="B33" s="20">
        <f>COUNTIF(Treinamento!L2:L5,"Conformidade")</f>
        <v>1</v>
      </c>
    </row>
    <row r="34" spans="1:5" ht="15.75" customHeight="1" x14ac:dyDescent="0.25">
      <c r="A34" s="19" t="s">
        <v>123</v>
      </c>
      <c r="B34" s="21">
        <f>IFERROR(AVERAGE(Treinamento!Q2:Q5),0)</f>
        <v>62.5</v>
      </c>
    </row>
    <row r="35" spans="1:5" ht="15.75" customHeight="1" x14ac:dyDescent="0.25">
      <c r="A35" s="19" t="s">
        <v>104</v>
      </c>
      <c r="B35" s="22">
        <f>IFERROR(COUNTIF(Treinamento!G2:G5,"SIM")/COUNTA(Treinamento!G2:G5),0)</f>
        <v>0.75</v>
      </c>
    </row>
    <row r="36" spans="1:5" ht="15.75" customHeight="1" x14ac:dyDescent="0.25">
      <c r="A36" s="19" t="s">
        <v>105</v>
      </c>
      <c r="B36" s="22">
        <f>IFERROR(COUNTIF(Treinamento!I2:I5,"SIM")/COUNTIF(Treinamento!I2:I5,"&lt;&gt;N/A"),0)</f>
        <v>1</v>
      </c>
    </row>
    <row r="37" spans="1:5" ht="15.75" customHeight="1" x14ac:dyDescent="0.25">
      <c r="A37" s="19" t="s">
        <v>107</v>
      </c>
      <c r="B37" s="22">
        <f>IFERROR(COUNTIF(Treinamento!K2:K5,"SIM")/COUNTIF(Treinamento!K2:K5,"&lt;&gt;N/A"),0)</f>
        <v>1</v>
      </c>
    </row>
    <row r="38" spans="1:5" ht="15.75" customHeight="1" x14ac:dyDescent="0.25"/>
    <row r="39" spans="1:5" ht="19.5" customHeight="1" x14ac:dyDescent="0.25">
      <c r="A39" s="55" t="s">
        <v>124</v>
      </c>
      <c r="B39" s="53"/>
    </row>
    <row r="40" spans="1:5" ht="15.75" customHeight="1" x14ac:dyDescent="0.25">
      <c r="A40" s="19" t="s">
        <v>125</v>
      </c>
      <c r="B40" s="20">
        <f>COUNT(Qualidade!P2:P5)</f>
        <v>4</v>
      </c>
    </row>
    <row r="41" spans="1:5" ht="15.75" customHeight="1" x14ac:dyDescent="0.25">
      <c r="A41" s="19" t="s">
        <v>126</v>
      </c>
      <c r="B41" s="20">
        <f>COUNTIF(Qualidade!G2:G5,"SIM")</f>
        <v>3</v>
      </c>
    </row>
    <row r="42" spans="1:5" ht="15.75" customHeight="1" x14ac:dyDescent="0.25">
      <c r="A42" s="19" t="s">
        <v>127</v>
      </c>
      <c r="B42" s="20">
        <f>COUNTIF(Qualidade!H2:H5,"SIM")</f>
        <v>3</v>
      </c>
    </row>
    <row r="43" spans="1:5" ht="15.75" customHeight="1" x14ac:dyDescent="0.25">
      <c r="A43" s="19" t="s">
        <v>128</v>
      </c>
      <c r="B43" s="20">
        <f>COUNTIF(Qualidade!J2:J5,"SIM")</f>
        <v>3</v>
      </c>
    </row>
    <row r="44" spans="1:5" ht="15.75" customHeight="1" x14ac:dyDescent="0.25">
      <c r="A44" s="19" t="s">
        <v>129</v>
      </c>
      <c r="B44" s="20">
        <f>COUNTIF(Qualidade!K2:K5,"Conformidade")</f>
        <v>3</v>
      </c>
    </row>
    <row r="45" spans="1:5" ht="15.75" customHeight="1" x14ac:dyDescent="0.25">
      <c r="A45" s="19" t="s">
        <v>130</v>
      </c>
      <c r="B45" s="21">
        <f>IFERROR(AVERAGE(Qualidade!P2:P5),0)</f>
        <v>59.5</v>
      </c>
    </row>
    <row r="46" spans="1:5" ht="15.75" customHeight="1" x14ac:dyDescent="0.25">
      <c r="A46" s="19" t="s">
        <v>104</v>
      </c>
      <c r="B46" s="22">
        <f>IFERROR(COUNTIF(Qualidade!G2:G5,"SIM")/COUNTA(Qualidade!G2:G5),0)</f>
        <v>0.75</v>
      </c>
    </row>
    <row r="47" spans="1:5" ht="15.75" customHeight="1" x14ac:dyDescent="0.25"/>
    <row r="48" spans="1:5" ht="19.5" customHeight="1" x14ac:dyDescent="0.25">
      <c r="A48" s="55" t="s">
        <v>131</v>
      </c>
      <c r="B48" s="53"/>
      <c r="C48" s="53"/>
      <c r="D48" s="53"/>
      <c r="E48" s="53"/>
    </row>
    <row r="49" spans="1:2" ht="15.75" customHeight="1" x14ac:dyDescent="0.25">
      <c r="A49" s="19" t="s">
        <v>132</v>
      </c>
      <c r="B49" s="21">
        <f>B9</f>
        <v>76.8</v>
      </c>
    </row>
    <row r="50" spans="1:2" ht="15.75" customHeight="1" x14ac:dyDescent="0.25">
      <c r="A50" s="19" t="s">
        <v>71</v>
      </c>
      <c r="B50" s="21">
        <f>B23</f>
        <v>80</v>
      </c>
    </row>
    <row r="51" spans="1:2" ht="15.75" customHeight="1" x14ac:dyDescent="0.25">
      <c r="A51" s="19" t="s">
        <v>133</v>
      </c>
      <c r="B51" s="21">
        <f>B34</f>
        <v>62.5</v>
      </c>
    </row>
    <row r="52" spans="1:2" ht="15.75" customHeight="1" x14ac:dyDescent="0.25">
      <c r="A52" s="19" t="s">
        <v>134</v>
      </c>
      <c r="B52" s="21">
        <f>B45</f>
        <v>59.5</v>
      </c>
    </row>
    <row r="53" spans="1:2" ht="15.75" customHeight="1" x14ac:dyDescent="0.25"/>
    <row r="54" spans="1:2" ht="15.75" customHeight="1" x14ac:dyDescent="0.25">
      <c r="A54" s="23" t="s">
        <v>135</v>
      </c>
      <c r="B54" s="24">
        <f>IFERROR(AVERAGE(B49:B52),0)</f>
        <v>69.7</v>
      </c>
    </row>
    <row r="55" spans="1:2" ht="15.75" customHeight="1" x14ac:dyDescent="0.25"/>
    <row r="56" spans="1:2" ht="15.75" customHeight="1" x14ac:dyDescent="0.25"/>
    <row r="57" spans="1:2" ht="15.75" customHeight="1" x14ac:dyDescent="0.25"/>
    <row r="58" spans="1:2" ht="15.75" customHeight="1" x14ac:dyDescent="0.25"/>
    <row r="59" spans="1:2" ht="15.75" customHeight="1" x14ac:dyDescent="0.25"/>
    <row r="60" spans="1:2" ht="15.75" customHeight="1" x14ac:dyDescent="0.25"/>
    <row r="61" spans="1:2" ht="15.75" customHeight="1" x14ac:dyDescent="0.25"/>
    <row r="62" spans="1:2" ht="15.75" customHeight="1" x14ac:dyDescent="0.25"/>
    <row r="63" spans="1:2" ht="15.75" customHeight="1" x14ac:dyDescent="0.25"/>
    <row r="64" spans="1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:H1"/>
    <mergeCell ref="D12:H15"/>
    <mergeCell ref="A48:E48"/>
    <mergeCell ref="A28:B28"/>
    <mergeCell ref="A17:B17"/>
    <mergeCell ref="A39:B39"/>
  </mergeCells>
  <conditionalFormatting sqref="B9">
    <cfRule type="cellIs" dxfId="17" priority="2" operator="lessThan">
      <formula>26</formula>
    </cfRule>
    <cfRule type="cellIs" dxfId="16" priority="3" operator="between">
      <formula>26</formula>
      <formula>75</formula>
    </cfRule>
    <cfRule type="cellIs" dxfId="15" priority="4" operator="greaterThanOrEqual">
      <formula>76</formula>
    </cfRule>
  </conditionalFormatting>
  <conditionalFormatting sqref="B23">
    <cfRule type="cellIs" dxfId="14" priority="5" operator="lessThan">
      <formula>26</formula>
    </cfRule>
    <cfRule type="cellIs" dxfId="13" priority="6" operator="between">
      <formula>26</formula>
      <formula>75</formula>
    </cfRule>
    <cfRule type="cellIs" dxfId="12" priority="7" operator="greaterThanOrEqual">
      <formula>76</formula>
    </cfRule>
  </conditionalFormatting>
  <conditionalFormatting sqref="B34">
    <cfRule type="cellIs" dxfId="11" priority="8" operator="lessThan">
      <formula>26</formula>
    </cfRule>
    <cfRule type="cellIs" dxfId="10" priority="9" operator="between">
      <formula>26</formula>
      <formula>75</formula>
    </cfRule>
    <cfRule type="cellIs" dxfId="9" priority="10" operator="greaterThanOrEqual">
      <formula>76</formula>
    </cfRule>
  </conditionalFormatting>
  <conditionalFormatting sqref="B45">
    <cfRule type="cellIs" dxfId="8" priority="11" operator="lessThan">
      <formula>26</formula>
    </cfRule>
    <cfRule type="cellIs" dxfId="7" priority="12" operator="between">
      <formula>26</formula>
      <formula>75</formula>
    </cfRule>
    <cfRule type="cellIs" dxfId="6" priority="13" operator="greaterThanOrEqual">
      <formula>76</formula>
    </cfRule>
  </conditionalFormatting>
  <conditionalFormatting sqref="B48:B52">
    <cfRule type="cellIs" dxfId="5" priority="14" operator="lessThan">
      <formula>26</formula>
    </cfRule>
    <cfRule type="cellIs" dxfId="4" priority="15" operator="between">
      <formula>26</formula>
      <formula>75</formula>
    </cfRule>
    <cfRule type="cellIs" dxfId="3" priority="16" operator="greaterThanOrEqual">
      <formula>76</formula>
    </cfRule>
  </conditionalFormatting>
  <conditionalFormatting sqref="B54">
    <cfRule type="cellIs" dxfId="2" priority="29" operator="lessThan">
      <formula>26</formula>
    </cfRule>
    <cfRule type="cellIs" dxfId="1" priority="30" operator="between">
      <formula>26</formula>
      <formula>75</formula>
    </cfRule>
    <cfRule type="cellIs" dxfId="0" priority="31" operator="greaterThanOrEqual">
      <formula>76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zoomScaleNormal="100" workbookViewId="0">
      <selection activeCell="A39" sqref="A39"/>
    </sheetView>
  </sheetViews>
  <sheetFormatPr defaultColWidth="23.85546875" defaultRowHeight="15" x14ac:dyDescent="0.25"/>
  <cols>
    <col min="1" max="1" width="24.5703125" bestFit="1" customWidth="1"/>
    <col min="2" max="2" width="84.28515625" bestFit="1" customWidth="1"/>
    <col min="3" max="3" width="9.28515625" bestFit="1" customWidth="1"/>
    <col min="4" max="4" width="14.85546875" bestFit="1" customWidth="1"/>
    <col min="5" max="5" width="65" bestFit="1" customWidth="1"/>
    <col min="6" max="6" width="23" bestFit="1" customWidth="1"/>
  </cols>
  <sheetData>
    <row r="1" spans="1:6" ht="17.45" customHeight="1" x14ac:dyDescent="0.3">
      <c r="A1" s="52" t="s">
        <v>136</v>
      </c>
      <c r="B1" s="53"/>
      <c r="C1" s="53"/>
      <c r="D1" s="53"/>
      <c r="E1" s="53"/>
      <c r="F1" s="53"/>
    </row>
    <row r="3" spans="1:6" ht="15" customHeight="1" x14ac:dyDescent="0.25">
      <c r="A3" s="25" t="s">
        <v>137</v>
      </c>
      <c r="B3" s="25" t="s">
        <v>138</v>
      </c>
      <c r="C3" s="25" t="s">
        <v>139</v>
      </c>
      <c r="D3" s="25" t="s">
        <v>140</v>
      </c>
      <c r="E3" s="25" t="s">
        <v>141</v>
      </c>
      <c r="F3" s="25" t="s">
        <v>142</v>
      </c>
    </row>
    <row r="4" spans="1:6" ht="15" customHeight="1" x14ac:dyDescent="0.25">
      <c r="A4" s="4" t="s">
        <v>1</v>
      </c>
      <c r="B4" s="4" t="s">
        <v>143</v>
      </c>
      <c r="C4" s="4" t="s">
        <v>144</v>
      </c>
      <c r="D4" s="4" t="s">
        <v>145</v>
      </c>
      <c r="E4" s="4" t="s">
        <v>146</v>
      </c>
      <c r="F4" s="4" t="s">
        <v>147</v>
      </c>
    </row>
    <row r="5" spans="1:6" ht="15" customHeight="1" x14ac:dyDescent="0.25">
      <c r="A5" s="4" t="s">
        <v>2</v>
      </c>
      <c r="B5" s="4" t="s">
        <v>148</v>
      </c>
      <c r="C5" s="4" t="s">
        <v>149</v>
      </c>
      <c r="D5" s="4" t="s">
        <v>145</v>
      </c>
      <c r="E5" s="4" t="s">
        <v>150</v>
      </c>
      <c r="F5" s="4" t="s">
        <v>151</v>
      </c>
    </row>
    <row r="6" spans="1:6" ht="15" customHeight="1" x14ac:dyDescent="0.25">
      <c r="A6" s="4" t="s">
        <v>152</v>
      </c>
      <c r="B6" s="4" t="s">
        <v>153</v>
      </c>
      <c r="C6" s="4" t="s">
        <v>149</v>
      </c>
      <c r="D6" s="4" t="s">
        <v>145</v>
      </c>
      <c r="E6" s="4" t="s">
        <v>154</v>
      </c>
      <c r="F6" s="4" t="s">
        <v>155</v>
      </c>
    </row>
    <row r="7" spans="1:6" ht="15" customHeight="1" x14ac:dyDescent="0.25">
      <c r="A7" s="4" t="s">
        <v>45</v>
      </c>
      <c r="B7" s="4" t="s">
        <v>156</v>
      </c>
      <c r="C7" s="4" t="s">
        <v>149</v>
      </c>
      <c r="D7" s="4" t="s">
        <v>145</v>
      </c>
      <c r="E7" s="4" t="s">
        <v>157</v>
      </c>
      <c r="F7" s="4" t="s">
        <v>158</v>
      </c>
    </row>
    <row r="8" spans="1:6" ht="28.35" customHeight="1" x14ac:dyDescent="0.25">
      <c r="A8" s="4" t="s">
        <v>5</v>
      </c>
      <c r="B8" s="4" t="s">
        <v>159</v>
      </c>
      <c r="C8" s="4" t="s">
        <v>160</v>
      </c>
      <c r="D8" s="4" t="s">
        <v>145</v>
      </c>
      <c r="E8" s="4" t="s">
        <v>161</v>
      </c>
      <c r="F8" s="4" t="s">
        <v>162</v>
      </c>
    </row>
    <row r="9" spans="1:6" ht="28.35" customHeight="1" x14ac:dyDescent="0.25">
      <c r="A9" s="4" t="s">
        <v>11</v>
      </c>
      <c r="B9" s="4" t="s">
        <v>163</v>
      </c>
      <c r="C9" s="4" t="s">
        <v>164</v>
      </c>
      <c r="D9" s="4" t="s">
        <v>145</v>
      </c>
      <c r="E9" s="4" t="s">
        <v>165</v>
      </c>
      <c r="F9" s="4" t="s">
        <v>25</v>
      </c>
    </row>
    <row r="10" spans="1:6" ht="15" customHeight="1" x14ac:dyDescent="0.25">
      <c r="A10" s="4" t="s">
        <v>12</v>
      </c>
      <c r="B10" s="4" t="s">
        <v>166</v>
      </c>
      <c r="C10" s="4" t="s">
        <v>164</v>
      </c>
      <c r="D10" s="4" t="s">
        <v>145</v>
      </c>
      <c r="E10" s="4" t="s">
        <v>167</v>
      </c>
      <c r="F10" s="4" t="s">
        <v>25</v>
      </c>
    </row>
    <row r="11" spans="1:6" ht="15" customHeight="1" x14ac:dyDescent="0.25">
      <c r="A11" s="4" t="s">
        <v>8</v>
      </c>
      <c r="B11" s="4" t="s">
        <v>168</v>
      </c>
      <c r="C11" s="4" t="s">
        <v>144</v>
      </c>
      <c r="D11" s="4" t="s">
        <v>169</v>
      </c>
      <c r="E11" s="4" t="s">
        <v>170</v>
      </c>
      <c r="F11" s="4" t="s">
        <v>171</v>
      </c>
    </row>
    <row r="12" spans="1:6" ht="28.35" customHeight="1" x14ac:dyDescent="0.25">
      <c r="A12" s="4" t="s">
        <v>70</v>
      </c>
      <c r="B12" s="4" t="s">
        <v>172</v>
      </c>
      <c r="C12" s="4" t="s">
        <v>164</v>
      </c>
      <c r="D12" s="4" t="s">
        <v>145</v>
      </c>
      <c r="E12" s="4" t="s">
        <v>173</v>
      </c>
      <c r="F12" s="4" t="s">
        <v>27</v>
      </c>
    </row>
    <row r="13" spans="1:6" ht="15" customHeight="1" x14ac:dyDescent="0.25">
      <c r="A13" s="4" t="s">
        <v>132</v>
      </c>
      <c r="B13" s="4" t="s">
        <v>174</v>
      </c>
      <c r="C13" s="4" t="s">
        <v>175</v>
      </c>
      <c r="D13" s="4" t="s">
        <v>72</v>
      </c>
      <c r="E13" s="4" t="s">
        <v>176</v>
      </c>
      <c r="F13" s="4" t="s">
        <v>177</v>
      </c>
    </row>
    <row r="14" spans="1:6" ht="28.35" customHeight="1" x14ac:dyDescent="0.25">
      <c r="A14" s="18" t="s">
        <v>10</v>
      </c>
      <c r="B14" s="18" t="s">
        <v>178</v>
      </c>
      <c r="C14" s="18"/>
      <c r="D14" s="18"/>
      <c r="E14" s="18"/>
      <c r="F14" s="18"/>
    </row>
    <row r="15" spans="1:6" ht="15" customHeight="1" x14ac:dyDescent="0.25">
      <c r="A15" s="18" t="s">
        <v>17</v>
      </c>
      <c r="B15" s="18" t="s">
        <v>179</v>
      </c>
      <c r="C15" s="18" t="s">
        <v>149</v>
      </c>
      <c r="D15" s="18" t="s">
        <v>145</v>
      </c>
    </row>
    <row r="17" spans="1:6" ht="19.5" customHeight="1" x14ac:dyDescent="0.25">
      <c r="A17" s="56" t="s">
        <v>109</v>
      </c>
      <c r="B17" s="53"/>
      <c r="C17" s="53"/>
      <c r="D17" s="53"/>
      <c r="E17" s="53"/>
      <c r="F17" s="53"/>
    </row>
    <row r="18" spans="1:6" ht="15" customHeight="1" x14ac:dyDescent="0.25">
      <c r="A18" s="26" t="s">
        <v>67</v>
      </c>
      <c r="B18" s="26" t="s">
        <v>180</v>
      </c>
      <c r="C18" s="26" t="s">
        <v>149</v>
      </c>
      <c r="D18" s="26" t="s">
        <v>145</v>
      </c>
      <c r="E18" s="26" t="s">
        <v>181</v>
      </c>
      <c r="F18" s="26" t="s">
        <v>182</v>
      </c>
    </row>
    <row r="19" spans="1:6" ht="28.35" customHeight="1" x14ac:dyDescent="0.25">
      <c r="A19" s="26" t="s">
        <v>68</v>
      </c>
      <c r="B19" s="26" t="s">
        <v>183</v>
      </c>
      <c r="C19" s="26" t="s">
        <v>164</v>
      </c>
      <c r="D19" s="26" t="s">
        <v>145</v>
      </c>
      <c r="E19" s="26" t="s">
        <v>165</v>
      </c>
      <c r="F19" s="26" t="s">
        <v>25</v>
      </c>
    </row>
    <row r="20" spans="1:6" ht="41.85" customHeight="1" x14ac:dyDescent="0.25">
      <c r="A20" s="26" t="s">
        <v>69</v>
      </c>
      <c r="B20" s="26" t="s">
        <v>184</v>
      </c>
      <c r="C20" s="26" t="s">
        <v>185</v>
      </c>
      <c r="D20" s="26" t="s">
        <v>145</v>
      </c>
      <c r="E20" s="26" t="s">
        <v>186</v>
      </c>
      <c r="F20" s="26" t="s">
        <v>72</v>
      </c>
    </row>
    <row r="21" spans="1:6" ht="15.75" customHeight="1" x14ac:dyDescent="0.25">
      <c r="A21" s="26" t="s">
        <v>70</v>
      </c>
      <c r="B21" s="26" t="s">
        <v>187</v>
      </c>
      <c r="C21" s="26" t="s">
        <v>164</v>
      </c>
      <c r="D21" s="26" t="s">
        <v>145</v>
      </c>
      <c r="E21" s="26" t="s">
        <v>188</v>
      </c>
      <c r="F21" s="26" t="s">
        <v>25</v>
      </c>
    </row>
    <row r="22" spans="1:6" ht="15.75" customHeight="1" x14ac:dyDescent="0.25">
      <c r="A22" s="26" t="s">
        <v>71</v>
      </c>
      <c r="B22" s="26" t="s">
        <v>174</v>
      </c>
      <c r="C22" s="26" t="s">
        <v>175</v>
      </c>
      <c r="D22" s="26" t="s">
        <v>72</v>
      </c>
      <c r="E22" s="26" t="s">
        <v>189</v>
      </c>
      <c r="F22" s="26" t="s">
        <v>190</v>
      </c>
    </row>
    <row r="23" spans="1:6" ht="15.75" customHeight="1" x14ac:dyDescent="0.25"/>
    <row r="24" spans="1:6" ht="19.5" customHeight="1" x14ac:dyDescent="0.25">
      <c r="A24" s="56" t="s">
        <v>117</v>
      </c>
      <c r="B24" s="53"/>
      <c r="C24" s="53"/>
      <c r="D24" s="53"/>
      <c r="E24" s="53"/>
      <c r="F24" s="53"/>
    </row>
    <row r="25" spans="1:6" x14ac:dyDescent="0.25">
      <c r="A25" s="26" t="s">
        <v>191</v>
      </c>
      <c r="B25" s="26" t="s">
        <v>192</v>
      </c>
      <c r="C25" s="26" t="s">
        <v>149</v>
      </c>
      <c r="D25" s="26" t="s">
        <v>145</v>
      </c>
      <c r="E25" s="26" t="s">
        <v>193</v>
      </c>
      <c r="F25" s="26" t="s">
        <v>194</v>
      </c>
    </row>
    <row r="26" spans="1:6" ht="45" customHeight="1" x14ac:dyDescent="0.25">
      <c r="A26" s="26" t="s">
        <v>195</v>
      </c>
      <c r="B26" s="26" t="s">
        <v>196</v>
      </c>
      <c r="C26" s="26" t="s">
        <v>164</v>
      </c>
      <c r="D26" s="26" t="s">
        <v>145</v>
      </c>
      <c r="E26" s="26" t="s">
        <v>197</v>
      </c>
      <c r="F26" s="26" t="s">
        <v>25</v>
      </c>
    </row>
    <row r="27" spans="1:6" ht="15.75" customHeight="1" x14ac:dyDescent="0.25">
      <c r="A27" s="26" t="s">
        <v>198</v>
      </c>
      <c r="B27" s="26" t="s">
        <v>199</v>
      </c>
      <c r="C27" s="26" t="s">
        <v>164</v>
      </c>
      <c r="D27" s="26" t="s">
        <v>145</v>
      </c>
      <c r="E27" s="26" t="s">
        <v>200</v>
      </c>
      <c r="F27" s="26" t="s">
        <v>25</v>
      </c>
    </row>
    <row r="28" spans="1:6" x14ac:dyDescent="0.25">
      <c r="A28" s="26" t="s">
        <v>201</v>
      </c>
      <c r="B28" s="26" t="s">
        <v>202</v>
      </c>
      <c r="C28" s="26" t="s">
        <v>164</v>
      </c>
      <c r="D28" s="26" t="s">
        <v>145</v>
      </c>
      <c r="E28" s="26" t="s">
        <v>203</v>
      </c>
      <c r="F28" s="26" t="s">
        <v>27</v>
      </c>
    </row>
    <row r="29" spans="1:6" ht="15.75" customHeight="1" x14ac:dyDescent="0.25">
      <c r="A29" s="26" t="s">
        <v>133</v>
      </c>
      <c r="B29" s="26" t="s">
        <v>174</v>
      </c>
      <c r="C29" s="26" t="s">
        <v>175</v>
      </c>
      <c r="D29" s="26" t="s">
        <v>72</v>
      </c>
      <c r="E29" s="26" t="s">
        <v>204</v>
      </c>
      <c r="F29" s="26" t="s">
        <v>190</v>
      </c>
    </row>
    <row r="30" spans="1:6" ht="15.75" customHeight="1" x14ac:dyDescent="0.25"/>
    <row r="31" spans="1:6" ht="19.5" customHeight="1" x14ac:dyDescent="0.25">
      <c r="A31" s="56" t="s">
        <v>124</v>
      </c>
      <c r="B31" s="53"/>
      <c r="C31" s="53"/>
      <c r="D31" s="53"/>
      <c r="E31" s="53"/>
      <c r="F31" s="53"/>
    </row>
    <row r="32" spans="1:6" ht="15.75" customHeight="1" x14ac:dyDescent="0.25">
      <c r="A32" s="26" t="s">
        <v>205</v>
      </c>
      <c r="B32" s="26" t="s">
        <v>206</v>
      </c>
      <c r="C32" s="26" t="s">
        <v>149</v>
      </c>
      <c r="D32" s="26" t="s">
        <v>145</v>
      </c>
      <c r="E32" s="26" t="s">
        <v>207</v>
      </c>
      <c r="F32" s="26" t="s">
        <v>155</v>
      </c>
    </row>
    <row r="33" spans="1:6" ht="30" customHeight="1" x14ac:dyDescent="0.25">
      <c r="A33" s="26" t="s">
        <v>208</v>
      </c>
      <c r="B33" s="26" t="s">
        <v>209</v>
      </c>
      <c r="C33" s="26" t="s">
        <v>164</v>
      </c>
      <c r="D33" s="26" t="s">
        <v>145</v>
      </c>
      <c r="E33" s="26" t="s">
        <v>210</v>
      </c>
      <c r="F33" s="26" t="s">
        <v>25</v>
      </c>
    </row>
    <row r="34" spans="1:6" ht="30" customHeight="1" x14ac:dyDescent="0.25">
      <c r="A34" s="26" t="s">
        <v>211</v>
      </c>
      <c r="B34" s="26" t="s">
        <v>212</v>
      </c>
      <c r="C34" s="26" t="s">
        <v>185</v>
      </c>
      <c r="D34" s="26" t="s">
        <v>145</v>
      </c>
      <c r="E34" s="26" t="s">
        <v>213</v>
      </c>
      <c r="F34" s="26" t="s">
        <v>214</v>
      </c>
    </row>
    <row r="35" spans="1:6" ht="15.75" customHeight="1" x14ac:dyDescent="0.25">
      <c r="A35" s="26" t="s">
        <v>134</v>
      </c>
      <c r="B35" s="26" t="s">
        <v>174</v>
      </c>
      <c r="C35" s="26" t="s">
        <v>175</v>
      </c>
      <c r="D35" s="26" t="s">
        <v>72</v>
      </c>
      <c r="E35" s="26" t="s">
        <v>215</v>
      </c>
      <c r="F35" s="26" t="s">
        <v>190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24:F24"/>
    <mergeCell ref="A31:F31"/>
    <mergeCell ref="A1:F1"/>
    <mergeCell ref="A17:F17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topLeftCell="C2" zoomScaleNormal="100" workbookViewId="0">
      <selection activeCell="G4" sqref="G4"/>
    </sheetView>
  </sheetViews>
  <sheetFormatPr defaultColWidth="14.42578125" defaultRowHeight="15" x14ac:dyDescent="0.25"/>
  <cols>
    <col min="1" max="1" width="12" bestFit="1" customWidth="1"/>
    <col min="2" max="2" width="37.5703125" bestFit="1" customWidth="1"/>
    <col min="3" max="3" width="39.85546875" bestFit="1" customWidth="1"/>
    <col min="4" max="4" width="15.85546875" bestFit="1" customWidth="1"/>
    <col min="5" max="5" width="20.7109375" bestFit="1" customWidth="1"/>
    <col min="6" max="6" width="9.42578125" bestFit="1" customWidth="1"/>
    <col min="7" max="7" width="82.42578125" bestFit="1" customWidth="1"/>
    <col min="8" max="26" width="8.7109375" customWidth="1"/>
  </cols>
  <sheetData>
    <row r="1" spans="1:7" ht="17.45" customHeight="1" x14ac:dyDescent="0.3">
      <c r="A1" s="52" t="s">
        <v>216</v>
      </c>
      <c r="B1" s="53"/>
      <c r="C1" s="53"/>
      <c r="D1" s="53"/>
      <c r="E1" s="53"/>
      <c r="F1" s="53"/>
      <c r="G1" s="53"/>
    </row>
    <row r="3" spans="1:7" ht="15" customHeight="1" x14ac:dyDescent="0.25">
      <c r="A3" s="25" t="s">
        <v>217</v>
      </c>
      <c r="B3" s="25" t="s">
        <v>84</v>
      </c>
      <c r="C3" s="25" t="s">
        <v>218</v>
      </c>
      <c r="D3" s="25" t="s">
        <v>219</v>
      </c>
      <c r="E3" s="25" t="s">
        <v>220</v>
      </c>
      <c r="F3" s="25" t="s">
        <v>221</v>
      </c>
      <c r="G3" s="25" t="s">
        <v>17</v>
      </c>
    </row>
    <row r="4" spans="1:7" ht="15" customHeight="1" x14ac:dyDescent="0.25">
      <c r="A4" s="4" t="s">
        <v>11</v>
      </c>
      <c r="B4" s="4" t="s">
        <v>222</v>
      </c>
      <c r="C4" s="4" t="s">
        <v>223</v>
      </c>
      <c r="D4" s="42">
        <v>0.33329999999999999</v>
      </c>
      <c r="E4" s="42">
        <f>IFERROR(COUNTIF(Documentos!G2:G3,"SIM")/COUNTA(Documentos!G2:G3)*D4,0)</f>
        <v>0.33329999999999999</v>
      </c>
      <c r="F4" s="4" t="s">
        <v>224</v>
      </c>
      <c r="G4" s="4" t="s">
        <v>225</v>
      </c>
    </row>
    <row r="5" spans="1:7" ht="15" customHeight="1" x14ac:dyDescent="0.25">
      <c r="A5" s="4" t="s">
        <v>12</v>
      </c>
      <c r="B5" s="4" t="s">
        <v>7</v>
      </c>
      <c r="C5" s="4" t="s">
        <v>223</v>
      </c>
      <c r="D5" s="42">
        <v>0.33329999999999999</v>
      </c>
      <c r="E5" s="42">
        <f>IFERROR(COUNTIF(Documentos!H2:H3,"SIM")/COUNTA(Documentos!H2:H3)*D5,0)</f>
        <v>0.33329999999999999</v>
      </c>
      <c r="F5" s="4" t="s">
        <v>224</v>
      </c>
      <c r="G5" s="4" t="s">
        <v>226</v>
      </c>
    </row>
    <row r="6" spans="1:7" ht="15" customHeight="1" x14ac:dyDescent="0.25">
      <c r="A6" s="4" t="s">
        <v>13</v>
      </c>
      <c r="B6" s="4" t="s">
        <v>227</v>
      </c>
      <c r="C6" s="4" t="s">
        <v>223</v>
      </c>
      <c r="D6" s="42">
        <v>0.33339999999999997</v>
      </c>
      <c r="E6" s="42">
        <f>IFERROR(COUNTIF(Documentos!J2:J3,"SIM")/COUNTA(Documentos!J2:J3)*D6,0)</f>
        <v>0</v>
      </c>
      <c r="F6" s="4" t="s">
        <v>224</v>
      </c>
      <c r="G6" s="4" t="s">
        <v>228</v>
      </c>
    </row>
    <row r="7" spans="1:7" ht="28.35" customHeight="1" x14ac:dyDescent="0.25">
      <c r="A7" s="4" t="s">
        <v>229</v>
      </c>
      <c r="B7" s="4" t="s">
        <v>5</v>
      </c>
      <c r="C7" s="4" t="s">
        <v>230</v>
      </c>
      <c r="D7" s="4"/>
      <c r="E7" s="4"/>
      <c r="F7" s="4" t="s">
        <v>224</v>
      </c>
      <c r="G7" s="4" t="s">
        <v>231</v>
      </c>
    </row>
    <row r="8" spans="1:7" ht="15" customHeight="1" x14ac:dyDescent="0.25">
      <c r="E8" s="27" t="s">
        <v>232</v>
      </c>
      <c r="F8" s="28">
        <f>SUM(E4:E6)*100</f>
        <v>66.66</v>
      </c>
    </row>
    <row r="10" spans="1:7" ht="19.5" customHeight="1" x14ac:dyDescent="0.25">
      <c r="A10" s="56" t="s">
        <v>233</v>
      </c>
      <c r="B10" s="53"/>
      <c r="C10" s="53"/>
      <c r="D10" s="53"/>
      <c r="E10" s="53"/>
      <c r="F10" s="53"/>
      <c r="G10" s="53"/>
    </row>
    <row r="11" spans="1:7" ht="15" customHeight="1" x14ac:dyDescent="0.25">
      <c r="A11" s="26" t="s">
        <v>11</v>
      </c>
      <c r="B11" s="26" t="s">
        <v>68</v>
      </c>
      <c r="C11" s="26" t="s">
        <v>223</v>
      </c>
      <c r="D11" s="44">
        <v>0.33329999999999999</v>
      </c>
      <c r="E11" s="43">
        <f>IFERROR(COUNTIF(#REF!,"SIM")/COUNTA(#REF!)*D11,0)</f>
        <v>0</v>
      </c>
      <c r="F11" s="26" t="s">
        <v>224</v>
      </c>
      <c r="G11" s="26" t="s">
        <v>234</v>
      </c>
    </row>
    <row r="12" spans="1:7" ht="41.85" customHeight="1" x14ac:dyDescent="0.25">
      <c r="A12" s="26" t="s">
        <v>12</v>
      </c>
      <c r="B12" s="26" t="s">
        <v>69</v>
      </c>
      <c r="C12" s="26" t="s">
        <v>235</v>
      </c>
      <c r="D12" s="44">
        <v>0.33329999999999999</v>
      </c>
      <c r="E12" s="43">
        <f>IFERROR((COUNTIF(#REF!,"Automático")+COUNTIF(#REF!,"Manual")*0.5)/COUNTA(#REF!)*D12,0)</f>
        <v>0</v>
      </c>
      <c r="F12" s="26" t="s">
        <v>224</v>
      </c>
      <c r="G12" s="26" t="s">
        <v>236</v>
      </c>
    </row>
    <row r="13" spans="1:7" ht="15" customHeight="1" x14ac:dyDescent="0.25">
      <c r="A13" s="26" t="s">
        <v>13</v>
      </c>
      <c r="B13" s="26" t="s">
        <v>227</v>
      </c>
      <c r="C13" s="26" t="s">
        <v>223</v>
      </c>
      <c r="D13" s="44">
        <v>0.33339999999999997</v>
      </c>
      <c r="E13" s="43">
        <f>IFERROR(COUNTIF(#REF!,"SIM")/COUNTA(#REF!)*D13,0)</f>
        <v>0</v>
      </c>
      <c r="F13" s="26" t="s">
        <v>224</v>
      </c>
      <c r="G13" s="26" t="s">
        <v>237</v>
      </c>
    </row>
    <row r="14" spans="1:7" ht="15" customHeight="1" x14ac:dyDescent="0.25">
      <c r="E14" s="10" t="s">
        <v>232</v>
      </c>
      <c r="F14" s="29">
        <f>SUM(E11:E13)*100</f>
        <v>0</v>
      </c>
    </row>
    <row r="16" spans="1:7" ht="19.5" customHeight="1" x14ac:dyDescent="0.25">
      <c r="A16" s="56" t="s">
        <v>238</v>
      </c>
      <c r="B16" s="53"/>
      <c r="C16" s="53"/>
      <c r="D16" s="53"/>
      <c r="E16" s="53"/>
      <c r="F16" s="53"/>
      <c r="G16" s="53"/>
    </row>
    <row r="17" spans="1:7" ht="28.35" customHeight="1" x14ac:dyDescent="0.25">
      <c r="A17" s="26" t="s">
        <v>239</v>
      </c>
      <c r="B17" s="26" t="s">
        <v>240</v>
      </c>
      <c r="C17" s="26" t="s">
        <v>223</v>
      </c>
      <c r="D17" s="44">
        <v>0.33329999999999999</v>
      </c>
      <c r="E17" s="43">
        <f>IFERROR(COUNTIF(Treinamento!G2:G4,"SIM")/COUNTA(Treinamento!G2:G4)*D17,0)</f>
        <v>0.22219999999999998</v>
      </c>
      <c r="F17" s="26" t="s">
        <v>224</v>
      </c>
      <c r="G17" s="26" t="s">
        <v>241</v>
      </c>
    </row>
    <row r="18" spans="1:7" ht="15" customHeight="1" x14ac:dyDescent="0.25">
      <c r="A18" s="26" t="s">
        <v>242</v>
      </c>
      <c r="B18" s="26" t="s">
        <v>198</v>
      </c>
      <c r="C18" s="26" t="s">
        <v>223</v>
      </c>
      <c r="D18" s="44">
        <v>0.33329999999999999</v>
      </c>
      <c r="E18" s="43">
        <f>IFERROR(COUNTIF(Treinamento!I2:I4,"SIM")/COUNTA(Treinamento!I2:I4)*D18,0)</f>
        <v>0.22219999999999998</v>
      </c>
      <c r="F18" s="26" t="s">
        <v>224</v>
      </c>
      <c r="G18" s="26" t="s">
        <v>243</v>
      </c>
    </row>
    <row r="19" spans="1:7" ht="15" customHeight="1" x14ac:dyDescent="0.25">
      <c r="A19" s="26" t="s">
        <v>12</v>
      </c>
      <c r="B19" s="26" t="s">
        <v>201</v>
      </c>
      <c r="C19" s="26" t="s">
        <v>223</v>
      </c>
      <c r="D19" s="44">
        <v>0.33339999999999997</v>
      </c>
      <c r="E19" s="43">
        <f>IFERROR(COUNTIF(Treinamento!J2:J4,"SIM")/COUNTA(Treinamento!J2:J4)*D19,0)</f>
        <v>0</v>
      </c>
      <c r="F19" s="26" t="s">
        <v>224</v>
      </c>
      <c r="G19" s="26" t="s">
        <v>244</v>
      </c>
    </row>
    <row r="20" spans="1:7" ht="15" customHeight="1" x14ac:dyDescent="0.25">
      <c r="E20" s="10" t="s">
        <v>232</v>
      </c>
      <c r="F20" s="29">
        <f>SUM(E17:E19)*100</f>
        <v>44.44</v>
      </c>
    </row>
    <row r="21" spans="1:7" ht="15.75" customHeight="1" x14ac:dyDescent="0.25"/>
    <row r="22" spans="1:7" ht="19.5" customHeight="1" x14ac:dyDescent="0.25">
      <c r="A22" s="56" t="s">
        <v>245</v>
      </c>
      <c r="B22" s="53"/>
      <c r="C22" s="53"/>
      <c r="D22" s="53"/>
      <c r="E22" s="53"/>
      <c r="F22" s="53"/>
      <c r="G22" s="53"/>
    </row>
    <row r="23" spans="1:7" ht="15.75" customHeight="1" x14ac:dyDescent="0.25">
      <c r="A23" s="26" t="s">
        <v>11</v>
      </c>
      <c r="B23" s="26" t="s">
        <v>208</v>
      </c>
      <c r="C23" s="26" t="s">
        <v>223</v>
      </c>
      <c r="D23" s="44">
        <v>0.5</v>
      </c>
      <c r="E23" s="43">
        <f>IFERROR(COUNTIF(Qualidade!G2:G3,"SIM")/COUNTA(Qualidade!G2:G3)*D23,0)</f>
        <v>0.5</v>
      </c>
      <c r="F23" s="26" t="s">
        <v>224</v>
      </c>
      <c r="G23" s="26" t="s">
        <v>246</v>
      </c>
    </row>
    <row r="24" spans="1:7" ht="15.75" customHeight="1" x14ac:dyDescent="0.25">
      <c r="A24" s="26" t="s">
        <v>247</v>
      </c>
      <c r="B24" s="26" t="s">
        <v>211</v>
      </c>
      <c r="C24" s="26" t="s">
        <v>248</v>
      </c>
      <c r="D24" s="44">
        <v>0.5</v>
      </c>
      <c r="E24" s="43">
        <f>IFERROR((COUNTIF(Qualidade!H2:H3,"Integral")+COUNTIF(Qualidade!H2:H3,"Amostral")*0.5)/COUNTA(Qualidade!H2:H3)*D24,0)</f>
        <v>0</v>
      </c>
      <c r="F24" s="26" t="s">
        <v>224</v>
      </c>
      <c r="G24" s="26" t="s">
        <v>249</v>
      </c>
    </row>
    <row r="25" spans="1:7" ht="15.75" customHeight="1" x14ac:dyDescent="0.25">
      <c r="E25" s="10" t="s">
        <v>232</v>
      </c>
      <c r="F25" s="29">
        <f>SUM(E23:E24)*100</f>
        <v>50</v>
      </c>
    </row>
    <row r="26" spans="1:7" ht="15.75" customHeight="1" x14ac:dyDescent="0.25"/>
    <row r="27" spans="1:7" ht="15.75" customHeight="1" x14ac:dyDescent="0.25"/>
    <row r="28" spans="1:7" ht="15.75" customHeight="1" x14ac:dyDescent="0.25"/>
    <row r="29" spans="1:7" ht="15.75" customHeight="1" x14ac:dyDescent="0.25"/>
    <row r="30" spans="1:7" ht="15.75" customHeight="1" x14ac:dyDescent="0.25"/>
    <row r="31" spans="1:7" ht="15.75" customHeight="1" x14ac:dyDescent="0.25"/>
    <row r="32" spans="1:7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6:G16"/>
    <mergeCell ref="A22:G22"/>
    <mergeCell ref="A1:G1"/>
    <mergeCell ref="A10:G10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topLeftCell="A11" zoomScaleNormal="100" workbookViewId="0">
      <selection activeCell="A20" sqref="A20:F20"/>
    </sheetView>
  </sheetViews>
  <sheetFormatPr defaultColWidth="14.42578125" defaultRowHeight="15" x14ac:dyDescent="0.25"/>
  <cols>
    <col min="1" max="1" width="22" customWidth="1"/>
    <col min="2" max="2" width="28" customWidth="1"/>
    <col min="3" max="3" width="85" customWidth="1"/>
    <col min="4" max="6" width="15" customWidth="1"/>
    <col min="7" max="26" width="8.7109375" customWidth="1"/>
  </cols>
  <sheetData>
    <row r="1" spans="1:6" ht="17.45" customHeight="1" x14ac:dyDescent="0.3">
      <c r="A1" s="52" t="s">
        <v>250</v>
      </c>
      <c r="B1" s="53"/>
      <c r="C1" s="53"/>
      <c r="D1" s="53"/>
      <c r="E1" s="53"/>
      <c r="F1" s="53"/>
    </row>
    <row r="3" spans="1:6" ht="15" customHeight="1" x14ac:dyDescent="0.25">
      <c r="A3" s="4" t="s">
        <v>251</v>
      </c>
      <c r="B3" s="4" t="s">
        <v>252</v>
      </c>
      <c r="C3" s="4" t="s">
        <v>253</v>
      </c>
    </row>
    <row r="4" spans="1:6" ht="15" customHeight="1" x14ac:dyDescent="0.25">
      <c r="A4" s="4" t="s">
        <v>254</v>
      </c>
      <c r="B4" s="4" t="s">
        <v>255</v>
      </c>
      <c r="C4" s="4" t="s">
        <v>256</v>
      </c>
    </row>
    <row r="5" spans="1:6" ht="28.35" customHeight="1" x14ac:dyDescent="0.25">
      <c r="A5" s="4" t="s">
        <v>162</v>
      </c>
      <c r="B5" s="4" t="s">
        <v>257</v>
      </c>
      <c r="C5" s="4" t="s">
        <v>258</v>
      </c>
    </row>
    <row r="6" spans="1:6" ht="15" customHeight="1" x14ac:dyDescent="0.25">
      <c r="A6" s="4" t="s">
        <v>259</v>
      </c>
      <c r="B6" s="4" t="s">
        <v>260</v>
      </c>
      <c r="C6" s="4" t="s">
        <v>261</v>
      </c>
    </row>
    <row r="7" spans="1:6" ht="28.35" customHeight="1" x14ac:dyDescent="0.25">
      <c r="A7" s="4" t="s">
        <v>262</v>
      </c>
      <c r="B7" s="4" t="s">
        <v>263</v>
      </c>
      <c r="C7" s="4" t="s">
        <v>264</v>
      </c>
    </row>
    <row r="8" spans="1:6" ht="15" customHeight="1" x14ac:dyDescent="0.25">
      <c r="A8" s="4" t="s">
        <v>265</v>
      </c>
      <c r="B8" s="4" t="s">
        <v>266</v>
      </c>
      <c r="C8" s="4" t="s">
        <v>267</v>
      </c>
    </row>
    <row r="10" spans="1:6" ht="15" customHeight="1" x14ac:dyDescent="0.25">
      <c r="A10" s="30" t="s">
        <v>268</v>
      </c>
    </row>
    <row r="11" spans="1:6" ht="55.15" customHeight="1" x14ac:dyDescent="0.25">
      <c r="A11" s="31" t="s">
        <v>269</v>
      </c>
    </row>
    <row r="13" spans="1:6" ht="15" customHeight="1" x14ac:dyDescent="0.25">
      <c r="A13" s="32" t="s">
        <v>270</v>
      </c>
    </row>
    <row r="14" spans="1:6" ht="28.35" customHeight="1" x14ac:dyDescent="0.25">
      <c r="A14" s="33" t="s">
        <v>271</v>
      </c>
      <c r="B14" s="33" t="s">
        <v>272</v>
      </c>
      <c r="C14" s="34" t="s">
        <v>273</v>
      </c>
    </row>
    <row r="15" spans="1:6" ht="28.35" customHeight="1" x14ac:dyDescent="0.25">
      <c r="A15" s="33" t="s">
        <v>274</v>
      </c>
      <c r="B15" s="33" t="s">
        <v>275</v>
      </c>
      <c r="C15" s="34" t="s">
        <v>276</v>
      </c>
    </row>
    <row r="16" spans="1:6" ht="28.35" customHeight="1" x14ac:dyDescent="0.25">
      <c r="A16" s="33" t="s">
        <v>277</v>
      </c>
      <c r="B16" s="33" t="s">
        <v>278</v>
      </c>
      <c r="C16" s="34" t="s">
        <v>279</v>
      </c>
    </row>
    <row r="17" spans="1:6" ht="28.35" customHeight="1" x14ac:dyDescent="0.25">
      <c r="A17" s="33" t="s">
        <v>280</v>
      </c>
      <c r="B17" s="33" t="s">
        <v>281</v>
      </c>
      <c r="C17" s="34" t="s">
        <v>282</v>
      </c>
    </row>
    <row r="19" spans="1:6" ht="15" customHeight="1" x14ac:dyDescent="0.25">
      <c r="A19" s="35"/>
    </row>
    <row r="20" spans="1:6" ht="45" customHeight="1" x14ac:dyDescent="0.25">
      <c r="A20" s="57"/>
      <c r="B20" s="53"/>
      <c r="C20" s="53"/>
      <c r="D20" s="53"/>
      <c r="E20" s="53"/>
      <c r="F20" s="53"/>
    </row>
    <row r="21" spans="1:6" ht="15.75" customHeight="1" x14ac:dyDescent="0.25"/>
    <row r="22" spans="1:6" ht="15.75" customHeight="1" x14ac:dyDescent="0.25"/>
    <row r="23" spans="1:6" ht="15.75" customHeight="1" x14ac:dyDescent="0.25"/>
    <row r="24" spans="1:6" ht="15.75" customHeight="1" x14ac:dyDescent="0.25"/>
    <row r="25" spans="1:6" ht="15.75" customHeight="1" x14ac:dyDescent="0.25"/>
    <row r="26" spans="1:6" ht="15.75" customHeight="1" x14ac:dyDescent="0.25"/>
    <row r="27" spans="1:6" ht="15.75" customHeight="1" x14ac:dyDescent="0.25"/>
    <row r="28" spans="1:6" ht="15.75" customHeight="1" x14ac:dyDescent="0.25"/>
    <row r="29" spans="1:6" ht="15.75" customHeight="1" x14ac:dyDescent="0.25"/>
    <row r="30" spans="1:6" ht="15.75" customHeight="1" x14ac:dyDescent="0.25"/>
    <row r="31" spans="1:6" ht="15.75" customHeight="1" x14ac:dyDescent="0.25"/>
    <row r="32" spans="1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20:F20"/>
    <mergeCell ref="A1:F1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Documentos</vt:lpstr>
      <vt:lpstr>Indicadores</vt:lpstr>
      <vt:lpstr>Treinamento</vt:lpstr>
      <vt:lpstr>Qualidade</vt:lpstr>
      <vt:lpstr>Resumo</vt:lpstr>
      <vt:lpstr>Critérios</vt:lpstr>
      <vt:lpstr>Modelo de Score</vt:lpstr>
      <vt:lpstr>Como usar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Santos</cp:lastModifiedBy>
  <cp:revision>0</cp:revision>
  <dcterms:created xsi:type="dcterms:W3CDTF">2026-08-13T11:49:46Z</dcterms:created>
  <dcterms:modified xsi:type="dcterms:W3CDTF">2026-09-25T19:52:01Z</dcterms:modified>
  <dc:language>en-US</dc:language>
</cp:coreProperties>
</file>