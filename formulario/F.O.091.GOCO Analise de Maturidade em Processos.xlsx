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xmlns:r="http://schemas.openxmlformats.org/officeDocument/2006/relationships" name="Documentos" sheetId="1" state="visible" r:id="rId1"/>
    <sheet xmlns:r="http://schemas.openxmlformats.org/officeDocument/2006/relationships" name="Indicadores" sheetId="2" state="visible" r:id="rId2"/>
    <sheet xmlns:r="http://schemas.openxmlformats.org/officeDocument/2006/relationships" name="Treinamento" sheetId="3" state="visible" r:id="rId3"/>
    <sheet xmlns:r="http://schemas.openxmlformats.org/officeDocument/2006/relationships" name="Qualidade" sheetId="4" state="visible" r:id="rId4"/>
    <sheet xmlns:r="http://schemas.openxmlformats.org/officeDocument/2006/relationships" name="Resumo" sheetId="5" state="visible" r:id="rId5"/>
    <sheet xmlns:r="http://schemas.openxmlformats.org/officeDocument/2006/relationships" name="Critérios" sheetId="6" state="visible" r:id="rId6"/>
    <sheet xmlns:r="http://schemas.openxmlformats.org/officeDocument/2006/relationships" name="Modelo de Score" sheetId="7" state="visible" r:id="rId7"/>
    <sheet xmlns:r="http://schemas.openxmlformats.org/officeDocument/2006/relationships" name="Como usar" sheetId="8" state="visible" r:id="rId8"/>
  </sheets>
  <definedNames>
    <definedName name="_xlnm._FilterDatabase" localSheetId="0" hidden="1">'Documentos'!$A$1:$P$61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m/d/yyyy"/>
    <numFmt numFmtId="165" formatCode="0.0"/>
    <numFmt numFmtId="166" formatCode="0.0%"/>
    <numFmt numFmtId="167" formatCode="yyyy-mm-dd h:mm:ss"/>
    <numFmt numFmtId="168" formatCode="YYYY-MM-DD HH:MM:SS"/>
  </numFmts>
  <fonts count="14">
    <font>
      <name val="Calibri"/>
      <charset val="1"/>
      <color theme="1"/>
      <sz val="11"/>
    </font>
    <font>
      <name val="Calibri"/>
      <charset val="1"/>
      <color rgb="FFFFFFFF"/>
      <sz val="9"/>
    </font>
    <font>
      <name val="Calibri"/>
      <charset val="1"/>
      <color theme="1"/>
      <sz val="9"/>
    </font>
    <font>
      <name val="Stack Sans Notch"/>
      <charset val="1"/>
      <b val="1"/>
      <color rgb="FFFFFFFF"/>
      <sz val="14"/>
    </font>
    <font>
      <name val="Stack Sans Notch"/>
      <charset val="1"/>
      <b val="1"/>
      <color rgb="FFFFFFFF"/>
      <sz val="11"/>
    </font>
    <font>
      <name val="Stack Sans Notch"/>
      <charset val="1"/>
      <color theme="1"/>
      <sz val="11"/>
    </font>
    <font>
      <name val="Calibri"/>
      <charset val="1"/>
      <sz val="11"/>
    </font>
    <font>
      <name val="Calibri"/>
      <charset val="1"/>
      <b val="1"/>
      <sz val="12"/>
    </font>
    <font>
      <name val="Stack Sans Notch"/>
      <charset val="1"/>
      <b val="1"/>
      <color theme="1"/>
      <sz val="11"/>
    </font>
    <font>
      <name val="Calibri"/>
      <charset val="1"/>
      <b val="1"/>
      <color theme="1"/>
      <sz val="11"/>
    </font>
    <font>
      <name val="Calibri"/>
      <charset val="1"/>
      <b val="1"/>
      <sz val="11"/>
    </font>
    <font>
      <name val="Calibri"/>
      <charset val="1"/>
      <color theme="1"/>
      <sz val="11"/>
    </font>
    <font>
      <name val="Calibri"/>
      <family val="2"/>
      <sz val="9"/>
    </font>
    <font>
      <name val="Calibri"/>
      <family val="2"/>
      <sz val="11"/>
    </font>
  </fonts>
  <fills count="7">
    <fill>
      <patternFill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AF1DD"/>
        <bgColor rgb="FFE2F0D9"/>
      </patternFill>
    </fill>
    <fill>
      <patternFill patternType="solid">
        <fgColor rgb="FFFF0000"/>
        <bgColor rgb="FF993300"/>
      </patternFill>
    </fill>
    <fill>
      <patternFill patternType="solid">
        <fgColor rgb="FF00FF00"/>
        <bgColor rgb="FF00B05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2">
    <xf numFmtId="0" fontId="11" fillId="0" borderId="0"/>
    <xf numFmtId="9" fontId="11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0" fontId="0" fillId="0" borderId="1" pivotButton="0" quotePrefix="0" xfId="0"/>
    <xf numFmtId="0" fontId="0" fillId="4" borderId="1" pivotButton="0" quotePrefix="0" xfId="0"/>
    <xf numFmtId="0" fontId="4" fillId="2" borderId="1" pivotButton="0" quotePrefix="0" xfId="0"/>
    <xf numFmtId="0" fontId="4" fillId="2" borderId="0" pivotButton="0" quotePrefix="0" xfId="0"/>
    <xf numFmtId="0" fontId="5" fillId="4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6" fillId="0" borderId="1" pivotButton="0" quotePrefix="0" xfId="0"/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7" fillId="0" borderId="1" pivotButton="0" quotePrefix="0" xfId="0"/>
    <xf numFmtId="165" fontId="7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top" wrapText="1"/>
    </xf>
    <xf numFmtId="0" fontId="6" fillId="0" borderId="1" applyAlignment="1" pivotButton="0" quotePrefix="0" xfId="0">
      <alignment vertical="center" wrapText="1"/>
    </xf>
    <xf numFmtId="0" fontId="8" fillId="2" borderId="0" pivotButton="0" quotePrefix="0" xfId="0"/>
    <xf numFmtId="165" fontId="9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7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center" wrapText="1"/>
    </xf>
    <xf numFmtId="0" fontId="10" fillId="0" borderId="0" pivotButton="0" quotePrefix="0" xfId="0"/>
    <xf numFmtId="14" fontId="0" fillId="0" borderId="1" applyAlignment="1" pivotButton="0" quotePrefix="0" xfId="0">
      <alignment vertical="top" wrapText="1"/>
    </xf>
    <xf numFmtId="14" fontId="0" fillId="0" borderId="0" pivotButton="0" quotePrefix="0" xfId="0"/>
    <xf numFmtId="165" fontId="0" fillId="0" borderId="1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4" fontId="0" fillId="4" borderId="1" pivotButton="0" quotePrefix="0" xfId="0"/>
    <xf numFmtId="165" fontId="0" fillId="0" borderId="1" pivotButton="0" quotePrefix="0" xfId="0"/>
    <xf numFmtId="9" fontId="0" fillId="0" borderId="1" applyAlignment="1" pivotButton="0" quotePrefix="0" xfId="1">
      <alignment vertical="top" wrapText="1"/>
    </xf>
    <xf numFmtId="9" fontId="6" fillId="0" borderId="1" applyAlignment="1" pivotButton="0" quotePrefix="0" xfId="1">
      <alignment vertical="center" wrapText="1"/>
    </xf>
    <xf numFmtId="9" fontId="6" fillId="4" borderId="1" applyAlignment="1" pivotButton="0" quotePrefix="0" xfId="1">
      <alignment vertical="center" wrapText="1"/>
    </xf>
    <xf numFmtId="0" fontId="12" fillId="2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0" borderId="0" pivotButton="0" quotePrefix="0" xfId="0"/>
    <xf numFmtId="14" fontId="12" fillId="2" borderId="1" applyAlignment="1" pivotButton="0" quotePrefix="0" xfId="0">
      <alignment horizontal="center" vertical="center" wrapText="1"/>
    </xf>
    <xf numFmtId="14" fontId="0" fillId="4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1" pivotButton="0" quotePrefix="0" xfId="1"/>
    <xf numFmtId="2" fontId="0" fillId="0" borderId="1" pivotButton="0" quotePrefix="0" xfId="1"/>
    <xf numFmtId="0" fontId="3" fillId="2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/>
    </xf>
    <xf numFmtId="0" fontId="4" fillId="2" borderId="0" pivotButton="0" quotePrefix="0" xfId="0"/>
    <xf numFmtId="0" fontId="0" fillId="0" borderId="0" applyAlignment="1" pivotButton="0" quotePrefix="0" xfId="0">
      <alignment vertical="center" wrapText="1"/>
    </xf>
    <xf numFmtId="0" fontId="0" fillId="4" borderId="1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1" fontId="0" fillId="0" borderId="1" pivotButton="0" quotePrefix="0" xfId="0"/>
    <xf numFmtId="168" fontId="0" fillId="0" borderId="0" pivotButton="0" quotePrefix="0" xfId="0"/>
  </cellXfs>
  <cellStyles count="2">
    <cellStyle name="Normal" xfId="0" builtinId="0"/>
    <cellStyle name="Porcentagem" xfId="1" builtinId="5"/>
  </cellStyles>
  <dxfs count="62"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F1D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topLeftCell="O1" zoomScaleNormal="100" workbookViewId="0">
      <pane ySplit="1" topLeftCell="A5" activePane="bottomLeft" state="frozen"/>
      <selection pane="bottomLeft" activeCell="R19" sqref="R19"/>
    </sheetView>
  </sheetViews>
  <sheetFormatPr baseColWidth="8" defaultColWidth="14.42578125" defaultRowHeight="15"/>
  <cols>
    <col width="15.28515625" bestFit="1" customWidth="1" style="55" min="1" max="1"/>
    <col width="19.85546875" bestFit="1" customWidth="1" style="55" min="2" max="2"/>
    <col width="13" bestFit="1" customWidth="1" style="55" min="3" max="3"/>
    <col width="19.85546875" bestFit="1" customWidth="1" style="55" min="4" max="4"/>
    <col width="38.5703125" customWidth="1" style="55" min="5" max="5"/>
    <col width="14.85546875" bestFit="1" customWidth="1" style="55" min="6" max="6"/>
    <col width="11" bestFit="1" customWidth="1" style="55" min="7" max="7"/>
    <col width="18.7109375" bestFit="1" customWidth="1" style="55" min="8" max="8"/>
    <col width="20.5703125" bestFit="1" customWidth="1" style="55" min="9" max="9"/>
    <col width="16.140625" bestFit="1" customWidth="1" style="55" min="10" max="10"/>
    <col width="13.85546875" bestFit="1" customWidth="1" style="55" min="11" max="11"/>
    <col width="13.42578125" bestFit="1" customWidth="1" style="55" min="12" max="12"/>
    <col width="14.7109375" bestFit="1" customWidth="1" style="55" min="13" max="13"/>
    <col width="11.42578125" bestFit="1" customWidth="1" style="55" min="14" max="14"/>
    <col width="16.5703125" bestFit="1" customWidth="1" style="55" min="15" max="15"/>
    <col width="17.140625" bestFit="1" customWidth="1" style="55" min="16" max="16"/>
    <col width="5.28515625" bestFit="1" customWidth="1" style="55" min="17" max="17"/>
    <col width="181.42578125" bestFit="1" customWidth="1" style="55" min="18" max="18"/>
    <col width="110.28515625" bestFit="1" customWidth="1" style="55" min="19" max="19"/>
    <col width="30.28515625" bestFit="1" customWidth="1" style="55" min="20" max="20"/>
    <col width="8.7109375" bestFit="1" customWidth="1" style="55" min="21" max="21"/>
    <col width="16.28515625" bestFit="1" customWidth="1" style="55" min="22" max="22"/>
    <col width="8.7109375" customWidth="1" style="55" min="23" max="26"/>
  </cols>
  <sheetData>
    <row r="1">
      <c r="A1" s="1" t="inlineStr">
        <is>
          <t>ID Avaliação</t>
        </is>
      </c>
      <c r="B1" s="1" t="inlineStr">
        <is>
          <t>Data da avaliação</t>
        </is>
      </c>
      <c r="C1" s="1" t="inlineStr">
        <is>
          <t>Operação</t>
        </is>
      </c>
      <c r="D1" s="1" t="inlineStr">
        <is>
          <t>Frente avaliada</t>
        </is>
      </c>
      <c r="E1" s="1" t="inlineStr">
        <is>
          <t>Nome_Documento</t>
        </is>
      </c>
      <c r="F1" s="1" t="inlineStr">
        <is>
          <t>Quantidade</t>
        </is>
      </c>
      <c r="G1" s="2" t="inlineStr">
        <is>
          <t>Existe?</t>
        </is>
      </c>
      <c r="H1" s="2" t="inlineStr">
        <is>
          <t>Está atualizado?</t>
        </is>
      </c>
      <c r="I1" s="2" t="inlineStr">
        <is>
          <t>Última atualização</t>
        </is>
      </c>
      <c r="J1" s="2" t="inlineStr">
        <is>
          <t>Padronizado?</t>
        </is>
      </c>
      <c r="K1" s="2" t="inlineStr">
        <is>
          <t>Conforme?</t>
        </is>
      </c>
      <c r="L1" s="2" t="inlineStr">
        <is>
          <t>Existência</t>
        </is>
      </c>
      <c r="M1" s="2" t="inlineStr">
        <is>
          <t>Atualização</t>
        </is>
      </c>
      <c r="N1" s="2" t="inlineStr">
        <is>
          <t xml:space="preserve"> Padrão</t>
        </is>
      </c>
      <c r="O1" s="2" t="inlineStr">
        <is>
          <t>Conformidade</t>
        </is>
      </c>
      <c r="P1" s="2" t="inlineStr">
        <is>
          <t>Documentação</t>
        </is>
      </c>
      <c r="Q1" s="2" t="inlineStr">
        <is>
          <t>Geral</t>
        </is>
      </c>
      <c r="R1" s="2" t="inlineStr">
        <is>
          <t>Observação</t>
        </is>
      </c>
      <c r="S1" s="3" t="inlineStr">
        <is>
          <t>Plano de Ação</t>
        </is>
      </c>
      <c r="T1" s="3" t="inlineStr">
        <is>
          <t>Responsável</t>
        </is>
      </c>
      <c r="U1" s="3" t="inlineStr">
        <is>
          <t>Prazo</t>
        </is>
      </c>
      <c r="V1" s="3" t="inlineStr">
        <is>
          <t>Status da Ação</t>
        </is>
      </c>
      <c r="W1" s="3" t="n"/>
      <c r="X1" s="3" t="n"/>
      <c r="Y1" s="3" t="n"/>
      <c r="Z1" s="3" t="n"/>
    </row>
    <row r="2" ht="30" customHeight="1" s="55">
      <c r="A2" s="7" t="n">
        <v>928734</v>
      </c>
      <c r="B2" s="36" t="n">
        <v>46283</v>
      </c>
      <c r="C2" s="4" t="inlineStr">
        <is>
          <t>Mobilize</t>
        </is>
      </c>
      <c r="D2" s="4" t="inlineStr">
        <is>
          <t>Banco — N1</t>
        </is>
      </c>
      <c r="E2" s="4" t="inlineStr">
        <is>
          <t>D.C.231.EXTE - Emissão de boletos e duvidas frequêntes</t>
        </is>
      </c>
      <c r="F2" s="4" t="n">
        <v>1</v>
      </c>
      <c r="G2" s="4" t="inlineStr">
        <is>
          <t>SIM</t>
        </is>
      </c>
      <c r="H2" s="4" t="inlineStr">
        <is>
          <t>SIM</t>
        </is>
      </c>
      <c r="I2" s="5" t="inlineStr">
        <is>
          <t>N/A</t>
        </is>
      </c>
      <c r="J2" s="4" t="inlineStr">
        <is>
          <t>SIM</t>
        </is>
      </c>
      <c r="K2" s="4" t="inlineStr">
        <is>
          <t>Observação</t>
        </is>
      </c>
      <c r="L2" s="4">
        <f>IF(G2="","",IF(G2="SIM",1,0))</f>
        <v/>
      </c>
      <c r="M2" s="4">
        <f>IF(H2="","",IF(H2="SIM",1,0))</f>
        <v/>
      </c>
      <c r="N2" s="4">
        <f>IF(J2="","",IF(J2="SIM",1,0))</f>
        <v/>
      </c>
      <c r="O2" s="4">
        <f>IF(K2="","",IF(K2="Conformidade",1,IF(K2="Não conformidade",0,IF(K2="Não conformidade grave",-1,""))))</f>
        <v/>
      </c>
      <c r="P2" s="4">
        <f>IF(COUNTA(G2,H2,J2,K2)=0,"",ROUND(AVERAGE(L2:O2)*100,0))</f>
        <v/>
      </c>
      <c r="Q2" s="6">
        <f>IFERROR(AVERAGEIF(C$2:C$61,C2,P$2:P$61),"N/A")</f>
        <v/>
      </c>
      <c r="R2" t="inlineStr">
        <is>
          <t>NC 01: divergências de versão e data; o relatório não identifica a frente, o processo nem a data válida. Data da avaliação registrada pelo cabeçalho: 18/09/2026; o rodapé do relatório indica 16/09/2026.</t>
        </is>
      </c>
      <c r="S2" t="inlineStr">
        <is>
          <t>Validar versão, data e código do documento; atualizar o repositório e preservar a rastreabilidade.</t>
        </is>
      </c>
      <c r="T2" t="inlineStr">
        <is>
          <t>Equipe de processos</t>
        </is>
      </c>
      <c r="U2" t="inlineStr">
        <is>
          <t>A definir</t>
        </is>
      </c>
      <c r="V2" t="inlineStr">
        <is>
          <t>Aguardando ação</t>
        </is>
      </c>
    </row>
    <row r="3">
      <c r="A3" s="4" t="n">
        <v>928734</v>
      </c>
      <c r="B3" s="36" t="n">
        <v>46283</v>
      </c>
      <c r="C3" s="4" t="inlineStr">
        <is>
          <t>Mobilize</t>
        </is>
      </c>
      <c r="D3" s="4" t="inlineStr">
        <is>
          <t>Banco — N1</t>
        </is>
      </c>
      <c r="E3" s="4" t="inlineStr">
        <is>
          <t>D.C.232.EXTE - Reclamações de boletos</t>
        </is>
      </c>
      <c r="F3" s="4" t="n">
        <v>1</v>
      </c>
      <c r="G3" s="4" t="inlineStr">
        <is>
          <t>SIM</t>
        </is>
      </c>
      <c r="H3" s="4" t="inlineStr">
        <is>
          <t>SIM</t>
        </is>
      </c>
      <c r="I3" s="5" t="inlineStr">
        <is>
          <t>N/A</t>
        </is>
      </c>
      <c r="J3" s="4" t="inlineStr">
        <is>
          <t>SIM</t>
        </is>
      </c>
      <c r="K3" s="4" t="inlineStr">
        <is>
          <t>Observação</t>
        </is>
      </c>
      <c r="L3" s="4">
        <f>IF(G3="","",IF(G3="SIM",1,0))</f>
        <v/>
      </c>
      <c r="M3" s="4">
        <f>IF(H3="","",IF(H3="SIM",1,0))</f>
        <v/>
      </c>
      <c r="N3" s="4">
        <f>IF(J3="","",IF(J3="SIM",1,0))</f>
        <v/>
      </c>
      <c r="O3" s="4">
        <f>IF(K3="","",IF(K3="Conformidade",1,IF(K3="Não conformidade",0,IF(K3="Não conformidade grave",-1,""))))</f>
        <v/>
      </c>
      <c r="P3" s="4">
        <f>IF(COUNTA(G3,H3,J3)=0,"",ROUND(AVERAGE(L3:O3)*100,0))</f>
        <v/>
      </c>
      <c r="Q3" s="6">
        <f>IFERROR(AVERAGEIF(C$2:C$61,C3,P$2:P$61),"N/A")</f>
        <v/>
      </c>
      <c r="R3" t="inlineStr">
        <is>
          <t>NC 01: divergências de versão e data; o relatório não identifica a frente, o processo nem a data válida.</t>
        </is>
      </c>
      <c r="S3" t="inlineStr">
        <is>
          <t>Validar versão, data e código do documento; atualizar o repositório e preservar a rastreabilidade.</t>
        </is>
      </c>
      <c r="T3" t="inlineStr">
        <is>
          <t>Equipe de processos</t>
        </is>
      </c>
      <c r="U3" t="inlineStr">
        <is>
          <t>A definir</t>
        </is>
      </c>
      <c r="V3" t="inlineStr">
        <is>
          <t>Aguardando ação</t>
        </is>
      </c>
    </row>
    <row r="4" ht="60" customHeight="1" s="55">
      <c r="A4" s="4" t="n">
        <v>928734</v>
      </c>
      <c r="B4" s="36" t="n">
        <v>46283</v>
      </c>
      <c r="C4" s="4" t="inlineStr">
        <is>
          <t>Mobilize</t>
        </is>
      </c>
      <c r="D4" s="4" t="inlineStr">
        <is>
          <t>Banco — N1</t>
        </is>
      </c>
      <c r="E4" s="4" t="inlineStr">
        <is>
          <t>Documento de encerramento de leasing — sem código</t>
        </is>
      </c>
      <c r="F4" s="4" t="n">
        <v>1</v>
      </c>
      <c r="G4" s="4" t="inlineStr">
        <is>
          <t>SIM</t>
        </is>
      </c>
      <c r="H4" s="4" t="inlineStr">
        <is>
          <t>SIM</t>
        </is>
      </c>
      <c r="I4" s="5" t="inlineStr">
        <is>
          <t>N/A</t>
        </is>
      </c>
      <c r="J4" s="4" t="inlineStr">
        <is>
          <t>SIM</t>
        </is>
      </c>
      <c r="K4" s="4" t="inlineStr">
        <is>
          <t>Conformidade</t>
        </is>
      </c>
      <c r="L4" s="4">
        <f>IF(G4="","",IF(G4="SIM",1,0))</f>
        <v/>
      </c>
      <c r="M4" s="4">
        <f>IF(H4="","",IF(H4="SIM",1,0))</f>
        <v/>
      </c>
      <c r="N4" s="4">
        <f>IF(J4="","",IF(J4="SIM",1,0))</f>
        <v/>
      </c>
      <c r="O4" s="4">
        <f>IF(K4="","",IF(K4="Conformidade",1,IF(K4="Não conformidade",0,IF(K4="Não conformidade grave",-1,""))))</f>
        <v/>
      </c>
      <c r="P4" s="4">
        <f>IF(COUNTA(G4,H4,J4)=0,"",ROUND(AVERAGE(L4:O4)*100,0))</f>
        <v/>
      </c>
      <c r="Q4" s="6">
        <f>IFERROR(AVERAGEIF(C$2:C$61,C4,P$2:P$61),"N/A")</f>
        <v/>
      </c>
      <c r="R4" t="inlineStr">
        <is>
          <t>NC 02: documento existente sem código de identificação. Também não foi demonstrado critério formal para uso do processo manual.</t>
        </is>
      </c>
      <c r="S4" t="inlineStr">
        <is>
          <t>Atribuir código, formalizar o critério de elegibilidade e exceção do processo manual, aprovar e publicar a versão vigente.</t>
        </is>
      </c>
      <c r="T4" t="inlineStr">
        <is>
          <t>Supervisão do Banco Mobilize</t>
        </is>
      </c>
      <c r="U4" t="inlineStr">
        <is>
          <t>A definir</t>
        </is>
      </c>
      <c r="V4" t="inlineStr">
        <is>
          <t>Aguardando ação</t>
        </is>
      </c>
    </row>
    <row r="5" ht="45" customHeight="1" s="55">
      <c r="A5" s="4" t="n">
        <v>928734</v>
      </c>
      <c r="B5" s="36" t="n">
        <v>46283</v>
      </c>
      <c r="C5" s="4" t="inlineStr">
        <is>
          <t>Mobilize</t>
        </is>
      </c>
      <c r="D5" s="4" t="inlineStr">
        <is>
          <t>Banco — N1</t>
        </is>
      </c>
      <c r="E5" s="4" t="inlineStr">
        <is>
          <t>Documento de rescisão de leasing — sem código</t>
        </is>
      </c>
      <c r="F5" s="4" t="n">
        <v>1</v>
      </c>
      <c r="G5" s="4" t="inlineStr">
        <is>
          <t>SIM</t>
        </is>
      </c>
      <c r="H5" s="4" t="inlineStr">
        <is>
          <t>SIM</t>
        </is>
      </c>
      <c r="I5" s="5" t="inlineStr">
        <is>
          <t>N/A</t>
        </is>
      </c>
      <c r="J5" s="4" t="inlineStr">
        <is>
          <t>SIM</t>
        </is>
      </c>
      <c r="K5" s="4" t="inlineStr">
        <is>
          <t>Conformidade</t>
        </is>
      </c>
      <c r="L5" s="4">
        <f>IF(G5="","",IF(G5="SIM",1,0))</f>
        <v/>
      </c>
      <c r="M5" s="4">
        <f>IF(H5="","",IF(H5="SIM",1,0))</f>
        <v/>
      </c>
      <c r="N5" s="4">
        <f>IF(J5="","",IF(J5="SIM",1,0))</f>
        <v/>
      </c>
      <c r="O5" s="4">
        <f>IF(K5="","",IF(K5="Conformidade",1,IF(K5="Não conformidade",0,IF(K5="Não conformidade grave",-1,""))))</f>
        <v/>
      </c>
      <c r="P5" s="4">
        <f>IF(COUNTA(G5,H5,J5)=0,"",ROUND(AVERAGE(L5:O5)*100,0))</f>
        <v/>
      </c>
      <c r="Q5" s="6">
        <f>IFERROR(AVERAGEIF(C$2:C$61,C5,P$2:P$61),"N/A")</f>
        <v/>
      </c>
      <c r="R5" t="inlineStr">
        <is>
          <t>NC 02: documento existente sem código de identificação. Também não foi demonstrado critério formal para uso do processo manual.</t>
        </is>
      </c>
      <c r="S5" t="inlineStr">
        <is>
          <t>Atribuir código, formalizar o critério de elegibilidade e exceção do processo manual, aprovar e publicar a versão vigente.</t>
        </is>
      </c>
      <c r="T5" t="inlineStr">
        <is>
          <t>Supervisão do Banco Mobilize</t>
        </is>
      </c>
      <c r="U5" t="inlineStr">
        <is>
          <t>A definir</t>
        </is>
      </c>
      <c r="V5" t="inlineStr">
        <is>
          <t>Aguardando ação</t>
        </is>
      </c>
    </row>
    <row r="6" ht="30" customHeight="1" s="55">
      <c r="A6" s="4" t="n">
        <v>928734</v>
      </c>
      <c r="B6" s="36" t="n">
        <v>46283</v>
      </c>
      <c r="C6" s="4" t="inlineStr">
        <is>
          <t>Mobilize</t>
        </is>
      </c>
      <c r="D6" s="4" t="inlineStr">
        <is>
          <t>Locadora — N1</t>
        </is>
      </c>
      <c r="E6" s="4" t="inlineStr">
        <is>
          <t>D.C.1504.EXTE - Promessa de pagamento e baixa de pagamento</t>
        </is>
      </c>
      <c r="F6" s="4" t="n">
        <v>1</v>
      </c>
      <c r="G6" s="4" t="inlineStr">
        <is>
          <t>SIM</t>
        </is>
      </c>
      <c r="H6" s="4" t="inlineStr">
        <is>
          <t>SIM</t>
        </is>
      </c>
      <c r="I6" s="5" t="inlineStr">
        <is>
          <t>N/A</t>
        </is>
      </c>
      <c r="J6" s="4" t="inlineStr">
        <is>
          <t>SIM</t>
        </is>
      </c>
      <c r="K6" s="4" t="inlineStr">
        <is>
          <t>Conformidade</t>
        </is>
      </c>
      <c r="L6" s="4">
        <f>IF(G6="","",IF(G6="SIM",1,0))</f>
        <v/>
      </c>
      <c r="M6" s="4">
        <f>IF(H6="","",IF(H6="SIM",1,0))</f>
        <v/>
      </c>
      <c r="N6" s="4">
        <f>IF(J6="","",IF(J6="SIM",1,0))</f>
        <v/>
      </c>
      <c r="O6" s="4">
        <f>IF(K6="","",IF(K6="Conformidade",1,IF(K6="Não conformidade",0,IF(K6="Não conformidade grave",-1,""))))</f>
        <v/>
      </c>
      <c r="P6" s="4">
        <f>IF(COUNTA(G6,H6,J6)=0,"",ROUND(AVERAGE(L6:O6)*100,0))</f>
        <v/>
      </c>
      <c r="Q6" s="6">
        <f>IFERROR(AVERAGEIF(C$2:C$61,C6,P$2:P$61),"N/A")</f>
        <v/>
      </c>
      <c r="R6" t="inlineStr">
        <is>
          <t>NC 03: datas de criação, modificação e aprovação duplicadas; o relatório não informa processo ou frente.</t>
        </is>
      </c>
      <c r="S6" t="inlineStr">
        <is>
          <t>Corrigir as datas e validar a trilha de criação, modificação e aprovação no controle documental.</t>
        </is>
      </c>
      <c r="T6" t="inlineStr">
        <is>
          <t>Equipe de processos</t>
        </is>
      </c>
      <c r="U6" t="inlineStr">
        <is>
          <t>A definir</t>
        </is>
      </c>
      <c r="V6" t="inlineStr">
        <is>
          <t>Aguardando ação</t>
        </is>
      </c>
    </row>
    <row r="7">
      <c r="A7" s="4" t="n">
        <v>928734</v>
      </c>
      <c r="B7" s="36" t="n">
        <v>46283</v>
      </c>
      <c r="C7" s="4" t="inlineStr">
        <is>
          <t>Mobilize</t>
        </is>
      </c>
      <c r="D7" s="4" t="inlineStr">
        <is>
          <t>Locadora — N1</t>
        </is>
      </c>
      <c r="E7" s="4" t="inlineStr">
        <is>
          <t>D.C.2480.EXTE</t>
        </is>
      </c>
      <c r="F7" s="4" t="n">
        <v>1</v>
      </c>
      <c r="G7" s="4" t="inlineStr">
        <is>
          <t>SIM</t>
        </is>
      </c>
      <c r="H7" s="4" t="inlineStr">
        <is>
          <t>SIM</t>
        </is>
      </c>
      <c r="I7" s="5" t="inlineStr">
        <is>
          <t>N/A</t>
        </is>
      </c>
      <c r="J7" s="4" t="inlineStr">
        <is>
          <t>SIM</t>
        </is>
      </c>
      <c r="K7" s="4" t="inlineStr">
        <is>
          <t>Conformidade</t>
        </is>
      </c>
      <c r="L7" s="4">
        <f>IF(G7="","",IF(G7="SIM",1,0))</f>
        <v/>
      </c>
      <c r="M7" s="4">
        <f>IF(H7="","",IF(H7="SIM",1,0))</f>
        <v/>
      </c>
      <c r="N7" s="4">
        <f>IF(J7="","",IF(J7="SIM",1,0))</f>
        <v/>
      </c>
      <c r="O7" s="4">
        <f>IF(K7="","",IF(K7="Conformidade",1,IF(K7="Não conformidade",0,IF(K7="Não conformidade grave",-1,""))))</f>
        <v/>
      </c>
      <c r="P7" s="4">
        <f>IF(COUNTA(G7,H7,J7,K7)=0,"",ROUND(AVERAGE(L7:O7)*100,0))</f>
        <v/>
      </c>
      <c r="Q7" s="6">
        <f>IFERROR(AVERAGEIF(C$2:C$61,C7,P$2:P$61),"N/A")</f>
        <v/>
      </c>
      <c r="R7" t="inlineStr">
        <is>
          <t>NC 04: documento atualizado sem alteração do controle de versão; a data da atualização não foi informada no relatório.</t>
        </is>
      </c>
      <c r="S7" t="inlineStr">
        <is>
          <t>Regularizar o controle de versão e registrar a data, aprovação e comunicação da versão vigente.</t>
        </is>
      </c>
      <c r="T7" t="inlineStr">
        <is>
          <t>Equipe de processos</t>
        </is>
      </c>
      <c r="U7" t="inlineStr">
        <is>
          <t>A definir</t>
        </is>
      </c>
      <c r="V7" t="inlineStr">
        <is>
          <t>Aguardando ação</t>
        </is>
      </c>
    </row>
    <row r="8">
      <c r="A8" s="4" t="n">
        <v>928734</v>
      </c>
      <c r="B8" s="36" t="n">
        <v>46283</v>
      </c>
      <c r="C8" s="4" t="inlineStr">
        <is>
          <t>Mobilize</t>
        </is>
      </c>
      <c r="D8" s="4" t="inlineStr">
        <is>
          <t>Locadora — N1</t>
        </is>
      </c>
      <c r="E8" s="4" t="inlineStr">
        <is>
          <t>D.C.1517.EXTE - Pró-rata e mensalidade</t>
        </is>
      </c>
      <c r="F8" s="4" t="n">
        <v>1</v>
      </c>
      <c r="G8" s="4" t="inlineStr">
        <is>
          <t>SIM</t>
        </is>
      </c>
      <c r="H8" s="4" t="inlineStr">
        <is>
          <t>SIM</t>
        </is>
      </c>
      <c r="I8" s="36" t="inlineStr">
        <is>
          <t>N/A</t>
        </is>
      </c>
      <c r="J8" s="4" t="inlineStr">
        <is>
          <t>SIM</t>
        </is>
      </c>
      <c r="K8" s="4" t="inlineStr">
        <is>
          <t>Conformidade</t>
        </is>
      </c>
      <c r="L8" s="4">
        <f>IF(G8="","",IF(G8="SIM",1,0))</f>
        <v/>
      </c>
      <c r="M8" s="4">
        <f>IF(H8="","",IF(H8="SIM",1,0))</f>
        <v/>
      </c>
      <c r="N8" s="4">
        <f>IF(J8="","",IF(J8="SIM",1,0))</f>
        <v/>
      </c>
      <c r="O8" s="4">
        <f>IF(K8="","",IF(K8="Conformidade",1,IF(K8="Não Conformidade",0,IF(K8="Não Conformidade Grave",-1,""))))</f>
        <v/>
      </c>
      <c r="P8" s="38">
        <f>IF(COUNTA(G8,H8,J8,K8)=0,"",ROUND(AVERAGE(L8:O8)*100,0))</f>
        <v/>
      </c>
      <c r="Q8" s="39">
        <f>IFERROR(AVERAGEIF(C$2:C$61,C8,P$2:P$61),"N/A")</f>
        <v/>
      </c>
      <c r="R8" t="inlineStr">
        <is>
          <t>NC 05: controles de versão duplicados; o relatório não informa processo, frente ou data válida.</t>
        </is>
      </c>
      <c r="S8" t="inlineStr">
        <is>
          <t>Eliminar a duplicidade, confirmar a versão vigente e atualizar o controle documental.</t>
        </is>
      </c>
      <c r="T8" t="inlineStr">
        <is>
          <t>Equipe de processos</t>
        </is>
      </c>
      <c r="U8" s="37" t="inlineStr">
        <is>
          <t>A definir</t>
        </is>
      </c>
      <c r="V8" t="inlineStr">
        <is>
          <t>Aguardando ação</t>
        </is>
      </c>
    </row>
    <row r="9" ht="30" customHeight="1" s="55">
      <c r="A9" s="4" t="n">
        <v>928734</v>
      </c>
      <c r="B9" s="36" t="n">
        <v>46283</v>
      </c>
      <c r="C9" s="4" t="inlineStr">
        <is>
          <t>Mobilize</t>
        </is>
      </c>
      <c r="D9" s="4" t="inlineStr">
        <is>
          <t>Backoffice Locadora — N2</t>
        </is>
      </c>
      <c r="E9" s="4" t="inlineStr">
        <is>
          <t>D.C.136.EXTE - Seguros e Sinistros</t>
        </is>
      </c>
      <c r="F9" s="4" t="n">
        <v>1</v>
      </c>
      <c r="G9" s="4" t="inlineStr">
        <is>
          <t>SIM</t>
        </is>
      </c>
      <c r="H9" s="4" t="inlineStr">
        <is>
          <t>SIM</t>
        </is>
      </c>
      <c r="I9" s="36" t="inlineStr">
        <is>
          <t>N/A</t>
        </is>
      </c>
      <c r="J9" s="4" t="inlineStr">
        <is>
          <t>SIM</t>
        </is>
      </c>
      <c r="K9" s="4" t="inlineStr">
        <is>
          <t>Observação</t>
        </is>
      </c>
      <c r="L9" s="4">
        <f>IF(G9="","",IF(G9="SIM",1,0))</f>
        <v/>
      </c>
      <c r="M9" s="4">
        <f>IF(H9="","",IF(H9="SIM",1,0))</f>
        <v/>
      </c>
      <c r="N9" s="4">
        <f>IF(J9="","",IF(J9="SIM",1,0))</f>
        <v/>
      </c>
      <c r="O9" s="4">
        <f>IF(K9="","",IF(K9="Conformidade",1,IF(K9="Não Conformidade",0,IF(K9="Não Conformidade Grave",-1,""))))</f>
        <v/>
      </c>
      <c r="P9" s="38">
        <f>IF(COUNTA(G9,H9,J9,K9)=0,"",ROUND(AVERAGE(L9:O9)*100,0))</f>
        <v/>
      </c>
      <c r="Q9" s="39">
        <f>IFERROR(AVERAGEIF(C$2:C$61,C9,P$2:P$61),"N/A")</f>
        <v/>
      </c>
      <c r="R9" t="inlineStr">
        <is>
          <t>O documento é denominado fluxograma, mas foi descrito como material de orientação ou passo a passo. Processo, frente e atualização não foram informados.</t>
        </is>
      </c>
      <c r="S9" t="inlineStr">
        <is>
          <t>Validar a classificação documental, o conteúdo, a versão vigente e o vínculo com o processo aplicável.</t>
        </is>
      </c>
      <c r="T9" t="inlineStr">
        <is>
          <t>Equipe de processos</t>
        </is>
      </c>
      <c r="U9" s="37" t="inlineStr">
        <is>
          <t>A definir</t>
        </is>
      </c>
      <c r="V9" t="inlineStr">
        <is>
          <t>Aguardando ação</t>
        </is>
      </c>
    </row>
    <row r="10" ht="30" customHeight="1" s="55">
      <c r="A10" s="4" t="n">
        <v>928734</v>
      </c>
      <c r="B10" s="36" t="n">
        <v>46283</v>
      </c>
      <c r="C10" s="4" t="inlineStr">
        <is>
          <t>Mobilize</t>
        </is>
      </c>
      <c r="D10" s="4" t="inlineStr">
        <is>
          <t>Backoffice Locadora — N2</t>
        </is>
      </c>
      <c r="E10" s="4" t="inlineStr">
        <is>
          <t>P.O.498.OPER - Orientação quanto a solicitação de cancelamento</t>
        </is>
      </c>
      <c r="F10" s="4" t="n">
        <v>1</v>
      </c>
      <c r="G10" s="4" t="inlineStr">
        <is>
          <t>SIM</t>
        </is>
      </c>
      <c r="H10" s="4" t="inlineStr">
        <is>
          <t>SIM</t>
        </is>
      </c>
      <c r="I10" s="36" t="inlineStr">
        <is>
          <t>N/A</t>
        </is>
      </c>
      <c r="J10" s="4" t="inlineStr">
        <is>
          <t>SIM</t>
        </is>
      </c>
      <c r="K10" s="4" t="inlineStr">
        <is>
          <t>Observação</t>
        </is>
      </c>
      <c r="L10" s="4">
        <f>IF(G10="","",IF(G10="SIM",1,0))</f>
        <v/>
      </c>
      <c r="M10" s="4">
        <f>IF(H10="","",IF(H10="SIM",1,0))</f>
        <v/>
      </c>
      <c r="N10" s="4">
        <f>IF(J10="","",IF(J10="SIM",1,0))</f>
        <v/>
      </c>
      <c r="O10" s="4">
        <f>IF(K10="","",IF(K10="Conformidade",1,IF(K10="Não Conformidade",0,IF(K10="Não Conformidade Grave",-1,""))))</f>
        <v/>
      </c>
      <c r="P10" s="38">
        <f>IF(COUNTA(G10,H10,J10,K10)=0,"",ROUND(AVERAGE(L10:O10)*100,0))</f>
        <v/>
      </c>
      <c r="Q10" s="39">
        <f>IFERROR(AVERAGEIF(C$2:C$61,C10,P$2:P$61),"N/A")</f>
        <v/>
      </c>
      <c r="R10" t="inlineStr">
        <is>
          <t>A orientação relativa aos dias adicionais após cinco dias na devolução do veículo não foi localizada.</t>
        </is>
      </c>
      <c r="S10" t="inlineStr">
        <is>
          <t>Elaborar ou localizar a orientação, aprovar, versionar e disponibilizar na Wiki vigente.</t>
        </is>
      </c>
      <c r="T10" t="inlineStr">
        <is>
          <t>Equipe de processos</t>
        </is>
      </c>
      <c r="U10" s="37" t="inlineStr">
        <is>
          <t>A definir</t>
        </is>
      </c>
      <c r="V10" t="inlineStr">
        <is>
          <t>Aguardando ação</t>
        </is>
      </c>
    </row>
    <row r="11" ht="30" customHeight="1" s="55">
      <c r="A11" s="4" t="n">
        <v>928734</v>
      </c>
      <c r="B11" s="36" t="n">
        <v>46283</v>
      </c>
      <c r="C11" s="4" t="inlineStr">
        <is>
          <t>Mobilize</t>
        </is>
      </c>
      <c r="D11" s="4" t="inlineStr">
        <is>
          <t>Backoffice — Banco N2</t>
        </is>
      </c>
      <c r="E11" s="4" t="inlineStr">
        <is>
          <t>D.C.016.EXTE - Kit pós aprovado - Cessão de direitos</t>
        </is>
      </c>
      <c r="F11" s="4" t="n">
        <v>1</v>
      </c>
      <c r="G11" s="4" t="inlineStr">
        <is>
          <t>SIM</t>
        </is>
      </c>
      <c r="H11" s="4" t="inlineStr">
        <is>
          <t>SIM</t>
        </is>
      </c>
      <c r="I11" s="36" t="inlineStr">
        <is>
          <t>N/A</t>
        </is>
      </c>
      <c r="J11" s="4" t="inlineStr">
        <is>
          <t>SIM</t>
        </is>
      </c>
      <c r="K11" s="4" t="inlineStr">
        <is>
          <t>Observação</t>
        </is>
      </c>
      <c r="L11" s="4">
        <f>IF(G11="","",IF(G11="SIM",1,0))</f>
        <v/>
      </c>
      <c r="M11" s="4">
        <f>IF(H11="","",IF(H11="SIM",1,0))</f>
        <v/>
      </c>
      <c r="N11" s="4">
        <f>IF(J11="","",IF(J11="SIM",1,0))</f>
        <v/>
      </c>
      <c r="O11" s="4">
        <f>IF(K11="","",IF(K11="Conformidade",1,IF(K11="Não Conformidade",0,IF(K11="Não Conformidade Grave",-1,""))))</f>
        <v/>
      </c>
      <c r="P11" s="38">
        <f>IF(COUNTA(G11,H11,J11,K11)=0,"",ROUND(AVERAGE(L11:O11)*100,0))</f>
        <v/>
      </c>
      <c r="Q11" s="39">
        <f>IFERROR(AVERAGEIF(C$2:C$61,C11,P$2:P$61),"N/A")</f>
        <v/>
      </c>
      <c r="R11" t="inlineStr">
        <is>
          <t>A sequência documental deve ser explicitada e os SLAs por fila precisam ser confirmados.</t>
        </is>
      </c>
      <c r="S11" t="inlineStr">
        <is>
          <t>Organizar a cadeia documental por etapa, confirmar os SLAs e publicar a referência vigente.</t>
        </is>
      </c>
      <c r="T11" t="inlineStr">
        <is>
          <t>Jeferson Oliveira</t>
        </is>
      </c>
      <c r="U11" s="37" t="inlineStr">
        <is>
          <t>A definir</t>
        </is>
      </c>
      <c r="V11" t="inlineStr">
        <is>
          <t>Aguardando ação</t>
        </is>
      </c>
    </row>
    <row r="12" ht="30" customHeight="1" s="55">
      <c r="A12" s="4" t="n">
        <v>928734</v>
      </c>
      <c r="B12" s="36" t="n">
        <v>46283</v>
      </c>
      <c r="C12" s="4" t="inlineStr">
        <is>
          <t>Mobilize</t>
        </is>
      </c>
      <c r="D12" s="4" t="inlineStr">
        <is>
          <t>Backoffice — Banco N2</t>
        </is>
      </c>
      <c r="E12" s="4" t="inlineStr">
        <is>
          <t>D.C.017.EXTE - Imput da proposta Connect</t>
        </is>
      </c>
      <c r="F12" s="4" t="n">
        <v>1</v>
      </c>
      <c r="G12" s="4" t="inlineStr">
        <is>
          <t>SIM</t>
        </is>
      </c>
      <c r="H12" s="4" t="inlineStr">
        <is>
          <t>SIM</t>
        </is>
      </c>
      <c r="I12" s="36" t="inlineStr">
        <is>
          <t>N/A</t>
        </is>
      </c>
      <c r="J12" s="4" t="inlineStr">
        <is>
          <t>SIM</t>
        </is>
      </c>
      <c r="K12" s="4" t="inlineStr">
        <is>
          <t>Conformidade</t>
        </is>
      </c>
      <c r="L12" s="4">
        <f>IF(G12="","",IF(G12="SIM",1,0))</f>
        <v/>
      </c>
      <c r="M12" s="4">
        <f>IF(H12="","",IF(H12="SIM",1,0))</f>
        <v/>
      </c>
      <c r="N12" s="4">
        <f>IF(J12="","",IF(J12="SIM",1,0))</f>
        <v/>
      </c>
      <c r="O12" s="4">
        <f>IF(K12="","",IF(K12="Conformidade",1,IF(K12="Não Conformidade",0,IF(K12="Não Conformidade Grave",-1,""))))</f>
        <v/>
      </c>
      <c r="P12" s="38">
        <f>IF(COUNTA(G12,H12,J12,K12)=0,"",ROUND(AVERAGE(L12:O12)*100,0))</f>
        <v/>
      </c>
      <c r="Q12" s="39">
        <f>IFERROR(AVERAGEIF(C$2:C$61,C12,P$2:P$61),"N/A")</f>
        <v/>
      </c>
      <c r="S12" t="inlineStr">
        <is>
          <t>Organizar a cadeia documental por etapa, confirmar os SLAs e publicar a referência vigente.</t>
        </is>
      </c>
      <c r="T12" t="inlineStr">
        <is>
          <t>Jeferson Oliveira</t>
        </is>
      </c>
      <c r="U12" s="37" t="inlineStr">
        <is>
          <t>A definir</t>
        </is>
      </c>
      <c r="V12" t="inlineStr">
        <is>
          <t>Aguardando ação</t>
        </is>
      </c>
    </row>
    <row r="13" ht="45" customHeight="1" s="55">
      <c r="A13" s="4" t="n">
        <v>928734</v>
      </c>
      <c r="B13" s="36" t="n">
        <v>46283</v>
      </c>
      <c r="C13" s="4" t="inlineStr">
        <is>
          <t>Mobilize</t>
        </is>
      </c>
      <c r="D13" s="4" t="inlineStr">
        <is>
          <t>Backoffice — Locadora N2</t>
        </is>
      </c>
      <c r="E13" s="4" t="inlineStr">
        <is>
          <t>P.O.523.OPER - ORIENTAR QUANTO A SOLICITAÇÃO CONTESTAÇÃO - INFRAÇÃO TRÂNSITO</t>
        </is>
      </c>
      <c r="F13" s="4" t="n">
        <v>1</v>
      </c>
      <c r="G13" s="4" t="inlineStr">
        <is>
          <t>SIM</t>
        </is>
      </c>
      <c r="H13" s="4" t="inlineStr">
        <is>
          <t>SIM</t>
        </is>
      </c>
      <c r="I13" s="36" t="inlineStr">
        <is>
          <t>N/A</t>
        </is>
      </c>
      <c r="J13" s="4" t="inlineStr">
        <is>
          <t>SIM</t>
        </is>
      </c>
      <c r="K13" s="4" t="inlineStr">
        <is>
          <t>Conformidade</t>
        </is>
      </c>
      <c r="L13" s="4">
        <f>IF(G13="","",IF(G13="SIM",1,0))</f>
        <v/>
      </c>
      <c r="M13" s="4">
        <f>IF(H13="","",IF(H13="SIM",1,0))</f>
        <v/>
      </c>
      <c r="N13" s="4">
        <f>IF(J13="","",IF(J13="SIM",1,0))</f>
        <v/>
      </c>
      <c r="O13" s="4">
        <f>IF(K13="","",IF(K13="Conformidade",1,IF(K13="Não Conformidade",0,IF(K13="Não Conformidade Grave",-1,""))))</f>
        <v/>
      </c>
      <c r="P13" s="38">
        <f>IF(COUNTA(G13,H13,J13,K13)=0,"",ROUND(AVERAGE(L13:O13)*100,0))</f>
        <v/>
      </c>
      <c r="Q13" s="39">
        <f>IFERROR(AVERAGEIF(C$2:C$61,C13,P$2:P$61),"N/A")</f>
        <v/>
      </c>
      <c r="S13" t="inlineStr">
        <is>
          <t>Organizar a cadeia documental por etapa, confirmar os SLAs e publicar a referência vigente.</t>
        </is>
      </c>
      <c r="T13" t="inlineStr">
        <is>
          <t>Jeferson Oliveira</t>
        </is>
      </c>
      <c r="U13" s="37" t="inlineStr">
        <is>
          <t>A definir</t>
        </is>
      </c>
      <c r="V13" t="inlineStr">
        <is>
          <t>Aguardando ação</t>
        </is>
      </c>
    </row>
    <row r="14" ht="30" customHeight="1" s="55">
      <c r="A14" s="4" t="n">
        <v>928734</v>
      </c>
      <c r="B14" s="36" t="n">
        <v>46283</v>
      </c>
      <c r="C14" s="4" t="inlineStr">
        <is>
          <t>Mobilize</t>
        </is>
      </c>
      <c r="D14" s="4" t="inlineStr">
        <is>
          <t>Backoffice — Locadora N2</t>
        </is>
      </c>
      <c r="E14" s="4" t="inlineStr">
        <is>
          <t>P.O.535.OPER - ORIENTAR QUANTO A SOLICITAÇÃO DE RECORRER A INFRAÇÃO</t>
        </is>
      </c>
      <c r="F14" s="4" t="n">
        <v>1</v>
      </c>
      <c r="G14" s="4" t="inlineStr">
        <is>
          <t>SIM</t>
        </is>
      </c>
      <c r="H14" s="4" t="inlineStr">
        <is>
          <t>SIM</t>
        </is>
      </c>
      <c r="I14" s="36" t="inlineStr">
        <is>
          <t>N/A</t>
        </is>
      </c>
      <c r="J14" s="4" t="inlineStr">
        <is>
          <t>SIM</t>
        </is>
      </c>
      <c r="K14" s="4" t="inlineStr">
        <is>
          <t>Conformidade</t>
        </is>
      </c>
      <c r="L14" s="4">
        <f>IF(G14="","",IF(G14="SIM",1,0))</f>
        <v/>
      </c>
      <c r="M14" s="4">
        <f>IF(H14="","",IF(H14="SIM",1,0))</f>
        <v/>
      </c>
      <c r="N14" s="4">
        <f>IF(J14="","",IF(J14="SIM",1,0))</f>
        <v/>
      </c>
      <c r="O14" s="4">
        <f>IF(K14="","",IF(K14="Conformidade",1,IF(K14="Não Conformidade",0,IF(K14="Não Conformidade Grave",-1,""))))</f>
        <v/>
      </c>
      <c r="P14" s="38">
        <f>IF(COUNTA(G14,H14,J14,K14)=0,"",ROUND(AVERAGE(L14:O14)*100,0))</f>
        <v/>
      </c>
      <c r="Q14" s="39">
        <f>IFERROR(AVERAGEIF(C$2:C$61,C14,P$2:P$61),"N/A")</f>
        <v/>
      </c>
      <c r="S14" t="inlineStr">
        <is>
          <t>Organizar a cadeia documental por etapa, confirmar os SLAs e publicar a referência vigente.</t>
        </is>
      </c>
      <c r="T14" t="inlineStr">
        <is>
          <t>Jeferson Oliveira</t>
        </is>
      </c>
      <c r="U14" s="37" t="inlineStr">
        <is>
          <t>A definir</t>
        </is>
      </c>
      <c r="V14" t="inlineStr">
        <is>
          <t>Aguardando ação</t>
        </is>
      </c>
    </row>
    <row r="15" ht="30" customHeight="1" s="55">
      <c r="A15" s="4" t="n">
        <v>928734</v>
      </c>
      <c r="B15" s="36" t="n">
        <v>46283</v>
      </c>
      <c r="C15" s="4" t="inlineStr">
        <is>
          <t>Mobilize</t>
        </is>
      </c>
      <c r="D15" s="4" t="inlineStr">
        <is>
          <t>Backoffice — Locadora N2</t>
        </is>
      </c>
      <c r="E15" s="4" t="inlineStr">
        <is>
          <t>D.C.1337.EXTE -INFRAÇÕES DE TRÂNSITO</t>
        </is>
      </c>
      <c r="F15" s="4" t="n">
        <v>1</v>
      </c>
      <c r="G15" s="4" t="inlineStr">
        <is>
          <t>SIM</t>
        </is>
      </c>
      <c r="H15" s="4" t="inlineStr">
        <is>
          <t>SIM</t>
        </is>
      </c>
      <c r="I15" s="36" t="inlineStr">
        <is>
          <t>N/A</t>
        </is>
      </c>
      <c r="J15" s="4" t="inlineStr">
        <is>
          <t>SIM</t>
        </is>
      </c>
      <c r="K15" s="4" t="inlineStr">
        <is>
          <t>Conformidade</t>
        </is>
      </c>
      <c r="L15" s="4">
        <f>IF(G15="","",IF(G15="SIM",1,0))</f>
        <v/>
      </c>
      <c r="M15" s="4">
        <f>IF(H15="","",IF(H15="SIM",1,0))</f>
        <v/>
      </c>
      <c r="N15" s="4">
        <f>IF(J15="","",IF(J15="SIM",1,0))</f>
        <v/>
      </c>
      <c r="O15" s="4">
        <f>IF(K15="","",IF(K15="Conformidade",1,IF(K15="Não Conformidade",0,IF(K15="Não Conformidade Grave",-1,""))))</f>
        <v/>
      </c>
      <c r="P15" s="38">
        <f>IF(COUNTA(G15,H15,J15,K15)=0,"",ROUND(AVERAGE(L15:O15)*100,0))</f>
        <v/>
      </c>
      <c r="Q15" s="39">
        <f>IFERROR(AVERAGEIF(C$2:C$61,C15,P$2:P$61),"N/A")</f>
        <v/>
      </c>
      <c r="S15" t="inlineStr">
        <is>
          <t>Organizar a cadeia documental por etapa, confirmar os SLAs e publicar a referência vigente.</t>
        </is>
      </c>
      <c r="T15" t="inlineStr">
        <is>
          <t>Jeferson Oliveira</t>
        </is>
      </c>
      <c r="U15" s="37" t="inlineStr">
        <is>
          <t>A definir</t>
        </is>
      </c>
      <c r="V15" t="inlineStr">
        <is>
          <t>Aguardando ação</t>
        </is>
      </c>
    </row>
    <row r="16" ht="30" customHeight="1" s="55">
      <c r="A16" s="4" t="n">
        <v>928734</v>
      </c>
      <c r="B16" s="36" t="n">
        <v>46283</v>
      </c>
      <c r="C16" s="4" t="inlineStr">
        <is>
          <t>Mobilize</t>
        </is>
      </c>
      <c r="D16" s="4" t="inlineStr">
        <is>
          <t>Clube FIQ</t>
        </is>
      </c>
      <c r="E16" s="4" t="inlineStr">
        <is>
          <t>I.T.179.OPER - ORIENTAR QUANTO A TRATATIVA DE CLIENTES VIA CHAT</t>
        </is>
      </c>
      <c r="F16" s="4" t="n">
        <v>1</v>
      </c>
      <c r="G16" s="4" t="inlineStr">
        <is>
          <t>SIM</t>
        </is>
      </c>
      <c r="H16" s="4" t="inlineStr">
        <is>
          <t>NÃO</t>
        </is>
      </c>
      <c r="I16" s="36" t="inlineStr">
        <is>
          <t>N/A</t>
        </is>
      </c>
      <c r="J16" s="4" t="inlineStr">
        <is>
          <t>NÃO</t>
        </is>
      </c>
      <c r="K16" s="4" t="inlineStr">
        <is>
          <t>Não Conformidade</t>
        </is>
      </c>
      <c r="L16" s="4">
        <f>IF(G16="","",IF(G16="SIM",1,0))</f>
        <v/>
      </c>
      <c r="M16" s="4">
        <f>IF(H16="","",IF(H16="SIM",1,0))</f>
        <v/>
      </c>
      <c r="N16" s="4">
        <f>IF(J16="","",IF(J16="SIM",1,0))</f>
        <v/>
      </c>
      <c r="O16" s="4">
        <f>IF(K16="","",IF(K16="Conformidade",1,IF(K16="Não Conformidade",0,IF(K16="Não Conformidade Grave",-1,""))))</f>
        <v/>
      </c>
      <c r="P16" s="38">
        <f>IF(COUNTA(G16,H16,J16,K16)=0,"",ROUND(AVERAGE(L16:O16)*100,0))</f>
        <v/>
      </c>
      <c r="Q16" s="39">
        <f>IFERROR(AVERAGEIF(C$2:C$61,C16,P$2:P$61),"N/A")</f>
        <v/>
      </c>
      <c r="R16" t="inlineStr">
        <is>
          <t xml:space="preserve"> Wikis desatualizadas e ausência de classificação de criticidade consolidada para todos os processos.</t>
        </is>
      </c>
      <c r="S16" t="inlineStr">
        <is>
          <t>Atualizar Wikis e scripts, consolidar a criticidade e registrar aprovação, versão e vigência.</t>
        </is>
      </c>
      <c r="T16" t="inlineStr">
        <is>
          <t>Gestão do Clube FIQ e Processos</t>
        </is>
      </c>
      <c r="U16" s="37" t="inlineStr">
        <is>
          <t>A definir</t>
        </is>
      </c>
      <c r="V16" t="inlineStr">
        <is>
          <t>Aguardando ação</t>
        </is>
      </c>
    </row>
    <row r="17" ht="30" customHeight="1" s="55">
      <c r="A17" s="4" t="n">
        <v>928734</v>
      </c>
      <c r="B17" s="36" t="n">
        <v>46283</v>
      </c>
      <c r="C17" s="4" t="inlineStr">
        <is>
          <t>Mobilize</t>
        </is>
      </c>
      <c r="D17" s="4" t="inlineStr">
        <is>
          <t>Clube FIQ</t>
        </is>
      </c>
      <c r="E17" s="4" t="inlineStr">
        <is>
          <t>I.T.176.OPER - ORIENTAR QUANTO A TRATATIVA DE INCENTIVO AO PORTAL</t>
        </is>
      </c>
      <c r="F17" s="4" t="n">
        <v>1</v>
      </c>
      <c r="G17" s="4" t="inlineStr">
        <is>
          <t>SIM</t>
        </is>
      </c>
      <c r="H17" s="4" t="inlineStr">
        <is>
          <t>NÃO</t>
        </is>
      </c>
      <c r="I17" s="36" t="inlineStr">
        <is>
          <t>N/A</t>
        </is>
      </c>
      <c r="J17" s="4" t="inlineStr">
        <is>
          <t>NÃO</t>
        </is>
      </c>
      <c r="K17" s="4" t="inlineStr">
        <is>
          <t>Não Conformidade</t>
        </is>
      </c>
      <c r="L17" s="4">
        <f>IF(G17="","",IF(G17="SIM",1,0))</f>
        <v/>
      </c>
      <c r="M17" s="4">
        <f>IF(H17="","",IF(H17="SIM",1,0))</f>
        <v/>
      </c>
      <c r="N17" s="4">
        <f>IF(J17="","",IF(J17="SIM",1,0))</f>
        <v/>
      </c>
      <c r="O17" s="4">
        <f>IF(K17="","",IF(K17="Conformidade",1,IF(K17="Não Conformidade",0,IF(K17="Não Conformidade Grave",-1,""))))</f>
        <v/>
      </c>
      <c r="P17" s="38">
        <f>IF(COUNTA(G17,H17,J17,K17)=0,"",ROUND(AVERAGE(L17:O17)*100,0))</f>
        <v/>
      </c>
      <c r="Q17" s="39">
        <f>IFERROR(AVERAGEIF(C$2:C$61,C17,P$2:P$61),"N/A")</f>
        <v/>
      </c>
      <c r="R17" t="inlineStr">
        <is>
          <t>Wikis desatualizadas e ausência de classificação de criticidade consolidada para todos os processos.</t>
        </is>
      </c>
      <c r="S17" t="inlineStr">
        <is>
          <t>Atualizar Wikis e scripts, consolidar a criticidade e registrar aprovação, versão e vigência.</t>
        </is>
      </c>
      <c r="T17" t="inlineStr">
        <is>
          <t>Gestão do Clube FIQ e Processos</t>
        </is>
      </c>
      <c r="U17" s="37" t="inlineStr">
        <is>
          <t>A definir</t>
        </is>
      </c>
      <c r="V17" t="inlineStr">
        <is>
          <t>Aguardando ação</t>
        </is>
      </c>
    </row>
    <row r="18" ht="30" customHeight="1" s="55">
      <c r="A18" s="4" t="n">
        <v>928734</v>
      </c>
      <c r="B18" s="36" t="n">
        <v>46283</v>
      </c>
      <c r="C18" s="4" t="inlineStr">
        <is>
          <t>Mobilize</t>
        </is>
      </c>
      <c r="D18" s="4" t="inlineStr">
        <is>
          <t>Clube FIQ</t>
        </is>
      </c>
      <c r="E18" s="4" t="inlineStr">
        <is>
          <t>D.C.587.OPER - SCRIPT DE INCENTIVO AO PORTAL</t>
        </is>
      </c>
      <c r="F18" s="4" t="n">
        <v>1</v>
      </c>
      <c r="G18" s="4" t="inlineStr">
        <is>
          <t>SIM</t>
        </is>
      </c>
      <c r="H18" s="4" t="inlineStr">
        <is>
          <t>NÃO</t>
        </is>
      </c>
      <c r="I18" s="36" t="inlineStr">
        <is>
          <t>N/A</t>
        </is>
      </c>
      <c r="J18" s="4" t="inlineStr">
        <is>
          <t>NÃO</t>
        </is>
      </c>
      <c r="K18" s="4" t="inlineStr">
        <is>
          <t>Não Conformidade</t>
        </is>
      </c>
      <c r="L18" s="4">
        <f>IF(G18="","",IF(G18="SIM",1,0))</f>
        <v/>
      </c>
      <c r="M18" s="4">
        <f>IF(H18="","",IF(H18="SIM",1,0))</f>
        <v/>
      </c>
      <c r="N18" s="4">
        <f>IF(J18="","",IF(J18="SIM",1,0))</f>
        <v/>
      </c>
      <c r="O18" s="4">
        <f>IF(K18="","",IF(K18="Conformidade",1,IF(K18="Não Conformidade",0,IF(K18="Não Conformidade Grave",-1,""))))</f>
        <v/>
      </c>
      <c r="P18" s="38">
        <f>IF(COUNTA(G18,H18,J18,K18)=0,"",ROUND(AVERAGE(L18:O18)*100,0))</f>
        <v/>
      </c>
      <c r="Q18" s="39">
        <f>IFERROR(AVERAGEIF(C$2:C$61,C18,P$2:P$61),"N/A")</f>
        <v/>
      </c>
      <c r="R18" t="inlineStr">
        <is>
          <t>Wikis desatualizadas e ausência de classificação de criticidade consolidada para todos os processos.</t>
        </is>
      </c>
      <c r="S18" t="inlineStr">
        <is>
          <t>Atualizar Wikis e scripts, consolidar a criticidade e registrar aprovação, versão e vigência.</t>
        </is>
      </c>
      <c r="T18" t="inlineStr">
        <is>
          <t>Gestão do Clube FIQ e Processos</t>
        </is>
      </c>
      <c r="U18" s="37" t="inlineStr">
        <is>
          <t>A definir</t>
        </is>
      </c>
      <c r="V18" t="inlineStr">
        <is>
          <t>Aguardando ação</t>
        </is>
      </c>
    </row>
    <row r="19">
      <c r="A19" s="4" t="n"/>
      <c r="B19" s="36" t="n"/>
      <c r="C19" s="4" t="n"/>
      <c r="D19" s="4" t="n"/>
      <c r="E19" s="4" t="n"/>
      <c r="F19" s="4" t="n"/>
      <c r="G19" s="4" t="n"/>
      <c r="H19" s="4" t="n"/>
      <c r="I19" s="36" t="n"/>
      <c r="J19" s="4" t="n"/>
      <c r="K19" s="4" t="n"/>
      <c r="L19" s="4">
        <f>IF(G19="","",IF(G19="SIM",1,0))</f>
        <v/>
      </c>
      <c r="M19" s="4">
        <f>IF(H19="","",IF(H19="SIM",1,0))</f>
        <v/>
      </c>
      <c r="N19" s="4">
        <f>IF(J19="","",IF(J19="SIM",1,0))</f>
        <v/>
      </c>
      <c r="O19" s="4">
        <f>IF(K19="","",IF(K19="Conformidade",1,IF(K19="Não Conformidade",0,IF(K19="Não Conformidade Grave",-1,""))))</f>
        <v/>
      </c>
      <c r="P19" s="38">
        <f>IF(COUNTA(G19,H19,J19,K19)=0,"",ROUND(AVERAGE(L19:O19)*100,0))</f>
        <v/>
      </c>
      <c r="Q19" s="39">
        <f>IFERROR(AVERAGEIF(C$2:C$61,C19,P$2:P$61),"N/A")</f>
        <v/>
      </c>
      <c r="U19" s="37" t="n"/>
    </row>
    <row r="20">
      <c r="A20" s="4" t="n"/>
      <c r="B20" s="36" t="n"/>
      <c r="C20" s="4" t="n"/>
      <c r="D20" s="4" t="n"/>
      <c r="E20" s="4" t="n"/>
      <c r="F20" s="4" t="n"/>
      <c r="G20" s="4" t="n"/>
      <c r="H20" s="4" t="n"/>
      <c r="I20" s="36" t="n"/>
      <c r="J20" s="4" t="n"/>
      <c r="K20" s="4" t="n"/>
      <c r="L20" s="4">
        <f>IF(G20="","",IF(G20="SIM",1,0))</f>
        <v/>
      </c>
      <c r="M20" s="4">
        <f>IF(H20="","",IF(H20="SIM",1,0))</f>
        <v/>
      </c>
      <c r="N20" s="4">
        <f>IF(J20="","",IF(J20="SIM",1,0))</f>
        <v/>
      </c>
      <c r="O20" s="4">
        <f>IF(K20="","",IF(K20="Conformidade",1,IF(K20="Não Conformidade",0,IF(K20="Não Conformidade Grave",-1,""))))</f>
        <v/>
      </c>
      <c r="P20" s="38">
        <f>IF(COUNTA(G20,H20,J20,K20)=0,"",ROUND(AVERAGE(L20:O20)*100,0))</f>
        <v/>
      </c>
      <c r="Q20" s="39">
        <f>IFERROR(AVERAGEIF(C$2:C$61,C20,P$2:P$61),"N/A")</f>
        <v/>
      </c>
      <c r="U20" s="37" t="n"/>
    </row>
    <row r="21">
      <c r="A21" s="4" t="n"/>
      <c r="B21" s="36" t="n"/>
      <c r="C21" s="4" t="n"/>
      <c r="D21" s="4" t="n"/>
      <c r="E21" s="4" t="n"/>
      <c r="F21" s="4" t="n"/>
      <c r="G21" s="4" t="n"/>
      <c r="H21" s="4" t="n"/>
      <c r="I21" s="36" t="n"/>
      <c r="J21" s="4" t="n"/>
      <c r="K21" s="4" t="n"/>
      <c r="L21" s="4">
        <f>IF(G21="","",IF(G21="SIM",1,0))</f>
        <v/>
      </c>
      <c r="M21" s="4">
        <f>IF(H21="","",IF(H21="SIM",1,0))</f>
        <v/>
      </c>
      <c r="N21" s="4">
        <f>IF(J21="","",IF(J21="SIM",1,0))</f>
        <v/>
      </c>
      <c r="O21" s="4">
        <f>IF(K21="","",IF(K21="Conformidade",1,IF(K21="Não Conformidade",0,IF(K21="Não Conformidade Grave",-1,""))))</f>
        <v/>
      </c>
      <c r="P21" s="38">
        <f>IF(COUNTA(G21,H21,J21,K21)=0,"",ROUND(AVERAGE(L21:O21)*100,0))</f>
        <v/>
      </c>
      <c r="Q21" s="39">
        <f>IFERROR(AVERAGEIF(C$2:C$61,C21,P$2:P$61),"N/A")</f>
        <v/>
      </c>
      <c r="U21" s="37" t="n"/>
    </row>
    <row r="22">
      <c r="A22" s="4" t="n"/>
      <c r="B22" s="36" t="n"/>
      <c r="C22" s="4" t="n"/>
      <c r="D22" s="4" t="n"/>
      <c r="E22" s="4" t="n"/>
      <c r="F22" s="4" t="n"/>
      <c r="G22" s="4" t="n"/>
      <c r="H22" s="4" t="n"/>
      <c r="I22" s="36" t="n"/>
      <c r="J22" s="4" t="n"/>
      <c r="K22" s="4" t="n"/>
      <c r="L22" s="4">
        <f>IF(G22="","",IF(G22="SIM",1,0))</f>
        <v/>
      </c>
      <c r="M22" s="4">
        <f>IF(H22="","",IF(H22="SIM",1,0))</f>
        <v/>
      </c>
      <c r="N22" s="4">
        <f>IF(J22="","",IF(J22="SIM",1,0))</f>
        <v/>
      </c>
      <c r="O22" s="4">
        <f>IF(K22="","",IF(K22="Conformidade",1,IF(K22="Não Conformidade",0,IF(K22="Não Conformidade Grave",-1,""))))</f>
        <v/>
      </c>
      <c r="P22" s="38">
        <f>IF(COUNTA(G22,H22,J22,K22)=0,"",ROUND(AVERAGE(L22:O22)*100,0))</f>
        <v/>
      </c>
      <c r="Q22" s="39">
        <f>IFERROR(AVERAGEIF(C$2:C$61,C22,P$2:P$61),"N/A")</f>
        <v/>
      </c>
      <c r="U22" s="37" t="n"/>
    </row>
    <row r="23">
      <c r="A23" s="4" t="n"/>
      <c r="B23" s="36" t="n"/>
      <c r="C23" s="4" t="n"/>
      <c r="D23" s="4" t="n"/>
      <c r="E23" s="4" t="n"/>
      <c r="F23" s="4" t="n"/>
      <c r="G23" s="4" t="n"/>
      <c r="H23" s="4" t="n"/>
      <c r="I23" s="36" t="n"/>
      <c r="J23" s="4" t="n"/>
      <c r="K23" s="4" t="n"/>
      <c r="L23" s="4">
        <f>IF(G23="","",IF(G23="SIM",1,0))</f>
        <v/>
      </c>
      <c r="M23" s="4">
        <f>IF(H23="","",IF(H23="SIM",1,0))</f>
        <v/>
      </c>
      <c r="N23" s="4">
        <f>IF(J23="","",IF(J23="SIM",1,0))</f>
        <v/>
      </c>
      <c r="O23" s="4">
        <f>IF(K23="","",IF(K23="Conformidade",1,IF(K23="Não Conformidade",0,IF(K23="Não Conformidade Grave",-1,""))))</f>
        <v/>
      </c>
      <c r="P23" s="38">
        <f>IF(COUNTA(G23,H23,J23,K23)=0,"",ROUND(AVERAGE(L23:O23)*100,0))</f>
        <v/>
      </c>
      <c r="Q23" s="39">
        <f>IFERROR(AVERAGEIF(C$2:C$61,C23,P$2:P$61),"N/A")</f>
        <v/>
      </c>
      <c r="U23" s="37" t="n"/>
    </row>
    <row r="24">
      <c r="A24" s="4" t="n"/>
      <c r="B24" s="36" t="n"/>
      <c r="C24" s="4" t="n"/>
      <c r="D24" s="4" t="n"/>
      <c r="E24" s="4" t="n"/>
      <c r="F24" s="4" t="n"/>
      <c r="G24" s="4" t="n"/>
      <c r="H24" s="4" t="n"/>
      <c r="I24" s="36" t="n"/>
      <c r="J24" s="4" t="n"/>
      <c r="K24" s="4" t="n"/>
      <c r="L24" s="4">
        <f>IF(G24="","",IF(G24="SIM",1,0))</f>
        <v/>
      </c>
      <c r="M24" s="4">
        <f>IF(H24="","",IF(H24="SIM",1,0))</f>
        <v/>
      </c>
      <c r="N24" s="4">
        <f>IF(J24="","",IF(J24="SIM",1,0))</f>
        <v/>
      </c>
      <c r="O24" s="4">
        <f>IF(K24="","",IF(K24="Conformidade",1,IF(K24="Não Conformidade",0,IF(K24="Não Conformidade Grave",-1,""))))</f>
        <v/>
      </c>
      <c r="P24" s="38">
        <f>IF(COUNTA(G24,H24,J24,K24)=0,"",ROUND(AVERAGE(L24:O24)*100,0))</f>
        <v/>
      </c>
      <c r="Q24" s="39">
        <f>IFERROR(AVERAGEIF(C$2:C$61,C24,P$2:P$61),"N/A")</f>
        <v/>
      </c>
      <c r="U24" s="37" t="n"/>
    </row>
    <row r="25">
      <c r="A25" s="4" t="n"/>
      <c r="B25" s="36" t="n"/>
      <c r="C25" s="4" t="n"/>
      <c r="D25" s="4" t="n"/>
      <c r="E25" s="4" t="n"/>
      <c r="F25" s="4" t="n"/>
      <c r="G25" s="4" t="n"/>
      <c r="H25" s="4" t="n"/>
      <c r="I25" s="36" t="n"/>
      <c r="J25" s="4" t="n"/>
      <c r="K25" s="4" t="n"/>
      <c r="L25" s="4">
        <f>IF(G25="","",IF(G25="SIM",1,0))</f>
        <v/>
      </c>
      <c r="M25" s="4">
        <f>IF(H25="","",IF(H25="SIM",1,0))</f>
        <v/>
      </c>
      <c r="N25" s="4">
        <f>IF(J25="","",IF(J25="SIM",1,0))</f>
        <v/>
      </c>
      <c r="O25" s="4">
        <f>IF(K25="","",IF(K25="Conformidade",1,IF(K25="Não Conformidade",0,IF(K25="Não Conformidade Grave",-1,""))))</f>
        <v/>
      </c>
      <c r="P25" s="38">
        <f>IF(COUNTA(G25,H25,J25,K25)=0,"",ROUND(AVERAGE(L25:O25)*100,0))</f>
        <v/>
      </c>
      <c r="Q25" s="39">
        <f>IFERROR(AVERAGEIF(C$2:C$61,C25,P$2:P$61),"N/A")</f>
        <v/>
      </c>
      <c r="U25" s="37" t="n"/>
    </row>
    <row r="26">
      <c r="A26" s="4" t="n"/>
      <c r="B26" s="36" t="n"/>
      <c r="C26" s="4" t="n"/>
      <c r="D26" s="4" t="n"/>
      <c r="E26" s="4" t="n"/>
      <c r="F26" s="4" t="n"/>
      <c r="G26" s="4" t="n"/>
      <c r="H26" s="4" t="n"/>
      <c r="I26" s="36" t="n"/>
      <c r="J26" s="4" t="n"/>
      <c r="K26" s="4" t="n"/>
      <c r="L26" s="4">
        <f>IF(G26="","",IF(G26="SIM",1,0))</f>
        <v/>
      </c>
      <c r="M26" s="4">
        <f>IF(H26="","",IF(H26="SIM",1,0))</f>
        <v/>
      </c>
      <c r="N26" s="4">
        <f>IF(J26="","",IF(J26="SIM",1,0))</f>
        <v/>
      </c>
      <c r="O26" s="4">
        <f>IF(K26="","",IF(K26="Conformidade",1,IF(K26="Não Conformidade",0,IF(K26="Não Conformidade Grave",-1,""))))</f>
        <v/>
      </c>
      <c r="P26" s="38">
        <f>IF(COUNTA(G26,H26,J26,K26)=0,"",ROUND(AVERAGE(L26:O26)*100,0))</f>
        <v/>
      </c>
      <c r="Q26" s="39">
        <f>IFERROR(AVERAGEIF(C$2:C$61,C26,P$2:P$61),"N/A")</f>
        <v/>
      </c>
      <c r="U26" s="37" t="n"/>
    </row>
    <row r="27">
      <c r="A27" s="4" t="n"/>
      <c r="B27" s="36" t="n"/>
      <c r="C27" s="4" t="n"/>
      <c r="D27" s="4" t="n"/>
      <c r="E27" s="4" t="n"/>
      <c r="F27" s="4" t="n"/>
      <c r="G27" s="4" t="n"/>
      <c r="H27" s="4" t="n"/>
      <c r="I27" s="36" t="n"/>
      <c r="J27" s="4" t="n"/>
      <c r="K27" s="4" t="n"/>
      <c r="L27" s="4">
        <f>IF(G27="","",IF(G27="SIM",1,0))</f>
        <v/>
      </c>
      <c r="M27" s="4">
        <f>IF(H27="","",IF(H27="SIM",1,0))</f>
        <v/>
      </c>
      <c r="N27" s="4">
        <f>IF(J27="","",IF(J27="SIM",1,0))</f>
        <v/>
      </c>
      <c r="O27" s="4">
        <f>IF(K27="","",IF(K27="Conformidade",1,IF(K27="Não Conformidade",0,IF(K27="Não Conformidade Grave",-1,""))))</f>
        <v/>
      </c>
      <c r="P27" s="38">
        <f>IF(COUNTA(G27,H27,J27,K27)=0,"",ROUND(AVERAGE(L27:O27)*100,0))</f>
        <v/>
      </c>
      <c r="Q27" s="39">
        <f>IFERROR(AVERAGEIF(C$2:C$61,C27,P$2:P$61),"N/A")</f>
        <v/>
      </c>
      <c r="U27" s="37" t="n"/>
    </row>
    <row r="28">
      <c r="A28" s="4" t="n"/>
      <c r="B28" s="36" t="n"/>
      <c r="C28" s="4" t="n"/>
      <c r="D28" s="4" t="n"/>
      <c r="E28" s="4" t="n"/>
      <c r="F28" s="4" t="n"/>
      <c r="G28" s="4" t="n"/>
      <c r="H28" s="4" t="n"/>
      <c r="I28" s="36" t="n"/>
      <c r="J28" s="4" t="n"/>
      <c r="K28" s="4" t="n"/>
      <c r="L28" s="4">
        <f>IF(G28="","",IF(G28="SIM",1,0))</f>
        <v/>
      </c>
      <c r="M28" s="4">
        <f>IF(H28="","",IF(H28="SIM",1,0))</f>
        <v/>
      </c>
      <c r="N28" s="4">
        <f>IF(J28="","",IF(J28="SIM",1,0))</f>
        <v/>
      </c>
      <c r="O28" s="4">
        <f>IF(K28="","",IF(K28="Conformidade",1,IF(K28="Não Conformidade",0,IF(K28="Não Conformidade Grave",-1,""))))</f>
        <v/>
      </c>
      <c r="P28" s="38">
        <f>IF(COUNTA(G28,H28,J28,K28)=0,"",ROUND(AVERAGE(L28:O28)*100,0))</f>
        <v/>
      </c>
      <c r="Q28" s="39">
        <f>IFERROR(AVERAGEIF(C$2:C$61,C28,P$2:P$61),"N/A")</f>
        <v/>
      </c>
      <c r="U28" s="37" t="n"/>
    </row>
    <row r="29">
      <c r="A29" s="4" t="n"/>
      <c r="B29" s="36" t="n"/>
      <c r="C29" s="4" t="n"/>
      <c r="D29" s="4" t="n"/>
      <c r="E29" s="4" t="n"/>
      <c r="F29" s="4" t="n"/>
      <c r="G29" s="4" t="n"/>
      <c r="H29" s="4" t="n"/>
      <c r="I29" s="36" t="n"/>
      <c r="J29" s="4" t="n"/>
      <c r="K29" s="4" t="n"/>
      <c r="L29" s="4">
        <f>IF(G29="","",IF(G29="SIM",1,0))</f>
        <v/>
      </c>
      <c r="M29" s="4">
        <f>IF(H29="","",IF(H29="SIM",1,0))</f>
        <v/>
      </c>
      <c r="N29" s="4">
        <f>IF(J29="","",IF(J29="SIM",1,0))</f>
        <v/>
      </c>
      <c r="O29" s="4">
        <f>IF(K29="","",IF(K29="Conformidade",1,IF(K29="Não Conformidade",0,IF(K29="Não Conformidade Grave",-1,""))))</f>
        <v/>
      </c>
      <c r="P29" s="38">
        <f>IF(COUNTA(G29,H29,J29,K29)=0,"",ROUND(AVERAGE(L29:O29)*100,0))</f>
        <v/>
      </c>
      <c r="Q29" s="39">
        <f>IFERROR(AVERAGEIF(C$2:C$61,C29,P$2:P$61),"N/A")</f>
        <v/>
      </c>
      <c r="U29" s="37" t="n"/>
    </row>
    <row r="30">
      <c r="A30" s="4" t="n"/>
      <c r="B30" s="36" t="n"/>
      <c r="C30" s="4" t="n"/>
      <c r="D30" s="4" t="n"/>
      <c r="E30" s="4" t="n"/>
      <c r="F30" s="4" t="n"/>
      <c r="G30" s="4" t="n"/>
      <c r="H30" s="4" t="n"/>
      <c r="I30" s="36" t="n"/>
      <c r="J30" s="4" t="n"/>
      <c r="K30" s="4" t="n"/>
      <c r="L30" s="4">
        <f>IF(G30="","",IF(G30="SIM",1,0))</f>
        <v/>
      </c>
      <c r="M30" s="4">
        <f>IF(H30="","",IF(H30="SIM",1,0))</f>
        <v/>
      </c>
      <c r="N30" s="4">
        <f>IF(J30="","",IF(J30="SIM",1,0))</f>
        <v/>
      </c>
      <c r="O30" s="4">
        <f>IF(K30="","",IF(K30="Conformidade",1,IF(K30="Não Conformidade",0,IF(K30="Não Conformidade Grave",-1,""))))</f>
        <v/>
      </c>
      <c r="P30" s="38">
        <f>IF(COUNTA(G30,H30,J30,K30)=0,"",ROUND(AVERAGE(L30:O30)*100,0))</f>
        <v/>
      </c>
      <c r="Q30" s="39">
        <f>IFERROR(AVERAGEIF(C$2:C$61,C30,P$2:P$61),"N/A")</f>
        <v/>
      </c>
      <c r="U30" s="37" t="n"/>
    </row>
    <row r="31">
      <c r="A31" s="4" t="n"/>
      <c r="B31" s="36" t="n"/>
      <c r="C31" s="4" t="n"/>
      <c r="D31" s="4" t="n"/>
      <c r="E31" s="4" t="n"/>
      <c r="F31" s="4" t="n"/>
      <c r="G31" s="4" t="n"/>
      <c r="H31" s="4" t="n"/>
      <c r="I31" s="36" t="n"/>
      <c r="J31" s="4" t="n"/>
      <c r="K31" s="4" t="n"/>
      <c r="L31" s="4">
        <f>IF(G31="","",IF(G31="SIM",1,0))</f>
        <v/>
      </c>
      <c r="M31" s="4">
        <f>IF(H31="","",IF(H31="SIM",1,0))</f>
        <v/>
      </c>
      <c r="N31" s="4">
        <f>IF(J31="","",IF(J31="SIM",1,0))</f>
        <v/>
      </c>
      <c r="O31" s="4">
        <f>IF(K31="","",IF(K31="Conformidade",1,IF(K31="Não Conformidade",0,IF(K31="Não Conformidade Grave",-1,""))))</f>
        <v/>
      </c>
      <c r="P31" s="38">
        <f>IF(COUNTA(G31,H31,J31,K31)=0,"",ROUND(AVERAGE(L31:O31)*100,0))</f>
        <v/>
      </c>
      <c r="Q31" s="39">
        <f>IFERROR(AVERAGEIF(C$2:C$61,C31,P$2:P$61),"N/A")</f>
        <v/>
      </c>
      <c r="U31" s="37" t="n"/>
    </row>
    <row r="32">
      <c r="A32" s="4" t="n"/>
      <c r="B32" s="36" t="n"/>
      <c r="C32" s="4" t="n"/>
      <c r="D32" s="4" t="n"/>
      <c r="E32" s="4" t="n"/>
      <c r="F32" s="4" t="n"/>
      <c r="G32" s="4" t="n"/>
      <c r="H32" s="4" t="n"/>
      <c r="I32" s="36" t="n"/>
      <c r="J32" s="4" t="n"/>
      <c r="K32" s="4" t="n"/>
      <c r="L32" s="4">
        <f>IF(G32="","",IF(G32="SIM",1,0))</f>
        <v/>
      </c>
      <c r="M32" s="4">
        <f>IF(H32="","",IF(H32="SIM",1,0))</f>
        <v/>
      </c>
      <c r="N32" s="4">
        <f>IF(J32="","",IF(J32="SIM",1,0))</f>
        <v/>
      </c>
      <c r="O32" s="4">
        <f>IF(K32="","",IF(K32="Conformidade",1,IF(K32="Não Conformidade",0,IF(K32="Não Conformidade Grave",-1,""))))</f>
        <v/>
      </c>
      <c r="P32" s="38">
        <f>IF(COUNTA(G32,H32,J32,K32)=0,"",ROUND(AVERAGE(L32:O32)*100,0))</f>
        <v/>
      </c>
      <c r="Q32" s="39">
        <f>IFERROR(AVERAGEIF(C$2:C$61,C32,P$2:P$61),"N/A")</f>
        <v/>
      </c>
      <c r="U32" s="37" t="n"/>
    </row>
    <row r="33">
      <c r="A33" s="4" t="n"/>
      <c r="B33" s="36" t="n"/>
      <c r="C33" s="4" t="n"/>
      <c r="D33" s="4" t="n"/>
      <c r="E33" s="4" t="n"/>
      <c r="F33" s="4" t="n"/>
      <c r="G33" s="4" t="n"/>
      <c r="H33" s="4" t="n"/>
      <c r="I33" s="36" t="n"/>
      <c r="J33" s="4" t="n"/>
      <c r="K33" s="4" t="n"/>
      <c r="L33" s="4">
        <f>IF(G33="","",IF(G33="SIM",1,0))</f>
        <v/>
      </c>
      <c r="M33" s="4">
        <f>IF(H33="","",IF(H33="SIM",1,0))</f>
        <v/>
      </c>
      <c r="N33" s="4">
        <f>IF(J33="","",IF(J33="SIM",1,0))</f>
        <v/>
      </c>
      <c r="O33" s="4">
        <f>IF(K33="","",IF(K33="Conformidade",1,IF(K33="Não Conformidade",0,IF(K33="Não Conformidade Grave",-1,""))))</f>
        <v/>
      </c>
      <c r="P33" s="38">
        <f>IF(COUNTA(G33,H33,J33,K33)=0,"",ROUND(AVERAGE(L33:O33)*100,0))</f>
        <v/>
      </c>
      <c r="Q33" s="39">
        <f>IFERROR(AVERAGEIF(C$2:C$61,C33,P$2:P$61),"N/A")</f>
        <v/>
      </c>
      <c r="U33" s="37" t="n"/>
    </row>
    <row r="34">
      <c r="A34" s="4" t="n"/>
      <c r="B34" s="36" t="n"/>
      <c r="C34" s="4" t="n"/>
      <c r="D34" s="4" t="n"/>
      <c r="E34" s="4" t="n"/>
      <c r="F34" s="4" t="n"/>
      <c r="G34" s="4" t="n"/>
      <c r="H34" s="4" t="n"/>
      <c r="I34" s="36" t="n"/>
      <c r="J34" s="4" t="n"/>
      <c r="K34" s="4" t="n"/>
      <c r="L34" s="4">
        <f>IF(G34="","",IF(G34="SIM",1,0))</f>
        <v/>
      </c>
      <c r="M34" s="4">
        <f>IF(H34="","",IF(H34="SIM",1,0))</f>
        <v/>
      </c>
      <c r="N34" s="4">
        <f>IF(J34="","",IF(J34="SIM",1,0))</f>
        <v/>
      </c>
      <c r="O34" s="4">
        <f>IF(K34="","",IF(K34="Conformidade",1,IF(K34="Não Conformidade",0,IF(K34="Não Conformidade Grave",-1,""))))</f>
        <v/>
      </c>
      <c r="P34" s="38">
        <f>IF(COUNTA(G34,H34,J34,K34)=0,"",ROUND(AVERAGE(L34:O34)*100,0))</f>
        <v/>
      </c>
      <c r="Q34" s="39">
        <f>IFERROR(AVERAGEIF(C$2:C$61,C34,P$2:P$61),"N/A")</f>
        <v/>
      </c>
      <c r="U34" s="37" t="n"/>
    </row>
    <row r="35">
      <c r="A35" s="4" t="n"/>
      <c r="B35" s="36" t="n"/>
      <c r="C35" s="4" t="n"/>
      <c r="D35" s="4" t="n"/>
      <c r="E35" s="4" t="n"/>
      <c r="F35" s="4" t="n"/>
      <c r="G35" s="4" t="n"/>
      <c r="H35" s="4" t="n"/>
      <c r="I35" s="36" t="n"/>
      <c r="J35" s="4" t="n"/>
      <c r="K35" s="4" t="n"/>
      <c r="L35" s="4">
        <f>IF(G35="","",IF(G35="SIM",1,0))</f>
        <v/>
      </c>
      <c r="M35" s="4">
        <f>IF(H35="","",IF(H35="SIM",1,0))</f>
        <v/>
      </c>
      <c r="N35" s="4">
        <f>IF(J35="","",IF(J35="SIM",1,0))</f>
        <v/>
      </c>
      <c r="O35" s="4">
        <f>IF(K35="","",IF(K35="Conformidade",1,IF(K35="Não Conformidade",0,IF(K35="Não Conformidade Grave",-1,""))))</f>
        <v/>
      </c>
      <c r="P35" s="38">
        <f>IF(COUNTA(G35,H35,J35,K35)=0,"",ROUND(AVERAGE(L35:O35)*100,0))</f>
        <v/>
      </c>
      <c r="Q35" s="39">
        <f>IFERROR(AVERAGEIF(C$2:C$61,C35,P$2:P$61),"N/A")</f>
        <v/>
      </c>
      <c r="U35" s="37" t="n"/>
    </row>
    <row r="36">
      <c r="A36" s="4" t="n"/>
      <c r="B36" s="36" t="n"/>
      <c r="C36" s="4" t="n"/>
      <c r="D36" s="4" t="n"/>
      <c r="E36" s="4" t="n"/>
      <c r="F36" s="4" t="n"/>
      <c r="G36" s="4" t="n"/>
      <c r="H36" s="4" t="n"/>
      <c r="I36" s="36" t="n"/>
      <c r="J36" s="4" t="n"/>
      <c r="K36" s="4" t="n"/>
      <c r="L36" s="4">
        <f>IF(G36="","",IF(G36="SIM",1,0))</f>
        <v/>
      </c>
      <c r="M36" s="4">
        <f>IF(H36="","",IF(H36="SIM",1,0))</f>
        <v/>
      </c>
      <c r="N36" s="4">
        <f>IF(J36="","",IF(J36="SIM",1,0))</f>
        <v/>
      </c>
      <c r="O36" s="4">
        <f>IF(K36="","",IF(K36="Conformidade",1,IF(K36="Não Conformidade",0,IF(K36="Não Conformidade Grave",-1,""))))</f>
        <v/>
      </c>
      <c r="P36" s="38">
        <f>IF(COUNTA(G36,H36,J36,K36)=0,"",ROUND(AVERAGE(L36:O36)*100,0))</f>
        <v/>
      </c>
      <c r="Q36" s="39">
        <f>IFERROR(AVERAGEIF(C$2:C$61,C36,P$2:P$61),"N/A")</f>
        <v/>
      </c>
      <c r="U36" s="37" t="n"/>
    </row>
    <row r="37">
      <c r="A37" s="4" t="n"/>
      <c r="B37" s="36" t="n"/>
      <c r="C37" s="4" t="n"/>
      <c r="D37" s="4" t="n"/>
      <c r="E37" s="4" t="n"/>
      <c r="F37" s="4" t="n"/>
      <c r="G37" s="4" t="n"/>
      <c r="H37" s="4" t="n"/>
      <c r="I37" s="36" t="n"/>
      <c r="J37" s="4" t="n"/>
      <c r="K37" s="4" t="n"/>
      <c r="L37" s="4">
        <f>IF(G37="","",IF(G37="SIM",1,0))</f>
        <v/>
      </c>
      <c r="M37" s="4">
        <f>IF(H37="","",IF(H37="SIM",1,0))</f>
        <v/>
      </c>
      <c r="N37" s="4">
        <f>IF(J37="","",IF(J37="SIM",1,0))</f>
        <v/>
      </c>
      <c r="O37" s="4">
        <f>IF(K37="","",IF(K37="Conformidade",1,IF(K37="Não Conformidade",0,IF(K37="Não Conformidade Grave",-1,""))))</f>
        <v/>
      </c>
      <c r="P37" s="38">
        <f>IF(COUNTA(G37,H37,J37,K37)=0,"",ROUND(AVERAGE(L37:O37)*100,0))</f>
        <v/>
      </c>
      <c r="Q37" s="39">
        <f>IFERROR(AVERAGEIF(C$2:C$61,C37,P$2:P$61),"N/A")</f>
        <v/>
      </c>
      <c r="U37" s="37" t="n"/>
    </row>
    <row r="38">
      <c r="A38" s="4" t="n"/>
      <c r="B38" s="36" t="n"/>
      <c r="C38" s="4" t="n"/>
      <c r="D38" s="4" t="n"/>
      <c r="E38" s="4" t="n"/>
      <c r="F38" s="4" t="n"/>
      <c r="G38" s="4" t="n"/>
      <c r="H38" s="4" t="n"/>
      <c r="I38" s="36" t="n"/>
      <c r="J38" s="4" t="n"/>
      <c r="K38" s="4" t="n"/>
      <c r="L38" s="4">
        <f>IF(G38="","",IF(G38="SIM",1,0))</f>
        <v/>
      </c>
      <c r="M38" s="4">
        <f>IF(H38="","",IF(H38="SIM",1,0))</f>
        <v/>
      </c>
      <c r="N38" s="4">
        <f>IF(J38="","",IF(J38="SIM",1,0))</f>
        <v/>
      </c>
      <c r="O38" s="4">
        <f>IF(K38="","",IF(K38="Conformidade",1,IF(K38="Não Conformidade",0,IF(K38="Não Conformidade Grave",-1,""))))</f>
        <v/>
      </c>
      <c r="P38" s="38">
        <f>IF(COUNTA(G38,H38,J38,K38)=0,"",ROUND(AVERAGE(L38:O38)*100,0))</f>
        <v/>
      </c>
      <c r="Q38" s="39">
        <f>IFERROR(AVERAGEIF(C$2:C$61,C38,P$2:P$61),"N/A")</f>
        <v/>
      </c>
      <c r="U38" s="37" t="n"/>
    </row>
    <row r="39">
      <c r="A39" s="4" t="n"/>
      <c r="B39" s="36" t="n"/>
      <c r="C39" s="4" t="n"/>
      <c r="D39" s="4" t="n"/>
      <c r="E39" s="4" t="n"/>
      <c r="F39" s="4" t="n"/>
      <c r="G39" s="4" t="n"/>
      <c r="H39" s="4" t="n"/>
      <c r="I39" s="36" t="n"/>
      <c r="J39" s="4" t="n"/>
      <c r="K39" s="4" t="n"/>
      <c r="L39" s="4">
        <f>IF(G39="","",IF(G39="SIM",1,0))</f>
        <v/>
      </c>
      <c r="M39" s="4">
        <f>IF(H39="","",IF(H39="SIM",1,0))</f>
        <v/>
      </c>
      <c r="N39" s="4">
        <f>IF(J39="","",IF(J39="SIM",1,0))</f>
        <v/>
      </c>
      <c r="O39" s="4">
        <f>IF(K39="","",IF(K39="Conformidade",1,IF(K39="Não Conformidade",0,IF(K39="Não Conformidade Grave",-1,""))))</f>
        <v/>
      </c>
      <c r="P39" s="38">
        <f>IF(COUNTA(G39,H39,J39,K39)=0,"",ROUND(AVERAGE(L39:O39)*100,0))</f>
        <v/>
      </c>
      <c r="Q39" s="39">
        <f>IFERROR(AVERAGEIF(C$2:C$61,C39,P$2:P$61),"N/A")</f>
        <v/>
      </c>
      <c r="U39" s="37" t="n"/>
    </row>
    <row r="40">
      <c r="A40" s="4" t="n"/>
      <c r="B40" s="36" t="n"/>
      <c r="C40" s="4" t="n"/>
      <c r="D40" s="4" t="n"/>
      <c r="E40" s="4" t="n"/>
      <c r="F40" s="4" t="n"/>
      <c r="G40" s="4" t="n"/>
      <c r="H40" s="4" t="n"/>
      <c r="I40" s="36" t="n"/>
      <c r="J40" s="4" t="n"/>
      <c r="K40" s="4" t="n"/>
      <c r="L40" s="4">
        <f>IF(G40="","",IF(G40="SIM",1,0))</f>
        <v/>
      </c>
      <c r="M40" s="4">
        <f>IF(H40="","",IF(H40="SIM",1,0))</f>
        <v/>
      </c>
      <c r="N40" s="4">
        <f>IF(J40="","",IF(J40="SIM",1,0))</f>
        <v/>
      </c>
      <c r="O40" s="4">
        <f>IF(K40="","",IF(K40="Conformidade",1,IF(K40="Não Conformidade",0,IF(K40="Não Conformidade Grave",-1,""))))</f>
        <v/>
      </c>
      <c r="P40" s="38">
        <f>IF(COUNTA(G40,H40,J40,K40)=0,"",ROUND(AVERAGE(L40:O40)*100,0))</f>
        <v/>
      </c>
      <c r="Q40" s="39">
        <f>IFERROR(AVERAGEIF(C$2:C$61,C40,P$2:P$61),"N/A")</f>
        <v/>
      </c>
      <c r="U40" s="37" t="n"/>
    </row>
    <row r="41">
      <c r="A41" s="4" t="n"/>
      <c r="B41" s="36" t="n"/>
      <c r="C41" s="4" t="n"/>
      <c r="D41" s="4" t="n"/>
      <c r="E41" s="4" t="n"/>
      <c r="F41" s="4" t="n"/>
      <c r="G41" s="4" t="n"/>
      <c r="H41" s="4" t="n"/>
      <c r="I41" s="36" t="n"/>
      <c r="J41" s="4" t="n"/>
      <c r="K41" s="4" t="n"/>
      <c r="L41" s="4">
        <f>IF(G41="","",IF(G41="SIM",1,0))</f>
        <v/>
      </c>
      <c r="M41" s="4">
        <f>IF(H41="","",IF(H41="SIM",1,0))</f>
        <v/>
      </c>
      <c r="N41" s="4">
        <f>IF(J41="","",IF(J41="SIM",1,0))</f>
        <v/>
      </c>
      <c r="O41" s="4">
        <f>IF(K41="","",IF(K41="Conformidade",1,IF(K41="Não Conformidade",0,IF(K41="Não Conformidade Grave",-1,""))))</f>
        <v/>
      </c>
      <c r="P41" s="38">
        <f>IF(COUNTA(G41,H41,J41,K41)=0,"",ROUND(AVERAGE(L41:O41)*100,0))</f>
        <v/>
      </c>
      <c r="Q41" s="39">
        <f>IFERROR(AVERAGEIF(C$2:C$61,C41,P$2:P$61),"N/A")</f>
        <v/>
      </c>
      <c r="U41" s="37" t="n"/>
    </row>
    <row r="42">
      <c r="A42" s="4" t="n"/>
      <c r="B42" s="36" t="n"/>
      <c r="C42" s="4" t="n"/>
      <c r="D42" s="4" t="n"/>
      <c r="E42" s="4" t="n"/>
      <c r="F42" s="4" t="n"/>
      <c r="G42" s="4" t="n"/>
      <c r="H42" s="4" t="n"/>
      <c r="I42" s="36" t="n"/>
      <c r="J42" s="4" t="n"/>
      <c r="K42" s="4" t="n"/>
      <c r="L42" s="4">
        <f>IF(G42="","",IF(G42="SIM",1,0))</f>
        <v/>
      </c>
      <c r="M42" s="4">
        <f>IF(H42="","",IF(H42="SIM",1,0))</f>
        <v/>
      </c>
      <c r="N42" s="4">
        <f>IF(J42="","",IF(J42="SIM",1,0))</f>
        <v/>
      </c>
      <c r="O42" s="4">
        <f>IF(K42="","",IF(K42="Conformidade",1,IF(K42="Não Conformidade",0,IF(K42="Não Conformidade Grave",-1,""))))</f>
        <v/>
      </c>
      <c r="P42" s="38">
        <f>IF(COUNTA(G42,H42,J42,K42)=0,"",ROUND(AVERAGE(L42:O42)*100,0))</f>
        <v/>
      </c>
      <c r="Q42" s="39">
        <f>IFERROR(AVERAGEIF(C$2:C$61,C42,P$2:P$61),"N/A")</f>
        <v/>
      </c>
      <c r="U42" s="37" t="n"/>
    </row>
    <row r="43">
      <c r="A43" s="4" t="n"/>
      <c r="B43" s="36" t="n"/>
      <c r="C43" s="4" t="n"/>
      <c r="D43" s="4" t="n"/>
      <c r="E43" s="4" t="n"/>
      <c r="F43" s="4" t="n"/>
      <c r="G43" s="4" t="n"/>
      <c r="H43" s="4" t="n"/>
      <c r="I43" s="36" t="n"/>
      <c r="J43" s="4" t="n"/>
      <c r="K43" s="4" t="n"/>
      <c r="L43" s="4">
        <f>IF(G43="","",IF(G43="SIM",1,0))</f>
        <v/>
      </c>
      <c r="M43" s="4">
        <f>IF(H43="","",IF(H43="SIM",1,0))</f>
        <v/>
      </c>
      <c r="N43" s="4">
        <f>IF(J43="","",IF(J43="SIM",1,0))</f>
        <v/>
      </c>
      <c r="O43" s="4">
        <f>IF(K43="","",IF(K43="Conformidade",1,IF(K43="Não Conformidade",0,IF(K43="Não Conformidade Grave",-1,""))))</f>
        <v/>
      </c>
      <c r="P43" s="38">
        <f>IF(COUNTA(G43,H43,J43,K43)=0,"",ROUND(AVERAGE(L43:O43)*100,0))</f>
        <v/>
      </c>
      <c r="Q43" s="39">
        <f>IFERROR(AVERAGEIF(C$2:C$61,C43,P$2:P$61),"N/A")</f>
        <v/>
      </c>
      <c r="U43" s="37" t="n"/>
    </row>
    <row r="44">
      <c r="A44" s="4" t="n"/>
      <c r="B44" s="36" t="n"/>
      <c r="C44" s="4" t="n"/>
      <c r="D44" s="4" t="n"/>
      <c r="E44" s="4" t="n"/>
      <c r="F44" s="4" t="n"/>
      <c r="G44" s="4" t="n"/>
      <c r="H44" s="4" t="n"/>
      <c r="I44" s="36" t="n"/>
      <c r="J44" s="4" t="n"/>
      <c r="K44" s="4" t="n"/>
      <c r="L44" s="4">
        <f>IF(G44="","",IF(G44="SIM",1,0))</f>
        <v/>
      </c>
      <c r="M44" s="4">
        <f>IF(H44="","",IF(H44="SIM",1,0))</f>
        <v/>
      </c>
      <c r="N44" s="4">
        <f>IF(J44="","",IF(J44="SIM",1,0))</f>
        <v/>
      </c>
      <c r="O44" s="4">
        <f>IF(K44="","",IF(K44="Conformidade",1,IF(K44="Não Conformidade",0,IF(K44="Não Conformidade Grave",-1,""))))</f>
        <v/>
      </c>
      <c r="P44" s="38">
        <f>IF(COUNTA(G44,H44,J44,K44)=0,"",ROUND(AVERAGE(L44:O44)*100,0))</f>
        <v/>
      </c>
      <c r="Q44" s="39">
        <f>IFERROR(AVERAGEIF(C$2:C$61,C44,P$2:P$61),"N/A")</f>
        <v/>
      </c>
      <c r="U44" s="37" t="n"/>
    </row>
    <row r="45">
      <c r="A45" s="4" t="n"/>
      <c r="B45" s="36" t="n"/>
      <c r="C45" s="4" t="n"/>
      <c r="D45" s="4" t="n"/>
      <c r="E45" s="4" t="n"/>
      <c r="F45" s="4" t="n"/>
      <c r="G45" s="4" t="n"/>
      <c r="H45" s="4" t="n"/>
      <c r="I45" s="36" t="n"/>
      <c r="J45" s="4" t="n"/>
      <c r="K45" s="4" t="n"/>
      <c r="L45" s="4">
        <f>IF(G45="","",IF(G45="SIM",1,0))</f>
        <v/>
      </c>
      <c r="M45" s="4">
        <f>IF(H45="","",IF(H45="SIM",1,0))</f>
        <v/>
      </c>
      <c r="N45" s="4">
        <f>IF(J45="","",IF(J45="SIM",1,0))</f>
        <v/>
      </c>
      <c r="O45" s="4">
        <f>IF(K45="","",IF(K45="Conformidade",1,IF(K45="Não Conformidade",0,IF(K45="Não Conformidade Grave",-1,""))))</f>
        <v/>
      </c>
      <c r="P45" s="38">
        <f>IF(COUNTA(G45,H45,J45,K45)=0,"",ROUND(AVERAGE(L45:O45)*100,0))</f>
        <v/>
      </c>
      <c r="Q45" s="39">
        <f>IFERROR(AVERAGEIF(C$2:C$61,C45,P$2:P$61),"N/A")</f>
        <v/>
      </c>
      <c r="U45" s="37" t="n"/>
    </row>
    <row r="46">
      <c r="A46" s="4" t="n"/>
      <c r="B46" s="36" t="n"/>
      <c r="C46" s="4" t="n"/>
      <c r="D46" s="4" t="n"/>
      <c r="E46" s="4" t="n"/>
      <c r="F46" s="4" t="n"/>
      <c r="G46" s="4" t="n"/>
      <c r="H46" s="4" t="n"/>
      <c r="I46" s="36" t="n"/>
      <c r="J46" s="4" t="n"/>
      <c r="K46" s="4" t="n"/>
      <c r="L46" s="4">
        <f>IF(G46="","",IF(G46="SIM",1,0))</f>
        <v/>
      </c>
      <c r="M46" s="4">
        <f>IF(H46="","",IF(H46="SIM",1,0))</f>
        <v/>
      </c>
      <c r="N46" s="4">
        <f>IF(J46="","",IF(J46="SIM",1,0))</f>
        <v/>
      </c>
      <c r="O46" s="4">
        <f>IF(K46="","",IF(K46="Conformidade",1,IF(K46="Não Conformidade",0,IF(K46="Não Conformidade Grave",-1,""))))</f>
        <v/>
      </c>
      <c r="P46" s="38">
        <f>IF(COUNTA(G46,H46,J46,K46)=0,"",ROUND(AVERAGE(L46:O46)*100,0))</f>
        <v/>
      </c>
      <c r="Q46" s="39">
        <f>IFERROR(AVERAGEIF(C$2:C$61,C46,P$2:P$61),"N/A")</f>
        <v/>
      </c>
      <c r="U46" s="37" t="n"/>
    </row>
    <row r="47">
      <c r="A47" s="4" t="n"/>
      <c r="B47" s="36" t="n"/>
      <c r="C47" s="4" t="n"/>
      <c r="D47" s="4" t="n"/>
      <c r="E47" s="4" t="n"/>
      <c r="F47" s="4" t="n"/>
      <c r="G47" s="4" t="n"/>
      <c r="H47" s="4" t="n"/>
      <c r="I47" s="36" t="n"/>
      <c r="J47" s="4" t="n"/>
      <c r="K47" s="4" t="n"/>
      <c r="L47" s="4">
        <f>IF(G47="","",IF(G47="SIM",1,0))</f>
        <v/>
      </c>
      <c r="M47" s="4">
        <f>IF(H47="","",IF(H47="SIM",1,0))</f>
        <v/>
      </c>
      <c r="N47" s="4">
        <f>IF(J47="","",IF(J47="SIM",1,0))</f>
        <v/>
      </c>
      <c r="O47" s="4">
        <f>IF(K47="","",IF(K47="Conformidade",1,IF(K47="Não Conformidade",0,IF(K47="Não Conformidade Grave",-1,""))))</f>
        <v/>
      </c>
      <c r="P47" s="38">
        <f>IF(COUNTA(G47,H47,J47,K47)=0,"",ROUND(AVERAGE(L47:O47)*100,0))</f>
        <v/>
      </c>
      <c r="Q47" s="39">
        <f>IFERROR(AVERAGEIF(C$2:C$61,C47,P$2:P$61),"N/A")</f>
        <v/>
      </c>
      <c r="U47" s="37" t="n"/>
    </row>
    <row r="48">
      <c r="A48" s="4" t="n"/>
      <c r="B48" s="36" t="n"/>
      <c r="C48" s="4" t="n"/>
      <c r="D48" s="4" t="n"/>
      <c r="E48" s="4" t="n"/>
      <c r="F48" s="4" t="n"/>
      <c r="G48" s="4" t="n"/>
      <c r="H48" s="4" t="n"/>
      <c r="I48" s="36" t="n"/>
      <c r="J48" s="4" t="n"/>
      <c r="K48" s="4" t="n"/>
      <c r="L48" s="4">
        <f>IF(G48="","",IF(G48="SIM",1,0))</f>
        <v/>
      </c>
      <c r="M48" s="4">
        <f>IF(H48="","",IF(H48="SIM",1,0))</f>
        <v/>
      </c>
      <c r="N48" s="4">
        <f>IF(J48="","",IF(J48="SIM",1,0))</f>
        <v/>
      </c>
      <c r="O48" s="4">
        <f>IF(K48="","",IF(K48="Conformidade",1,IF(K48="Não Conformidade",0,IF(K48="Não Conformidade Grave",-1,""))))</f>
        <v/>
      </c>
      <c r="P48" s="38">
        <f>IF(COUNTA(G48,H48,J48,K48)=0,"",ROUND(AVERAGE(L48:O48)*100,0))</f>
        <v/>
      </c>
      <c r="Q48" s="39">
        <f>IFERROR(AVERAGEIF(C$2:C$61,C48,P$2:P$61),"N/A")</f>
        <v/>
      </c>
      <c r="U48" s="37" t="n"/>
    </row>
    <row r="49">
      <c r="A49" s="4" t="n"/>
      <c r="B49" s="36" t="n"/>
      <c r="C49" s="4" t="n"/>
      <c r="D49" s="4" t="n"/>
      <c r="E49" s="4" t="n"/>
      <c r="F49" s="4" t="n"/>
      <c r="G49" s="4" t="n"/>
      <c r="H49" s="4" t="n"/>
      <c r="I49" s="36" t="n"/>
      <c r="J49" s="4" t="n"/>
      <c r="K49" s="4" t="n"/>
      <c r="L49" s="4">
        <f>IF(G49="","",IF(G49="SIM",1,0))</f>
        <v/>
      </c>
      <c r="M49" s="4">
        <f>IF(H49="","",IF(H49="SIM",1,0))</f>
        <v/>
      </c>
      <c r="N49" s="4">
        <f>IF(J49="","",IF(J49="SIM",1,0))</f>
        <v/>
      </c>
      <c r="O49" s="4">
        <f>IF(K49="","",IF(K49="Conformidade",1,IF(K49="Não Conformidade",0,IF(K49="Não Conformidade Grave",-1,""))))</f>
        <v/>
      </c>
      <c r="P49" s="38">
        <f>IF(COUNTA(G49,H49,J49,K49)=0,"",ROUND(AVERAGE(L49:O49)*100,0))</f>
        <v/>
      </c>
      <c r="Q49" s="39">
        <f>IFERROR(AVERAGEIF(C$2:C$61,C49,P$2:P$61),"N/A")</f>
        <v/>
      </c>
      <c r="U49" s="37" t="n"/>
    </row>
    <row r="50">
      <c r="A50" s="4" t="n"/>
      <c r="B50" s="36" t="n"/>
      <c r="C50" s="4" t="n"/>
      <c r="D50" s="4" t="n"/>
      <c r="E50" s="4" t="n"/>
      <c r="F50" s="4" t="n"/>
      <c r="G50" s="4" t="n"/>
      <c r="H50" s="4" t="n"/>
      <c r="I50" s="36" t="n"/>
      <c r="J50" s="4" t="n"/>
      <c r="K50" s="4" t="n"/>
      <c r="L50" s="4">
        <f>IF(G50="","",IF(G50="SIM",1,0))</f>
        <v/>
      </c>
      <c r="M50" s="4">
        <f>IF(H50="","",IF(H50="SIM",1,0))</f>
        <v/>
      </c>
      <c r="N50" s="4">
        <f>IF(J50="","",IF(J50="SIM",1,0))</f>
        <v/>
      </c>
      <c r="O50" s="4">
        <f>IF(K50="","",IF(K50="Conformidade",1,IF(K50="Não Conformidade",0,IF(K50="Não Conformidade Grave",-1,""))))</f>
        <v/>
      </c>
      <c r="P50" s="38">
        <f>IF(COUNTA(G50,H50,J50,K50)=0,"",ROUND(AVERAGE(L50:O50)*100,0))</f>
        <v/>
      </c>
      <c r="Q50" s="39">
        <f>IFERROR(AVERAGEIF(C$2:C$61,C50,P$2:P$61),"N/A")</f>
        <v/>
      </c>
      <c r="U50" s="37" t="n"/>
    </row>
    <row r="51">
      <c r="A51" s="4" t="n"/>
      <c r="B51" s="36" t="n"/>
      <c r="C51" s="4" t="n"/>
      <c r="D51" s="4" t="n"/>
      <c r="E51" s="4" t="n"/>
      <c r="F51" s="4" t="n"/>
      <c r="G51" s="4" t="n"/>
      <c r="H51" s="4" t="n"/>
      <c r="I51" s="36" t="n"/>
      <c r="J51" s="4" t="n"/>
      <c r="K51" s="4" t="n"/>
      <c r="L51" s="4">
        <f>IF(G51="","",IF(G51="SIM",1,0))</f>
        <v/>
      </c>
      <c r="M51" s="4">
        <f>IF(H51="","",IF(H51="SIM",1,0))</f>
        <v/>
      </c>
      <c r="N51" s="4">
        <f>IF(J51="","",IF(J51="SIM",1,0))</f>
        <v/>
      </c>
      <c r="O51" s="4">
        <f>IF(K51="","",IF(K51="Conformidade",1,IF(K51="Não Conformidade",0,IF(K51="Não Conformidade Grave",-1,""))))</f>
        <v/>
      </c>
      <c r="P51" s="38">
        <f>IF(COUNTA(G51,H51,J51,K51)=0,"",ROUND(AVERAGE(L51:O51)*100,0))</f>
        <v/>
      </c>
      <c r="Q51" s="39">
        <f>IFERROR(AVERAGEIF(C$2:C$61,C51,P$2:P$61),"N/A")</f>
        <v/>
      </c>
      <c r="U51" s="37" t="n"/>
    </row>
    <row r="52">
      <c r="A52" s="4" t="n"/>
      <c r="B52" s="36" t="n"/>
      <c r="C52" s="4" t="n"/>
      <c r="D52" s="4" t="n"/>
      <c r="E52" s="4" t="n"/>
      <c r="F52" s="4" t="n"/>
      <c r="G52" s="4" t="n"/>
      <c r="H52" s="4" t="n"/>
      <c r="I52" s="36" t="n"/>
      <c r="J52" s="4" t="n"/>
      <c r="K52" s="4" t="n"/>
      <c r="L52" s="4">
        <f>IF(G52="","",IF(G52="SIM",1,0))</f>
        <v/>
      </c>
      <c r="M52" s="4">
        <f>IF(H52="","",IF(H52="SIM",1,0))</f>
        <v/>
      </c>
      <c r="N52" s="4">
        <f>IF(J52="","",IF(J52="SIM",1,0))</f>
        <v/>
      </c>
      <c r="O52" s="4">
        <f>IF(K52="","",IF(K52="Conformidade",1,IF(K52="Não Conformidade",0,IF(K52="Não Conformidade Grave",-1,""))))</f>
        <v/>
      </c>
      <c r="P52" s="38">
        <f>IF(COUNTA(G52,H52,J52,K52)=0,"",ROUND(AVERAGE(L52:O52)*100,0))</f>
        <v/>
      </c>
      <c r="Q52" s="39">
        <f>IFERROR(AVERAGEIF(C$2:C$61,C52,P$2:P$61),"N/A")</f>
        <v/>
      </c>
      <c r="U52" s="37" t="n"/>
    </row>
    <row r="53">
      <c r="A53" s="4" t="n"/>
      <c r="B53" s="36" t="n"/>
      <c r="C53" s="4" t="n"/>
      <c r="D53" s="4" t="n"/>
      <c r="E53" s="4" t="n"/>
      <c r="F53" s="4" t="n"/>
      <c r="G53" s="4" t="n"/>
      <c r="H53" s="4" t="n"/>
      <c r="I53" s="36" t="n"/>
      <c r="J53" s="4" t="n"/>
      <c r="K53" s="4" t="n"/>
      <c r="L53" s="4">
        <f>IF(G53="","",IF(G53="SIM",1,0))</f>
        <v/>
      </c>
      <c r="M53" s="4">
        <f>IF(H53="","",IF(H53="SIM",1,0))</f>
        <v/>
      </c>
      <c r="N53" s="4">
        <f>IF(J53="","",IF(J53="SIM",1,0))</f>
        <v/>
      </c>
      <c r="O53" s="4">
        <f>IF(K53="","",IF(K53="Conformidade",1,IF(K53="Não Conformidade",0,IF(K53="Não Conformidade Grave",-1,""))))</f>
        <v/>
      </c>
      <c r="P53" s="38">
        <f>IF(COUNTA(G53,H53,J53,K53)=0,"",ROUND(AVERAGE(L53:O53)*100,0))</f>
        <v/>
      </c>
      <c r="Q53" s="39">
        <f>IFERROR(AVERAGEIF(C$2:C$61,C53,P$2:P$61),"N/A")</f>
        <v/>
      </c>
      <c r="U53" s="37" t="n"/>
    </row>
    <row r="54">
      <c r="A54" s="4" t="n"/>
      <c r="B54" s="36" t="n"/>
      <c r="C54" s="4" t="n"/>
      <c r="D54" s="4" t="n"/>
      <c r="E54" s="4" t="n"/>
      <c r="F54" s="4" t="n"/>
      <c r="G54" s="4" t="n"/>
      <c r="H54" s="4" t="n"/>
      <c r="I54" s="36" t="n"/>
      <c r="J54" s="4" t="n"/>
      <c r="K54" s="4" t="n"/>
      <c r="L54" s="4">
        <f>IF(G54="","",IF(G54="SIM",1,0))</f>
        <v/>
      </c>
      <c r="M54" s="4">
        <f>IF(H54="","",IF(H54="SIM",1,0))</f>
        <v/>
      </c>
      <c r="N54" s="4">
        <f>IF(J54="","",IF(J54="SIM",1,0))</f>
        <v/>
      </c>
      <c r="O54" s="4">
        <f>IF(K54="","",IF(K54="Conformidade",1,IF(K54="Não Conformidade",0,IF(K54="Não Conformidade Grave",-1,""))))</f>
        <v/>
      </c>
      <c r="P54" s="38">
        <f>IF(COUNTA(G54,H54,J54,K54)=0,"",ROUND(AVERAGE(L54:O54)*100,0))</f>
        <v/>
      </c>
      <c r="Q54" s="39">
        <f>IFERROR(AVERAGEIF(C$2:C$61,C54,P$2:P$61),"N/A")</f>
        <v/>
      </c>
      <c r="U54" s="37" t="n"/>
    </row>
    <row r="55">
      <c r="A55" s="4" t="n"/>
      <c r="B55" s="36" t="n"/>
      <c r="C55" s="4" t="n"/>
      <c r="D55" s="4" t="n"/>
      <c r="E55" s="4" t="n"/>
      <c r="F55" s="4" t="n"/>
      <c r="G55" s="4" t="n"/>
      <c r="H55" s="4" t="n"/>
      <c r="I55" s="36" t="n"/>
      <c r="J55" s="4" t="n"/>
      <c r="K55" s="4" t="n"/>
      <c r="L55" s="4">
        <f>IF(G55="","",IF(G55="SIM",1,0))</f>
        <v/>
      </c>
      <c r="M55" s="4">
        <f>IF(H55="","",IF(H55="SIM",1,0))</f>
        <v/>
      </c>
      <c r="N55" s="4">
        <f>IF(J55="","",IF(J55="SIM",1,0))</f>
        <v/>
      </c>
      <c r="O55" s="4">
        <f>IF(K55="","",IF(K55="Conformidade",1,IF(K55="Não Conformidade",0,IF(K55="Não Conformidade Grave",-1,""))))</f>
        <v/>
      </c>
      <c r="P55" s="38">
        <f>IF(COUNTA(G55,H55,J55,K55)=0,"",ROUND(AVERAGE(L55:O55)*100,0))</f>
        <v/>
      </c>
      <c r="Q55" s="39">
        <f>IFERROR(AVERAGEIF(C$2:C$61,C55,P$2:P$61),"N/A")</f>
        <v/>
      </c>
      <c r="U55" s="37" t="n"/>
    </row>
    <row r="56">
      <c r="A56" s="4" t="n"/>
      <c r="B56" s="36" t="n"/>
      <c r="C56" s="4" t="n"/>
      <c r="D56" s="4" t="n"/>
      <c r="E56" s="4" t="n"/>
      <c r="F56" s="4" t="n"/>
      <c r="G56" s="4" t="n"/>
      <c r="H56" s="4" t="n"/>
      <c r="I56" s="36" t="n"/>
      <c r="J56" s="4" t="n"/>
      <c r="K56" s="4" t="n"/>
      <c r="L56" s="4">
        <f>IF(G56="","",IF(G56="SIM",1,0))</f>
        <v/>
      </c>
      <c r="M56" s="4">
        <f>IF(H56="","",IF(H56="SIM",1,0))</f>
        <v/>
      </c>
      <c r="N56" s="4">
        <f>IF(J56="","",IF(J56="SIM",1,0))</f>
        <v/>
      </c>
      <c r="O56" s="4">
        <f>IF(K56="","",IF(K56="Conformidade",1,IF(K56="Não Conformidade",0,IF(K56="Não Conformidade Grave",-1,""))))</f>
        <v/>
      </c>
      <c r="P56" s="38">
        <f>IF(COUNTA(G56,H56,J56,K56)=0,"",ROUND(AVERAGE(L56:O56)*100,0))</f>
        <v/>
      </c>
      <c r="Q56" s="39">
        <f>IFERROR(AVERAGEIF(C$2:C$61,C56,P$2:P$61),"N/A")</f>
        <v/>
      </c>
      <c r="U56" s="37" t="n"/>
    </row>
    <row r="57">
      <c r="A57" s="4" t="n"/>
      <c r="B57" s="36" t="n"/>
      <c r="C57" s="4" t="n"/>
      <c r="D57" s="4" t="n"/>
      <c r="E57" s="4" t="n"/>
      <c r="F57" s="4" t="n"/>
      <c r="G57" s="4" t="n"/>
      <c r="H57" s="4" t="n"/>
      <c r="I57" s="36" t="n"/>
      <c r="J57" s="4" t="n"/>
      <c r="K57" s="4" t="n"/>
      <c r="L57" s="4">
        <f>IF(G57="","",IF(G57="SIM",1,0))</f>
        <v/>
      </c>
      <c r="M57" s="4">
        <f>IF(H57="","",IF(H57="SIM",1,0))</f>
        <v/>
      </c>
      <c r="N57" s="4">
        <f>IF(J57="","",IF(J57="SIM",1,0))</f>
        <v/>
      </c>
      <c r="O57" s="4">
        <f>IF(K57="","",IF(K57="Conformidade",1,IF(K57="Não Conformidade",0,IF(K57="Não Conformidade Grave",-1,""))))</f>
        <v/>
      </c>
      <c r="P57" s="38">
        <f>IF(COUNTA(G57,H57,J57,K57)=0,"",ROUND(AVERAGE(L57:O57)*100,0))</f>
        <v/>
      </c>
      <c r="Q57" s="39">
        <f>IFERROR(AVERAGEIF(C$2:C$61,C57,P$2:P$61),"N/A")</f>
        <v/>
      </c>
      <c r="U57" s="37" t="n"/>
    </row>
    <row r="58">
      <c r="A58" s="4" t="n"/>
      <c r="B58" s="36" t="n"/>
      <c r="C58" s="4" t="n"/>
      <c r="D58" s="4" t="n"/>
      <c r="E58" s="4" t="n"/>
      <c r="F58" s="4" t="n"/>
      <c r="G58" s="4" t="n"/>
      <c r="H58" s="4" t="n"/>
      <c r="I58" s="36" t="n"/>
      <c r="J58" s="4" t="n"/>
      <c r="K58" s="4" t="n"/>
      <c r="L58" s="4">
        <f>IF(G58="","",IF(G58="SIM",1,0))</f>
        <v/>
      </c>
      <c r="M58" s="4">
        <f>IF(H58="","",IF(H58="SIM",1,0))</f>
        <v/>
      </c>
      <c r="N58" s="4">
        <f>IF(J58="","",IF(J58="SIM",1,0))</f>
        <v/>
      </c>
      <c r="O58" s="4">
        <f>IF(K58="","",IF(K58="Conformidade",1,IF(K58="Não Conformidade",0,IF(K58="Não Conformidade Grave",-1,""))))</f>
        <v/>
      </c>
      <c r="P58" s="38">
        <f>IF(COUNTA(G58,H58,J58,K58)=0,"",ROUND(AVERAGE(L58:O58)*100,0))</f>
        <v/>
      </c>
      <c r="Q58" s="39">
        <f>IFERROR(AVERAGEIF(C$2:C$61,C58,P$2:P$61),"N/A")</f>
        <v/>
      </c>
      <c r="U58" s="37" t="n"/>
    </row>
    <row r="59">
      <c r="A59" s="4" t="n"/>
      <c r="B59" s="36" t="n"/>
      <c r="C59" s="4" t="n"/>
      <c r="D59" s="4" t="n"/>
      <c r="E59" s="4" t="n"/>
      <c r="F59" s="4" t="n"/>
      <c r="G59" s="4" t="n"/>
      <c r="H59" s="4" t="n"/>
      <c r="I59" s="36" t="n"/>
      <c r="J59" s="4" t="n"/>
      <c r="K59" s="4" t="n"/>
      <c r="L59" s="4">
        <f>IF(G59="","",IF(G59="SIM",1,0))</f>
        <v/>
      </c>
      <c r="M59" s="4">
        <f>IF(H59="","",IF(H59="SIM",1,0))</f>
        <v/>
      </c>
      <c r="N59" s="4">
        <f>IF(J59="","",IF(J59="SIM",1,0))</f>
        <v/>
      </c>
      <c r="O59" s="4">
        <f>IF(K59="","",IF(K59="Conformidade",1,IF(K59="Não Conformidade",0,IF(K59="Não Conformidade Grave",-1,""))))</f>
        <v/>
      </c>
      <c r="P59" s="38">
        <f>IF(COUNTA(G59,H59,J59,K59)=0,"",ROUND(AVERAGE(L59:O59)*100,0))</f>
        <v/>
      </c>
      <c r="Q59" s="39">
        <f>IFERROR(AVERAGEIF(C$2:C$61,C59,P$2:P$61),"N/A")</f>
        <v/>
      </c>
      <c r="U59" s="37" t="n"/>
    </row>
    <row r="60">
      <c r="A60" s="4" t="n"/>
      <c r="B60" s="36" t="n"/>
      <c r="C60" s="4" t="n"/>
      <c r="D60" s="4" t="n"/>
      <c r="E60" s="4" t="n"/>
      <c r="F60" s="4" t="n"/>
      <c r="G60" s="4" t="n"/>
      <c r="H60" s="4" t="n"/>
      <c r="I60" s="36" t="n"/>
      <c r="J60" s="4" t="n"/>
      <c r="K60" s="4" t="n"/>
      <c r="L60" s="4">
        <f>IF(G60="","",IF(G60="SIM",1,0))</f>
        <v/>
      </c>
      <c r="M60" s="4">
        <f>IF(H60="","",IF(H60="SIM",1,0))</f>
        <v/>
      </c>
      <c r="N60" s="4">
        <f>IF(J60="","",IF(J60="SIM",1,0))</f>
        <v/>
      </c>
      <c r="O60" s="4">
        <f>IF(K60="","",IF(K60="Conformidade",1,IF(K60="Não Conformidade",0,IF(K60="Não Conformidade Grave",-1,""))))</f>
        <v/>
      </c>
      <c r="P60" s="38">
        <f>IF(COUNTA(G60,H60,J60,K60)=0,"",ROUND(AVERAGE(L60:O60)*100,0))</f>
        <v/>
      </c>
      <c r="Q60" s="39">
        <f>IFERROR(AVERAGEIF(C$2:C$61,C60,P$2:P$61),"N/A")</f>
        <v/>
      </c>
      <c r="U60" s="37" t="n"/>
    </row>
    <row r="61">
      <c r="A61" s="4" t="n"/>
      <c r="B61" s="36" t="n"/>
      <c r="C61" s="4" t="n"/>
      <c r="D61" s="4" t="n"/>
      <c r="E61" s="4" t="n"/>
      <c r="F61" s="4" t="n"/>
      <c r="G61" s="4" t="n"/>
      <c r="H61" s="4" t="n"/>
      <c r="I61" s="36" t="n"/>
      <c r="J61" s="4" t="n"/>
      <c r="K61" s="4" t="n"/>
      <c r="L61" s="4">
        <f>IF(G61="","",IF(G61="SIM",1,0))</f>
        <v/>
      </c>
      <c r="M61" s="4">
        <f>IF(H61="","",IF(H61="SIM",1,0))</f>
        <v/>
      </c>
      <c r="N61" s="4">
        <f>IF(J61="","",IF(J61="SIM",1,0))</f>
        <v/>
      </c>
      <c r="O61" s="4">
        <f>IF(K61="","",IF(K61="Conformidade",1,IF(K61="Não Conformidade",0,IF(K61="Não Conformidade Grave",-1,""))))</f>
        <v/>
      </c>
      <c r="P61" s="38">
        <f>IF(COUNTA(G61,H61,J61,K61)=0,"",ROUND(AVERAGE(L61:O61)*100,0))</f>
        <v/>
      </c>
      <c r="Q61" s="39">
        <f>IFERROR(AVERAGEIF(C$2:C$61,C61,P$2:P$61),"N/A")</f>
        <v/>
      </c>
      <c r="U61" s="37" t="n"/>
    </row>
  </sheetData>
  <autoFilter ref="A1:P61"/>
  <conditionalFormatting sqref="G2:H61 K4:K1004">
    <cfRule type="cellIs" priority="4" operator="equal" dxfId="0">
      <formula>"SIM"</formula>
    </cfRule>
    <cfRule type="cellIs" priority="5" operator="equal" dxfId="2">
      <formula>"NÃO"</formula>
    </cfRule>
  </conditionalFormatting>
  <conditionalFormatting sqref="J2:K3 J4:J15 J19:J61">
    <cfRule type="cellIs" priority="6" operator="equal" dxfId="0">
      <formula>"SIM"</formula>
    </cfRule>
    <cfRule type="cellIs" priority="7" operator="equal" dxfId="2">
      <formula>"NÃO"</formula>
    </cfRule>
  </conditionalFormatting>
  <conditionalFormatting sqref="P2:Q61 Q62:Q1004">
    <cfRule type="cellIs" priority="8" operator="lessThan" dxfId="2">
      <formula>50</formula>
    </cfRule>
    <cfRule type="cellIs" priority="9" operator="between" dxfId="1">
      <formula>50</formula>
      <formula>79</formula>
    </cfRule>
    <cfRule type="cellIs" priority="10" operator="greaterThanOrEqual" dxfId="0">
      <formula>80</formula>
    </cfRule>
  </conditionalFormatting>
  <conditionalFormatting sqref="J16:J18">
    <cfRule type="cellIs" priority="1" operator="equal" dxfId="0">
      <formula>"SIM"</formula>
    </cfRule>
    <cfRule type="cellIs" priority="2" operator="equal" dxfId="2">
      <formula>"NÃO"</formula>
    </cfRule>
  </conditionalFormatting>
  <dataValidations count="5">
    <dataValidation sqref="K2:K1004" showDropDown="0" showInputMessage="0" showErrorMessage="0" allowBlank="1" type="list">
      <formula1>"Não Conformidade Grave,Não Conformidade,Conformidade,Observação"</formula1>
      <formula2>0</formula2>
    </dataValidation>
    <dataValidation sqref="G2:H18 J2:J18" showDropDown="0" showInputMessage="0" showErrorMessage="0" allowBlank="1" type="list">
      <formula1>"SIM,NÃO"</formula1>
      <formula2>0</formula2>
    </dataValidation>
    <dataValidation sqref="B2:B7 I2:I7" showDropDown="0" showInputMessage="0" showErrorMessage="0" allowBlank="1" type="date">
      <formula1>DATE(2000,1,1)</formula1>
      <formula2>DATE(2100,12,31)</formula2>
    </dataValidation>
    <dataValidation sqref="F2:F7" showDropDown="0" showInputMessage="0" showErrorMessage="0" allowBlank="1" type="decimal" operator="greaterThanOrEqual">
      <formula1>0</formula1>
      <formula2>0</formula2>
    </dataValidation>
    <dataValidation sqref="V2:V1004" showDropDown="0" showInputMessage="0" showErrorMessage="0" allowBlank="1" type="list">
      <formula1>"Aberto,Em andamento,Concluído"</formula1>
    </dataValidation>
  </dataValidations>
  <pageMargins left="0.75" right="0.75" top="1" bottom="1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Avaliação</t>
        </is>
      </c>
      <c r="B1" t="inlineStr">
        <is>
          <t>Data da avaliação</t>
        </is>
      </c>
      <c r="C1" t="inlineStr">
        <is>
          <t>Operação</t>
        </is>
      </c>
      <c r="D1" t="inlineStr">
        <is>
          <t>Frente avaliada</t>
        </is>
      </c>
      <c r="E1" t="inlineStr">
        <is>
          <t>Nome_Indicador</t>
        </is>
      </c>
      <c r="F1" t="inlineStr">
        <is>
          <t>Quantidade</t>
        </is>
      </c>
      <c r="G1" t="inlineStr">
        <is>
          <t>Existe indicador?</t>
        </is>
      </c>
      <c r="H1" t="inlineStr">
        <is>
          <t>Como é atualizado?</t>
        </is>
      </c>
      <c r="I1" t="inlineStr">
        <is>
          <t>No padrão?</t>
        </is>
      </c>
      <c r="J1" t="inlineStr">
        <is>
          <t>Conforme?</t>
        </is>
      </c>
      <c r="K1" t="inlineStr">
        <is>
          <t>Existência</t>
        </is>
      </c>
      <c r="L1" t="inlineStr">
        <is>
          <t>Atualização</t>
        </is>
      </c>
      <c r="M1" t="inlineStr">
        <is>
          <t>Padrão</t>
        </is>
      </c>
      <c r="N1" t="inlineStr">
        <is>
          <t>Conformidade</t>
        </is>
      </c>
      <c r="O1" t="inlineStr">
        <is>
          <t>Score Indicadores</t>
        </is>
      </c>
      <c r="P1" t="inlineStr">
        <is>
          <t>Geral</t>
        </is>
      </c>
      <c r="Q1" t="inlineStr">
        <is>
          <t>Observação</t>
        </is>
      </c>
      <c r="R1" t="inlineStr">
        <is>
          <t>Plano de Ação</t>
        </is>
      </c>
      <c r="S1" t="inlineStr">
        <is>
          <t>Responsável</t>
        </is>
      </c>
      <c r="T1" t="inlineStr">
        <is>
          <t>Prazo</t>
        </is>
      </c>
      <c r="U1" t="inlineStr">
        <is>
          <t>Status da Ação</t>
        </is>
      </c>
    </row>
    <row r="2">
      <c r="A2" t="n">
        <v>928734</v>
      </c>
      <c r="B2" s="63" t="n">
        <v>46283</v>
      </c>
      <c r="C2" t="inlineStr">
        <is>
          <t>Mobilize</t>
        </is>
      </c>
      <c r="D2" t="inlineStr">
        <is>
          <t>Backoffice — N2</t>
        </is>
      </c>
      <c r="E2" t="inlineStr">
        <is>
          <t>SLA</t>
        </is>
      </c>
      <c r="F2" t="n">
        <v>1</v>
      </c>
      <c r="G2" t="inlineStr">
        <is>
          <t>SIM</t>
        </is>
      </c>
      <c r="H2" t="inlineStr">
        <is>
          <t>Automático</t>
        </is>
      </c>
      <c r="I2" t="inlineStr">
        <is>
          <t>SIM</t>
        </is>
      </c>
      <c r="J2" t="inlineStr">
        <is>
          <t>Observação</t>
        </is>
      </c>
      <c r="K2" t="n">
        <v>1</v>
      </c>
      <c r="L2" t="n">
        <v>1</v>
      </c>
      <c r="M2" t="n">
        <v>1</v>
      </c>
      <c r="N2" t="inlineStr"/>
      <c r="O2" t="n">
        <v>100</v>
      </c>
      <c r="P2" t="n">
        <v>96.32352941176471</v>
      </c>
      <c r="Q2" t="inlineStr"/>
      <c r="R2" t="inlineStr"/>
      <c r="S2" t="inlineStr"/>
      <c r="T2" t="inlineStr"/>
      <c r="U2" t="inlineStr"/>
    </row>
    <row r="3">
      <c r="A3" t="n">
        <v>928734</v>
      </c>
      <c r="B3" s="63" t="n">
        <v>46283</v>
      </c>
      <c r="C3" t="inlineStr">
        <is>
          <t>Mobilize</t>
        </is>
      </c>
      <c r="D3" t="inlineStr">
        <is>
          <t>Backoffice — N2</t>
        </is>
      </c>
      <c r="E3" t="inlineStr">
        <is>
          <t>PCA (voz)</t>
        </is>
      </c>
      <c r="F3" t="n">
        <v>1</v>
      </c>
      <c r="G3" t="inlineStr">
        <is>
          <t>SIM</t>
        </is>
      </c>
      <c r="H3" t="inlineStr">
        <is>
          <t>Automático</t>
        </is>
      </c>
      <c r="I3" t="inlineStr">
        <is>
          <t>SIM</t>
        </is>
      </c>
      <c r="J3" t="inlineStr">
        <is>
          <t>Conformidade</t>
        </is>
      </c>
      <c r="K3" t="n">
        <v>1</v>
      </c>
      <c r="L3" t="n">
        <v>1</v>
      </c>
      <c r="M3" t="n">
        <v>1</v>
      </c>
      <c r="N3" t="n">
        <v>1</v>
      </c>
      <c r="O3" t="n">
        <v>100</v>
      </c>
      <c r="P3" t="n">
        <v>96.32352941176471</v>
      </c>
      <c r="Q3" t="inlineStr"/>
      <c r="R3" t="inlineStr"/>
      <c r="S3" t="inlineStr"/>
      <c r="T3" t="inlineStr"/>
      <c r="U3" t="inlineStr"/>
    </row>
    <row r="4">
      <c r="A4" t="n">
        <v>928734</v>
      </c>
      <c r="B4" s="63" t="n">
        <v>46283</v>
      </c>
      <c r="C4" t="inlineStr">
        <is>
          <t>Mobilize</t>
        </is>
      </c>
      <c r="D4" t="inlineStr">
        <is>
          <t>Backoffice — N2</t>
        </is>
      </c>
      <c r="E4" t="inlineStr">
        <is>
          <t>PCA (chat e whats)</t>
        </is>
      </c>
      <c r="F4" t="n">
        <v>1</v>
      </c>
      <c r="G4" t="inlineStr">
        <is>
          <t>SIM</t>
        </is>
      </c>
      <c r="H4" t="inlineStr">
        <is>
          <t>Automático</t>
        </is>
      </c>
      <c r="I4" t="inlineStr">
        <is>
          <t>SIM</t>
        </is>
      </c>
      <c r="J4" t="inlineStr">
        <is>
          <t>Conformidade</t>
        </is>
      </c>
      <c r="K4" t="n">
        <v>1</v>
      </c>
      <c r="L4" t="n">
        <v>1</v>
      </c>
      <c r="M4" t="n">
        <v>1</v>
      </c>
      <c r="N4" t="n">
        <v>1</v>
      </c>
      <c r="O4" t="n">
        <v>100</v>
      </c>
      <c r="P4" t="n">
        <v>96.32352941176471</v>
      </c>
      <c r="Q4" t="inlineStr"/>
      <c r="R4" t="inlineStr"/>
      <c r="S4" t="inlineStr"/>
      <c r="T4" t="inlineStr"/>
      <c r="U4" t="inlineStr"/>
    </row>
    <row r="5">
      <c r="A5" t="n">
        <v>928734</v>
      </c>
      <c r="B5" s="63" t="n">
        <v>46283</v>
      </c>
      <c r="C5" t="inlineStr">
        <is>
          <t>Mobilize</t>
        </is>
      </c>
      <c r="D5" t="inlineStr">
        <is>
          <t>Backoffice — N2</t>
        </is>
      </c>
      <c r="E5" t="inlineStr">
        <is>
          <t>TMA</t>
        </is>
      </c>
      <c r="F5" t="n">
        <v>1</v>
      </c>
      <c r="G5" t="inlineStr">
        <is>
          <t>SIM</t>
        </is>
      </c>
      <c r="H5" t="inlineStr">
        <is>
          <t>Automático</t>
        </is>
      </c>
      <c r="I5" t="inlineStr">
        <is>
          <t>SIM</t>
        </is>
      </c>
      <c r="J5" t="inlineStr">
        <is>
          <t>Conformidade</t>
        </is>
      </c>
      <c r="K5" t="n">
        <v>1</v>
      </c>
      <c r="L5" t="n">
        <v>1</v>
      </c>
      <c r="M5" t="n">
        <v>1</v>
      </c>
      <c r="N5" t="n">
        <v>1</v>
      </c>
      <c r="O5" t="n">
        <v>100</v>
      </c>
      <c r="P5" t="n">
        <v>96.32352941176471</v>
      </c>
      <c r="Q5" t="inlineStr"/>
      <c r="R5" t="inlineStr"/>
      <c r="S5" t="inlineStr"/>
      <c r="T5" t="inlineStr"/>
      <c r="U5" t="inlineStr"/>
    </row>
    <row r="6">
      <c r="A6" t="n">
        <v>928734</v>
      </c>
      <c r="B6" s="63" t="n">
        <v>46283</v>
      </c>
      <c r="C6" t="inlineStr">
        <is>
          <t>Mobilize</t>
        </is>
      </c>
      <c r="D6" t="inlineStr">
        <is>
          <t>Backoffice — N2</t>
        </is>
      </c>
      <c r="E6" t="inlineStr">
        <is>
          <t>CSAT</t>
        </is>
      </c>
      <c r="F6" t="n">
        <v>1</v>
      </c>
      <c r="G6" t="inlineStr">
        <is>
          <t>SIM</t>
        </is>
      </c>
      <c r="H6" t="inlineStr">
        <is>
          <t>Automático</t>
        </is>
      </c>
      <c r="I6" t="inlineStr">
        <is>
          <t>SIM</t>
        </is>
      </c>
      <c r="J6" t="inlineStr">
        <is>
          <t>Conformidade</t>
        </is>
      </c>
      <c r="K6" t="n">
        <v>1</v>
      </c>
      <c r="L6" t="n">
        <v>1</v>
      </c>
      <c r="M6" t="n">
        <v>1</v>
      </c>
      <c r="N6" t="n">
        <v>1</v>
      </c>
      <c r="O6" t="n">
        <v>100</v>
      </c>
      <c r="P6" t="n">
        <v>96.32352941176471</v>
      </c>
      <c r="Q6" t="inlineStr"/>
      <c r="R6" t="inlineStr"/>
      <c r="S6" t="inlineStr"/>
      <c r="T6" t="inlineStr"/>
      <c r="U6" t="inlineStr"/>
    </row>
    <row r="7">
      <c r="A7" t="n">
        <v>928734</v>
      </c>
      <c r="B7" s="63" t="n">
        <v>46283</v>
      </c>
      <c r="C7" t="inlineStr">
        <is>
          <t>Mobilize</t>
        </is>
      </c>
      <c r="D7" t="inlineStr">
        <is>
          <t>Backoffice — N2</t>
        </is>
      </c>
      <c r="E7" t="inlineStr">
        <is>
          <t>Monitoria</t>
        </is>
      </c>
      <c r="F7" t="n">
        <v>1</v>
      </c>
      <c r="G7" t="inlineStr">
        <is>
          <t>SIM</t>
        </is>
      </c>
      <c r="H7" t="inlineStr">
        <is>
          <t>Automático</t>
        </is>
      </c>
      <c r="I7" t="inlineStr">
        <is>
          <t>SIM</t>
        </is>
      </c>
      <c r="J7" t="inlineStr">
        <is>
          <t>Conformidade</t>
        </is>
      </c>
      <c r="K7" t="n">
        <v>1</v>
      </c>
      <c r="L7" t="n">
        <v>1</v>
      </c>
      <c r="M7" t="n">
        <v>1</v>
      </c>
      <c r="N7" t="n">
        <v>1</v>
      </c>
      <c r="O7" t="n">
        <v>100</v>
      </c>
      <c r="P7" t="n">
        <v>96.32352941176471</v>
      </c>
      <c r="Q7" t="inlineStr"/>
      <c r="R7" t="inlineStr"/>
      <c r="S7" t="inlineStr"/>
      <c r="T7" t="inlineStr"/>
      <c r="U7" t="inlineStr"/>
    </row>
    <row r="8">
      <c r="A8" t="n">
        <v>928734</v>
      </c>
      <c r="B8" s="63" t="n">
        <v>46283</v>
      </c>
      <c r="C8" t="inlineStr">
        <is>
          <t>Mobilize</t>
        </is>
      </c>
      <c r="D8" t="inlineStr">
        <is>
          <t>Backoffice — N2</t>
        </is>
      </c>
      <c r="E8" t="inlineStr">
        <is>
          <t>FCR</t>
        </is>
      </c>
      <c r="F8" t="n">
        <v>1</v>
      </c>
      <c r="G8" t="inlineStr">
        <is>
          <t>SIM</t>
        </is>
      </c>
      <c r="H8" t="inlineStr">
        <is>
          <t>Automático</t>
        </is>
      </c>
      <c r="I8" t="inlineStr">
        <is>
          <t>SIM</t>
        </is>
      </c>
      <c r="J8" t="inlineStr">
        <is>
          <t>Conformidade</t>
        </is>
      </c>
      <c r="K8" t="n">
        <v>1</v>
      </c>
      <c r="L8" t="n">
        <v>1</v>
      </c>
      <c r="M8" t="n">
        <v>1</v>
      </c>
      <c r="N8" t="n">
        <v>1</v>
      </c>
      <c r="O8" t="n">
        <v>100</v>
      </c>
      <c r="P8" t="n">
        <v>96.32352941176471</v>
      </c>
      <c r="Q8" t="inlineStr"/>
      <c r="R8" t="inlineStr"/>
      <c r="S8" t="inlineStr"/>
      <c r="T8" t="inlineStr"/>
      <c r="U8" t="inlineStr"/>
    </row>
    <row r="9">
      <c r="A9" t="n">
        <v>928734</v>
      </c>
      <c r="B9" s="63" t="n">
        <v>46283</v>
      </c>
      <c r="C9" t="inlineStr">
        <is>
          <t>Mobilize</t>
        </is>
      </c>
      <c r="D9" t="inlineStr">
        <is>
          <t>Backoffice — N2</t>
        </is>
      </c>
      <c r="E9" t="inlineStr">
        <is>
          <t>HC Logado</t>
        </is>
      </c>
      <c r="F9" t="n">
        <v>1</v>
      </c>
      <c r="G9" t="inlineStr">
        <is>
          <t>SIM</t>
        </is>
      </c>
      <c r="H9" t="inlineStr">
        <is>
          <t>Automático</t>
        </is>
      </c>
      <c r="I9" t="inlineStr">
        <is>
          <t>SIM</t>
        </is>
      </c>
      <c r="J9" t="inlineStr">
        <is>
          <t>Conformidade</t>
        </is>
      </c>
      <c r="K9" t="n">
        <v>1</v>
      </c>
      <c r="L9" t="n">
        <v>1</v>
      </c>
      <c r="M9" t="n">
        <v>1</v>
      </c>
      <c r="N9" t="n">
        <v>1</v>
      </c>
      <c r="O9" t="n">
        <v>100</v>
      </c>
      <c r="P9" t="n">
        <v>96.32352941176471</v>
      </c>
      <c r="Q9" t="inlineStr"/>
      <c r="R9" t="inlineStr"/>
      <c r="S9" t="inlineStr"/>
      <c r="T9" t="inlineStr"/>
      <c r="U9" t="inlineStr"/>
    </row>
    <row r="10">
      <c r="A10" t="n">
        <v>928734</v>
      </c>
      <c r="B10" s="63" t="n">
        <v>46283</v>
      </c>
      <c r="C10" t="inlineStr">
        <is>
          <t>Mobilize</t>
        </is>
      </c>
      <c r="D10" t="inlineStr">
        <is>
          <t>Backoffice — N2</t>
        </is>
      </c>
      <c r="E10" t="inlineStr">
        <is>
          <t>Hora Logada</t>
        </is>
      </c>
      <c r="F10" t="n">
        <v>1</v>
      </c>
      <c r="G10" t="inlineStr">
        <is>
          <t>SIM</t>
        </is>
      </c>
      <c r="H10" t="inlineStr">
        <is>
          <t>Automático</t>
        </is>
      </c>
      <c r="I10" t="inlineStr">
        <is>
          <t>SIM</t>
        </is>
      </c>
      <c r="J10" t="inlineStr">
        <is>
          <t>Conformidade</t>
        </is>
      </c>
      <c r="K10" t="n">
        <v>1</v>
      </c>
      <c r="L10" t="n">
        <v>1</v>
      </c>
      <c r="M10" t="n">
        <v>1</v>
      </c>
      <c r="N10" t="n">
        <v>1</v>
      </c>
      <c r="O10" t="n">
        <v>100</v>
      </c>
      <c r="P10" t="n">
        <v>96.32352941176471</v>
      </c>
      <c r="Q10" t="inlineStr"/>
      <c r="R10" t="inlineStr"/>
      <c r="S10" t="inlineStr"/>
      <c r="T10" t="inlineStr"/>
      <c r="U10" t="inlineStr"/>
    </row>
    <row r="11">
      <c r="A11" t="n">
        <v>928734</v>
      </c>
      <c r="B11" s="63" t="n">
        <v>46283</v>
      </c>
      <c r="C11" t="inlineStr">
        <is>
          <t>Mobilize</t>
        </is>
      </c>
      <c r="D11" t="inlineStr">
        <is>
          <t>Banco — N1</t>
        </is>
      </c>
      <c r="E11" t="inlineStr">
        <is>
          <t>Nivel de serviço</t>
        </is>
      </c>
      <c r="F11" t="n">
        <v>1</v>
      </c>
      <c r="G11" t="inlineStr">
        <is>
          <t>SIM</t>
        </is>
      </c>
      <c r="H11" t="inlineStr">
        <is>
          <t>Automático</t>
        </is>
      </c>
      <c r="I11" t="inlineStr">
        <is>
          <t>NÃO</t>
        </is>
      </c>
      <c r="J11" t="inlineStr">
        <is>
          <t>Não Conformidade</t>
        </is>
      </c>
      <c r="K11" t="n">
        <v>1</v>
      </c>
      <c r="L11" t="n">
        <v>1</v>
      </c>
      <c r="M11" t="n">
        <v>0</v>
      </c>
      <c r="N11" t="n">
        <v>0</v>
      </c>
      <c r="O11" t="n">
        <v>50</v>
      </c>
      <c r="P11" t="n">
        <v>96.32352941176471</v>
      </c>
      <c r="Q11" t="inlineStr"/>
      <c r="R11" t="inlineStr"/>
      <c r="S11" t="inlineStr"/>
      <c r="T11" t="inlineStr"/>
      <c r="U11" t="inlineStr"/>
    </row>
    <row r="12">
      <c r="A12" t="n">
        <v>928734</v>
      </c>
      <c r="B12" s="63" t="n">
        <v>46283</v>
      </c>
      <c r="C12" t="inlineStr">
        <is>
          <t>Mobilize</t>
        </is>
      </c>
      <c r="D12" t="inlineStr">
        <is>
          <t>Banco — N1</t>
        </is>
      </c>
      <c r="E12" t="inlineStr">
        <is>
          <t>PCA (voz)</t>
        </is>
      </c>
      <c r="F12" t="n">
        <v>1</v>
      </c>
      <c r="G12" t="inlineStr">
        <is>
          <t>SIM</t>
        </is>
      </c>
      <c r="H12" t="inlineStr">
        <is>
          <t>Automático</t>
        </is>
      </c>
      <c r="I12" t="inlineStr">
        <is>
          <t>SIM</t>
        </is>
      </c>
      <c r="J12" t="inlineStr">
        <is>
          <t>Conformidade</t>
        </is>
      </c>
      <c r="K12" t="n">
        <v>1</v>
      </c>
      <c r="L12" t="n">
        <v>1</v>
      </c>
      <c r="M12" t="n">
        <v>1</v>
      </c>
      <c r="N12" t="n">
        <v>1</v>
      </c>
      <c r="O12" t="n">
        <v>100</v>
      </c>
      <c r="P12" t="n">
        <v>96.32352941176471</v>
      </c>
      <c r="Q12" t="inlineStr"/>
      <c r="R12" t="inlineStr"/>
      <c r="S12" t="inlineStr"/>
      <c r="T12" t="inlineStr"/>
      <c r="U12" t="inlineStr"/>
    </row>
    <row r="13">
      <c r="A13" t="n">
        <v>928734</v>
      </c>
      <c r="B13" s="63" t="n">
        <v>46283</v>
      </c>
      <c r="C13" t="inlineStr">
        <is>
          <t>Mobilize</t>
        </is>
      </c>
      <c r="D13" t="inlineStr">
        <is>
          <t>Banco — N1</t>
        </is>
      </c>
      <c r="E13" t="inlineStr">
        <is>
          <t>PCA (chat e whats)</t>
        </is>
      </c>
      <c r="F13" t="n">
        <v>1</v>
      </c>
      <c r="G13" t="inlineStr">
        <is>
          <t>SIM</t>
        </is>
      </c>
      <c r="H13" t="inlineStr">
        <is>
          <t>Automático</t>
        </is>
      </c>
      <c r="I13" t="inlineStr">
        <is>
          <t>SIM</t>
        </is>
      </c>
      <c r="J13" t="inlineStr">
        <is>
          <t>Conformidade</t>
        </is>
      </c>
      <c r="K13" t="n">
        <v>1</v>
      </c>
      <c r="L13" t="n">
        <v>1</v>
      </c>
      <c r="M13" t="n">
        <v>1</v>
      </c>
      <c r="N13" t="n">
        <v>1</v>
      </c>
      <c r="O13" t="n">
        <v>100</v>
      </c>
      <c r="P13" t="n">
        <v>96.32352941176471</v>
      </c>
      <c r="Q13" t="inlineStr"/>
      <c r="R13" t="inlineStr"/>
      <c r="S13" t="inlineStr"/>
      <c r="T13" t="inlineStr"/>
      <c r="U13" t="inlineStr"/>
    </row>
    <row r="14">
      <c r="A14" t="n">
        <v>928734</v>
      </c>
      <c r="B14" s="63" t="n">
        <v>46283</v>
      </c>
      <c r="C14" t="inlineStr">
        <is>
          <t>Mobilize</t>
        </is>
      </c>
      <c r="D14" t="inlineStr">
        <is>
          <t>Banco — N1</t>
        </is>
      </c>
      <c r="E14" t="inlineStr">
        <is>
          <t>TMA</t>
        </is>
      </c>
      <c r="F14" t="n">
        <v>1</v>
      </c>
      <c r="G14" t="inlineStr">
        <is>
          <t>SIM</t>
        </is>
      </c>
      <c r="H14" t="inlineStr">
        <is>
          <t>Automático</t>
        </is>
      </c>
      <c r="I14" t="inlineStr">
        <is>
          <t>SIM</t>
        </is>
      </c>
      <c r="J14" t="inlineStr">
        <is>
          <t>Conformidade</t>
        </is>
      </c>
      <c r="K14" t="n">
        <v>1</v>
      </c>
      <c r="L14" t="n">
        <v>1</v>
      </c>
      <c r="M14" t="n">
        <v>1</v>
      </c>
      <c r="N14" t="n">
        <v>1</v>
      </c>
      <c r="O14" t="n">
        <v>100</v>
      </c>
      <c r="P14" t="n">
        <v>96.32352941176471</v>
      </c>
      <c r="Q14" t="inlineStr"/>
      <c r="R14" t="inlineStr"/>
      <c r="S14" t="inlineStr"/>
      <c r="T14" t="inlineStr"/>
      <c r="U14" t="inlineStr"/>
    </row>
    <row r="15">
      <c r="A15" t="n">
        <v>928734</v>
      </c>
      <c r="B15" s="63" t="n">
        <v>46283</v>
      </c>
      <c r="C15" t="inlineStr">
        <is>
          <t>Mobilize</t>
        </is>
      </c>
      <c r="D15" t="inlineStr">
        <is>
          <t>Banco — N1</t>
        </is>
      </c>
      <c r="E15" t="inlineStr">
        <is>
          <t>CSAT</t>
        </is>
      </c>
      <c r="F15" t="n">
        <v>1</v>
      </c>
      <c r="G15" t="inlineStr">
        <is>
          <t>SIM</t>
        </is>
      </c>
      <c r="H15" t="inlineStr">
        <is>
          <t>Automático</t>
        </is>
      </c>
      <c r="I15" t="inlineStr">
        <is>
          <t>SIM</t>
        </is>
      </c>
      <c r="J15" t="inlineStr">
        <is>
          <t>Conformidade</t>
        </is>
      </c>
      <c r="K15" t="n">
        <v>1</v>
      </c>
      <c r="L15" t="n">
        <v>1</v>
      </c>
      <c r="M15" t="n">
        <v>1</v>
      </c>
      <c r="N15" t="n">
        <v>1</v>
      </c>
      <c r="O15" t="n">
        <v>100</v>
      </c>
      <c r="P15" t="n">
        <v>96.32352941176471</v>
      </c>
      <c r="Q15" t="inlineStr"/>
      <c r="R15" t="inlineStr"/>
      <c r="S15" t="inlineStr"/>
      <c r="T15" t="inlineStr"/>
      <c r="U15" t="inlineStr"/>
    </row>
    <row r="16">
      <c r="A16" t="n">
        <v>928734</v>
      </c>
      <c r="B16" s="63" t="n">
        <v>46283</v>
      </c>
      <c r="C16" t="inlineStr">
        <is>
          <t>Mobilize</t>
        </is>
      </c>
      <c r="D16" t="inlineStr">
        <is>
          <t>Banco — N1</t>
        </is>
      </c>
      <c r="E16" t="inlineStr">
        <is>
          <t>Monitoria</t>
        </is>
      </c>
      <c r="F16" t="n">
        <v>1</v>
      </c>
      <c r="G16" t="inlineStr">
        <is>
          <t>SIM</t>
        </is>
      </c>
      <c r="H16" t="inlineStr">
        <is>
          <t>Automático</t>
        </is>
      </c>
      <c r="I16" t="inlineStr">
        <is>
          <t>SIM</t>
        </is>
      </c>
      <c r="J16" t="inlineStr">
        <is>
          <t>Conformidade</t>
        </is>
      </c>
      <c r="K16" t="n">
        <v>1</v>
      </c>
      <c r="L16" t="n">
        <v>1</v>
      </c>
      <c r="M16" t="n">
        <v>1</v>
      </c>
      <c r="N16" t="n">
        <v>1</v>
      </c>
      <c r="O16" t="n">
        <v>100</v>
      </c>
      <c r="P16" t="n">
        <v>96.32352941176471</v>
      </c>
      <c r="Q16" t="inlineStr"/>
      <c r="R16" t="inlineStr"/>
      <c r="S16" t="inlineStr"/>
      <c r="T16" t="inlineStr"/>
      <c r="U16" t="inlineStr"/>
    </row>
    <row r="17">
      <c r="A17" t="n">
        <v>928734</v>
      </c>
      <c r="B17" s="63" t="n">
        <v>46283</v>
      </c>
      <c r="C17" t="inlineStr">
        <is>
          <t>Mobilize</t>
        </is>
      </c>
      <c r="D17" t="inlineStr">
        <is>
          <t>Banco — N1</t>
        </is>
      </c>
      <c r="E17" t="inlineStr">
        <is>
          <t>FCR</t>
        </is>
      </c>
      <c r="F17" t="n">
        <v>1</v>
      </c>
      <c r="G17" t="inlineStr">
        <is>
          <t>SIM</t>
        </is>
      </c>
      <c r="H17" t="inlineStr">
        <is>
          <t>Automático</t>
        </is>
      </c>
      <c r="I17" t="inlineStr">
        <is>
          <t>SIM</t>
        </is>
      </c>
      <c r="J17" t="inlineStr">
        <is>
          <t>Conformidade</t>
        </is>
      </c>
      <c r="K17" t="n">
        <v>1</v>
      </c>
      <c r="L17" t="n">
        <v>1</v>
      </c>
      <c r="M17" t="n">
        <v>1</v>
      </c>
      <c r="N17" t="n">
        <v>1</v>
      </c>
      <c r="O17" t="n">
        <v>100</v>
      </c>
      <c r="P17" t="n">
        <v>96.32352941176471</v>
      </c>
      <c r="Q17" t="inlineStr"/>
      <c r="R17" t="inlineStr"/>
      <c r="S17" t="inlineStr"/>
      <c r="T17" t="inlineStr"/>
      <c r="U17" t="inlineStr"/>
    </row>
    <row r="18">
      <c r="A18" t="n">
        <v>928734</v>
      </c>
      <c r="B18" s="63" t="n">
        <v>46283</v>
      </c>
      <c r="C18" t="inlineStr">
        <is>
          <t>Mobilize</t>
        </is>
      </c>
      <c r="D18" t="inlineStr">
        <is>
          <t>Banco — N1</t>
        </is>
      </c>
      <c r="E18" t="inlineStr">
        <is>
          <t>HC Logado</t>
        </is>
      </c>
      <c r="F18" t="n">
        <v>1</v>
      </c>
      <c r="G18" t="inlineStr">
        <is>
          <t>SIM</t>
        </is>
      </c>
      <c r="H18" t="inlineStr">
        <is>
          <t>Automático</t>
        </is>
      </c>
      <c r="I18" t="inlineStr">
        <is>
          <t>SIM</t>
        </is>
      </c>
      <c r="J18" t="inlineStr">
        <is>
          <t>Conformidade</t>
        </is>
      </c>
      <c r="K18" t="n">
        <v>1</v>
      </c>
      <c r="L18" t="n">
        <v>1</v>
      </c>
      <c r="M18" t="n">
        <v>1</v>
      </c>
      <c r="N18" t="n">
        <v>1</v>
      </c>
      <c r="O18" t="n">
        <v>100</v>
      </c>
      <c r="P18" t="n">
        <v>96.32352941176471</v>
      </c>
      <c r="Q18" t="inlineStr"/>
      <c r="R18" t="inlineStr"/>
      <c r="S18" t="inlineStr"/>
      <c r="T18" t="inlineStr"/>
      <c r="U18" t="inlineStr"/>
    </row>
    <row r="19">
      <c r="A19" t="n">
        <v>928734</v>
      </c>
      <c r="B19" s="63" t="n">
        <v>46283</v>
      </c>
      <c r="C19" t="inlineStr">
        <is>
          <t>Mobilize</t>
        </is>
      </c>
      <c r="D19" t="inlineStr">
        <is>
          <t>Banco — N1</t>
        </is>
      </c>
      <c r="E19" t="inlineStr">
        <is>
          <t>Hora Logada</t>
        </is>
      </c>
      <c r="F19" t="n">
        <v>1</v>
      </c>
      <c r="G19" t="inlineStr">
        <is>
          <t>SIM</t>
        </is>
      </c>
      <c r="H19" t="inlineStr">
        <is>
          <t>Automático</t>
        </is>
      </c>
      <c r="I19" t="inlineStr">
        <is>
          <t>SIM</t>
        </is>
      </c>
      <c r="J19" t="inlineStr">
        <is>
          <t>Conformidade</t>
        </is>
      </c>
      <c r="K19" t="n">
        <v>1</v>
      </c>
      <c r="L19" t="n">
        <v>1</v>
      </c>
      <c r="M19" t="n">
        <v>1</v>
      </c>
      <c r="N19" t="n">
        <v>1</v>
      </c>
      <c r="O19" t="n">
        <v>100</v>
      </c>
      <c r="P19" t="n">
        <v>96.32352941176471</v>
      </c>
      <c r="Q19" t="inlineStr"/>
      <c r="R19" t="inlineStr"/>
      <c r="S19" t="inlineStr"/>
      <c r="T19" t="inlineStr"/>
      <c r="U19" t="inlineStr"/>
    </row>
    <row r="20">
      <c r="A20" t="n">
        <v>928734</v>
      </c>
      <c r="B20" s="63" t="n">
        <v>46283</v>
      </c>
      <c r="C20" t="inlineStr">
        <is>
          <t>Mobilize</t>
        </is>
      </c>
      <c r="D20" t="inlineStr">
        <is>
          <t>Clube FIQ</t>
        </is>
      </c>
      <c r="E20" t="inlineStr">
        <is>
          <t>Quantidade de contatos ativos</t>
        </is>
      </c>
      <c r="F20" t="n">
        <v>1</v>
      </c>
      <c r="G20" t="inlineStr">
        <is>
          <t>SIM</t>
        </is>
      </c>
      <c r="H20" t="inlineStr">
        <is>
          <t>Automático</t>
        </is>
      </c>
      <c r="I20" t="inlineStr">
        <is>
          <t>SIM</t>
        </is>
      </c>
      <c r="J20" t="inlineStr">
        <is>
          <t>Observação</t>
        </is>
      </c>
      <c r="K20" t="n">
        <v>1</v>
      </c>
      <c r="L20" t="n">
        <v>1</v>
      </c>
      <c r="M20" t="n">
        <v>1</v>
      </c>
      <c r="N20" t="inlineStr"/>
      <c r="O20" t="n">
        <v>100</v>
      </c>
      <c r="P20" t="n">
        <v>96.32352941176471</v>
      </c>
      <c r="Q20" t="inlineStr"/>
      <c r="R20" t="inlineStr"/>
      <c r="S20" t="inlineStr"/>
      <c r="T20" t="inlineStr"/>
      <c r="U20" t="inlineStr"/>
    </row>
    <row r="21">
      <c r="A21" t="n">
        <v>928734</v>
      </c>
      <c r="B21" s="63" t="n">
        <v>46283</v>
      </c>
      <c r="C21" t="inlineStr">
        <is>
          <t>Mobilize</t>
        </is>
      </c>
      <c r="D21" t="inlineStr">
        <is>
          <t>Clube FIQ</t>
        </is>
      </c>
      <c r="E21" t="inlineStr">
        <is>
          <t>Quantidade de clientes abordados</t>
        </is>
      </c>
      <c r="F21" t="n">
        <v>1</v>
      </c>
      <c r="G21" t="inlineStr">
        <is>
          <t>SIM</t>
        </is>
      </c>
      <c r="H21" t="inlineStr">
        <is>
          <t>Automático</t>
        </is>
      </c>
      <c r="I21" t="inlineStr">
        <is>
          <t>SIM</t>
        </is>
      </c>
      <c r="J21" t="inlineStr">
        <is>
          <t>Observação</t>
        </is>
      </c>
      <c r="K21" t="n">
        <v>1</v>
      </c>
      <c r="L21" t="n">
        <v>1</v>
      </c>
      <c r="M21" t="n">
        <v>1</v>
      </c>
      <c r="N21" t="inlineStr"/>
      <c r="O21" t="n">
        <v>100</v>
      </c>
      <c r="P21" t="n">
        <v>96.32352941176471</v>
      </c>
      <c r="Q21" t="inlineStr"/>
      <c r="R21" t="inlineStr"/>
      <c r="S21" t="inlineStr"/>
      <c r="T21" t="inlineStr"/>
      <c r="U21" t="inlineStr"/>
    </row>
    <row r="22">
      <c r="A22" t="n">
        <v>928734</v>
      </c>
      <c r="B22" s="63" t="n">
        <v>46283</v>
      </c>
      <c r="C22" t="inlineStr">
        <is>
          <t>Mobilize</t>
        </is>
      </c>
      <c r="D22" t="inlineStr">
        <is>
          <t>Clube FIQ</t>
        </is>
      </c>
      <c r="E22" t="inlineStr">
        <is>
          <t>Conversão de retenção</t>
        </is>
      </c>
      <c r="F22" t="n">
        <v>1</v>
      </c>
      <c r="G22" t="inlineStr">
        <is>
          <t>SIM</t>
        </is>
      </c>
      <c r="H22" t="inlineStr">
        <is>
          <t>Automático</t>
        </is>
      </c>
      <c r="I22" t="inlineStr">
        <is>
          <t>SIM</t>
        </is>
      </c>
      <c r="J22" t="inlineStr">
        <is>
          <t>Observação</t>
        </is>
      </c>
      <c r="K22" t="n">
        <v>1</v>
      </c>
      <c r="L22" t="n">
        <v>1</v>
      </c>
      <c r="M22" t="n">
        <v>1</v>
      </c>
      <c r="N22" t="inlineStr"/>
      <c r="O22" t="n">
        <v>100</v>
      </c>
      <c r="P22" t="n">
        <v>96.32352941176471</v>
      </c>
      <c r="Q22" t="inlineStr"/>
      <c r="R22" t="inlineStr"/>
      <c r="S22" t="inlineStr"/>
      <c r="T22" t="inlineStr"/>
      <c r="U22" t="inlineStr"/>
    </row>
    <row r="23">
      <c r="A23" t="n">
        <v>928734</v>
      </c>
      <c r="B23" s="63" t="n">
        <v>46283</v>
      </c>
      <c r="C23" t="inlineStr">
        <is>
          <t>Mobilize</t>
        </is>
      </c>
      <c r="D23" t="inlineStr">
        <is>
          <t>Clube FIQ</t>
        </is>
      </c>
      <c r="E23" t="inlineStr">
        <is>
          <t>Cadastro de acesso ao portal</t>
        </is>
      </c>
      <c r="F23" t="n">
        <v>1</v>
      </c>
      <c r="G23" t="inlineStr">
        <is>
          <t>SIM</t>
        </is>
      </c>
      <c r="H23" t="inlineStr">
        <is>
          <t>Automático</t>
        </is>
      </c>
      <c r="I23" t="inlineStr">
        <is>
          <t>SIM</t>
        </is>
      </c>
      <c r="J23" t="inlineStr">
        <is>
          <t>Observação</t>
        </is>
      </c>
      <c r="K23" t="n">
        <v>1</v>
      </c>
      <c r="L23" t="n">
        <v>1</v>
      </c>
      <c r="M23" t="n">
        <v>1</v>
      </c>
      <c r="N23" t="inlineStr"/>
      <c r="O23" t="n">
        <v>100</v>
      </c>
      <c r="P23" t="n">
        <v>96.32352941176471</v>
      </c>
      <c r="Q23" t="inlineStr"/>
      <c r="R23" t="inlineStr"/>
      <c r="S23" t="inlineStr"/>
      <c r="T23" t="inlineStr"/>
      <c r="U23" t="inlineStr"/>
    </row>
    <row r="24">
      <c r="A24" t="n">
        <v>928734</v>
      </c>
      <c r="B24" s="63" t="n">
        <v>46283</v>
      </c>
      <c r="C24" t="inlineStr">
        <is>
          <t>Mobilize</t>
        </is>
      </c>
      <c r="D24" t="inlineStr">
        <is>
          <t>Clube FIQ</t>
        </is>
      </c>
      <c r="E24" t="inlineStr">
        <is>
          <t>Monitoria</t>
        </is>
      </c>
      <c r="F24" t="n">
        <v>1</v>
      </c>
      <c r="G24" t="inlineStr">
        <is>
          <t>SIM</t>
        </is>
      </c>
      <c r="H24" t="inlineStr">
        <is>
          <t>Automático</t>
        </is>
      </c>
      <c r="I24" t="inlineStr">
        <is>
          <t>SIM</t>
        </is>
      </c>
      <c r="J24" t="inlineStr">
        <is>
          <t>Conformidade</t>
        </is>
      </c>
      <c r="K24" t="n">
        <v>1</v>
      </c>
      <c r="L24" t="n">
        <v>1</v>
      </c>
      <c r="M24" t="n">
        <v>1</v>
      </c>
      <c r="N24" t="n">
        <v>1</v>
      </c>
      <c r="O24" t="n">
        <v>100</v>
      </c>
      <c r="P24" t="n">
        <v>96.32352941176471</v>
      </c>
      <c r="Q24" t="inlineStr"/>
      <c r="R24" t="inlineStr"/>
      <c r="S24" t="inlineStr"/>
      <c r="T24" t="inlineStr"/>
      <c r="U24" t="inlineStr"/>
    </row>
    <row r="25">
      <c r="A25" t="n">
        <v>928734</v>
      </c>
      <c r="B25" s="63" t="n">
        <v>46283</v>
      </c>
      <c r="C25" t="inlineStr">
        <is>
          <t>Mobilize</t>
        </is>
      </c>
      <c r="D25" t="inlineStr">
        <is>
          <t>Clube FIQ</t>
        </is>
      </c>
      <c r="E25" t="inlineStr">
        <is>
          <t>ABS</t>
        </is>
      </c>
      <c r="F25" t="n">
        <v>1</v>
      </c>
      <c r="G25" t="inlineStr">
        <is>
          <t>SIM</t>
        </is>
      </c>
      <c r="H25" t="inlineStr">
        <is>
          <t>Automático</t>
        </is>
      </c>
      <c r="I25" t="inlineStr">
        <is>
          <t>SIM</t>
        </is>
      </c>
      <c r="J25" t="inlineStr">
        <is>
          <t>Conformidade</t>
        </is>
      </c>
      <c r="K25" t="n">
        <v>1</v>
      </c>
      <c r="L25" t="n">
        <v>1</v>
      </c>
      <c r="M25" t="n">
        <v>1</v>
      </c>
      <c r="N25" t="n">
        <v>1</v>
      </c>
      <c r="O25" t="n">
        <v>100</v>
      </c>
      <c r="P25" t="n">
        <v>96.32352941176471</v>
      </c>
      <c r="Q25" t="inlineStr"/>
      <c r="R25" t="inlineStr"/>
      <c r="S25" t="inlineStr"/>
      <c r="T25" t="inlineStr"/>
      <c r="U25" t="inlineStr"/>
    </row>
    <row r="26">
      <c r="A26" t="n">
        <v>928734</v>
      </c>
      <c r="B26" s="63" t="n">
        <v>46283</v>
      </c>
      <c r="C26" t="inlineStr">
        <is>
          <t>Mobilize</t>
        </is>
      </c>
      <c r="D26" t="inlineStr">
        <is>
          <t>Clube FIQ</t>
        </is>
      </c>
      <c r="E26" t="inlineStr">
        <is>
          <t>T.O</t>
        </is>
      </c>
      <c r="F26" t="n">
        <v>1</v>
      </c>
      <c r="G26" t="inlineStr">
        <is>
          <t>SIM</t>
        </is>
      </c>
      <c r="H26" t="inlineStr">
        <is>
          <t>Automático</t>
        </is>
      </c>
      <c r="I26" t="inlineStr">
        <is>
          <t>SIM</t>
        </is>
      </c>
      <c r="J26" t="inlineStr">
        <is>
          <t>Conformidade</t>
        </is>
      </c>
      <c r="K26" t="n">
        <v>1</v>
      </c>
      <c r="L26" t="n">
        <v>1</v>
      </c>
      <c r="M26" t="n">
        <v>1</v>
      </c>
      <c r="N26" t="n">
        <v>1</v>
      </c>
      <c r="O26" t="n">
        <v>100</v>
      </c>
      <c r="P26" t="n">
        <v>96.32352941176471</v>
      </c>
      <c r="Q26" t="inlineStr"/>
      <c r="R26" t="inlineStr"/>
      <c r="S26" t="inlineStr"/>
      <c r="T26" t="inlineStr"/>
      <c r="U26" t="inlineStr"/>
    </row>
    <row r="27">
      <c r="A27" t="n">
        <v>928734</v>
      </c>
      <c r="B27" s="63" t="n">
        <v>46283</v>
      </c>
      <c r="C27" t="inlineStr">
        <is>
          <t>Mobilize</t>
        </is>
      </c>
      <c r="D27" t="inlineStr">
        <is>
          <t>Locadora — N1</t>
        </is>
      </c>
      <c r="E27" t="inlineStr">
        <is>
          <t>Nivel de serviço</t>
        </is>
      </c>
      <c r="F27" t="n">
        <v>1</v>
      </c>
      <c r="G27" t="inlineStr">
        <is>
          <t>SIM</t>
        </is>
      </c>
      <c r="H27" t="inlineStr">
        <is>
          <t>Automático</t>
        </is>
      </c>
      <c r="I27" t="inlineStr">
        <is>
          <t>NÃO</t>
        </is>
      </c>
      <c r="J27" t="inlineStr">
        <is>
          <t>Não Conformidade Grave</t>
        </is>
      </c>
      <c r="K27" t="n">
        <v>1</v>
      </c>
      <c r="L27" t="n">
        <v>1</v>
      </c>
      <c r="M27" t="n">
        <v>0</v>
      </c>
      <c r="N27" t="n">
        <v>-1</v>
      </c>
      <c r="O27" t="n">
        <v>25</v>
      </c>
      <c r="P27" t="n">
        <v>96.32352941176471</v>
      </c>
      <c r="Q27" t="inlineStr"/>
      <c r="R27" t="inlineStr"/>
      <c r="S27" t="inlineStr"/>
      <c r="T27" t="inlineStr"/>
      <c r="U27" t="inlineStr"/>
    </row>
    <row r="28">
      <c r="A28" t="n">
        <v>928734</v>
      </c>
      <c r="B28" s="63" t="n">
        <v>46283</v>
      </c>
      <c r="C28" t="inlineStr">
        <is>
          <t>Mobilize</t>
        </is>
      </c>
      <c r="D28" t="inlineStr">
        <is>
          <t>Locadora — N1</t>
        </is>
      </c>
      <c r="E28" t="inlineStr">
        <is>
          <t>PCA</t>
        </is>
      </c>
      <c r="F28" t="n">
        <v>1</v>
      </c>
      <c r="G28" t="inlineStr">
        <is>
          <t>SIM</t>
        </is>
      </c>
      <c r="H28" t="inlineStr">
        <is>
          <t>Automático</t>
        </is>
      </c>
      <c r="I28" t="inlineStr">
        <is>
          <t>SIM</t>
        </is>
      </c>
      <c r="J28" t="inlineStr">
        <is>
          <t>Conformidade</t>
        </is>
      </c>
      <c r="K28" t="n">
        <v>1</v>
      </c>
      <c r="L28" t="n">
        <v>1</v>
      </c>
      <c r="M28" t="n">
        <v>1</v>
      </c>
      <c r="N28" t="n">
        <v>1</v>
      </c>
      <c r="O28" t="n">
        <v>100</v>
      </c>
      <c r="P28" t="n">
        <v>96.32352941176471</v>
      </c>
      <c r="Q28" t="inlineStr"/>
      <c r="R28" t="inlineStr"/>
      <c r="S28" t="inlineStr"/>
      <c r="T28" t="inlineStr"/>
      <c r="U28" t="inlineStr"/>
    </row>
    <row r="29">
      <c r="A29" t="n">
        <v>928734</v>
      </c>
      <c r="B29" s="63" t="n">
        <v>46283</v>
      </c>
      <c r="C29" t="inlineStr">
        <is>
          <t>Mobilize</t>
        </is>
      </c>
      <c r="D29" t="inlineStr">
        <is>
          <t>Locadora — N1</t>
        </is>
      </c>
      <c r="E29" t="inlineStr">
        <is>
          <t>PCA</t>
        </is>
      </c>
      <c r="F29" t="n">
        <v>1</v>
      </c>
      <c r="G29" t="inlineStr">
        <is>
          <t>SIM</t>
        </is>
      </c>
      <c r="H29" t="inlineStr">
        <is>
          <t>Automático</t>
        </is>
      </c>
      <c r="I29" t="inlineStr">
        <is>
          <t>SIM</t>
        </is>
      </c>
      <c r="J29" t="inlineStr">
        <is>
          <t>Conformidade</t>
        </is>
      </c>
      <c r="K29" t="n">
        <v>1</v>
      </c>
      <c r="L29" t="n">
        <v>1</v>
      </c>
      <c r="M29" t="n">
        <v>1</v>
      </c>
      <c r="N29" t="n">
        <v>1</v>
      </c>
      <c r="O29" t="n">
        <v>100</v>
      </c>
      <c r="P29" t="n">
        <v>96.32352941176471</v>
      </c>
      <c r="Q29" t="inlineStr"/>
      <c r="R29" t="inlineStr"/>
      <c r="S29" t="inlineStr"/>
      <c r="T29" t="inlineStr"/>
      <c r="U29" t="inlineStr"/>
    </row>
    <row r="30">
      <c r="A30" t="n">
        <v>928734</v>
      </c>
      <c r="B30" s="63" t="n">
        <v>46283</v>
      </c>
      <c r="C30" t="inlineStr">
        <is>
          <t>Mobilize</t>
        </is>
      </c>
      <c r="D30" t="inlineStr">
        <is>
          <t>Locadora — N1</t>
        </is>
      </c>
      <c r="E30" t="inlineStr">
        <is>
          <t>TMA</t>
        </is>
      </c>
      <c r="F30" t="n">
        <v>1</v>
      </c>
      <c r="G30" t="inlineStr">
        <is>
          <t>SIM</t>
        </is>
      </c>
      <c r="H30" t="inlineStr">
        <is>
          <t>Automático</t>
        </is>
      </c>
      <c r="I30" t="inlineStr">
        <is>
          <t>SIM</t>
        </is>
      </c>
      <c r="J30" t="inlineStr">
        <is>
          <t>Conformidade</t>
        </is>
      </c>
      <c r="K30" t="n">
        <v>1</v>
      </c>
      <c r="L30" t="n">
        <v>1</v>
      </c>
      <c r="M30" t="n">
        <v>1</v>
      </c>
      <c r="N30" t="n">
        <v>1</v>
      </c>
      <c r="O30" t="n">
        <v>100</v>
      </c>
      <c r="P30" t="n">
        <v>96.32352941176471</v>
      </c>
      <c r="Q30" t="inlineStr"/>
      <c r="R30" t="inlineStr"/>
      <c r="S30" t="inlineStr"/>
      <c r="T30" t="inlineStr"/>
      <c r="U30" t="inlineStr"/>
    </row>
    <row r="31">
      <c r="A31" t="n">
        <v>928734</v>
      </c>
      <c r="B31" s="63" t="n">
        <v>46283</v>
      </c>
      <c r="C31" t="inlineStr">
        <is>
          <t>Mobilize</t>
        </is>
      </c>
      <c r="D31" t="inlineStr">
        <is>
          <t>Locadora — N1</t>
        </is>
      </c>
      <c r="E31" t="inlineStr">
        <is>
          <t>TME</t>
        </is>
      </c>
      <c r="F31" t="n">
        <v>1</v>
      </c>
      <c r="G31" t="inlineStr">
        <is>
          <t>SIM</t>
        </is>
      </c>
      <c r="H31" t="inlineStr">
        <is>
          <t>Automático</t>
        </is>
      </c>
      <c r="I31" t="inlineStr">
        <is>
          <t>SIM</t>
        </is>
      </c>
      <c r="J31" t="inlineStr">
        <is>
          <t>Conformidade</t>
        </is>
      </c>
      <c r="K31" t="n">
        <v>1</v>
      </c>
      <c r="L31" t="n">
        <v>1</v>
      </c>
      <c r="M31" t="n">
        <v>1</v>
      </c>
      <c r="N31" t="n">
        <v>1</v>
      </c>
      <c r="O31" t="n">
        <v>100</v>
      </c>
      <c r="P31" t="n">
        <v>96.32352941176471</v>
      </c>
      <c r="Q31" t="inlineStr"/>
      <c r="R31" t="inlineStr"/>
      <c r="S31" t="inlineStr"/>
      <c r="T31" t="inlineStr"/>
      <c r="U31" t="inlineStr"/>
    </row>
    <row r="32">
      <c r="A32" t="n">
        <v>928734</v>
      </c>
      <c r="B32" s="63" t="n">
        <v>46283</v>
      </c>
      <c r="C32" t="inlineStr">
        <is>
          <t>Mobilize</t>
        </is>
      </c>
      <c r="D32" t="inlineStr">
        <is>
          <t>Locadora — N1</t>
        </is>
      </c>
      <c r="E32" t="inlineStr">
        <is>
          <t>Monitoria</t>
        </is>
      </c>
      <c r="F32" t="n">
        <v>1</v>
      </c>
      <c r="G32" t="inlineStr">
        <is>
          <t>SIM</t>
        </is>
      </c>
      <c r="H32" t="inlineStr">
        <is>
          <t>Automático</t>
        </is>
      </c>
      <c r="I32" t="inlineStr">
        <is>
          <t>SIM</t>
        </is>
      </c>
      <c r="J32" t="inlineStr">
        <is>
          <t>Conformidade</t>
        </is>
      </c>
      <c r="K32" t="n">
        <v>1</v>
      </c>
      <c r="L32" t="n">
        <v>1</v>
      </c>
      <c r="M32" t="n">
        <v>1</v>
      </c>
      <c r="N32" t="n">
        <v>1</v>
      </c>
      <c r="O32" t="n">
        <v>100</v>
      </c>
      <c r="P32" t="n">
        <v>96.32352941176471</v>
      </c>
      <c r="Q32" t="inlineStr"/>
      <c r="R32" t="inlineStr"/>
      <c r="S32" t="inlineStr"/>
      <c r="T32" t="inlineStr"/>
      <c r="U32" t="inlineStr"/>
    </row>
    <row r="33">
      <c r="A33" t="n">
        <v>928734</v>
      </c>
      <c r="B33" s="63" t="n">
        <v>46283</v>
      </c>
      <c r="C33" t="inlineStr">
        <is>
          <t>Mobilize</t>
        </is>
      </c>
      <c r="D33" t="inlineStr">
        <is>
          <t>Locadora — N1</t>
        </is>
      </c>
      <c r="E33" t="inlineStr">
        <is>
          <t>CSAT</t>
        </is>
      </c>
      <c r="F33" t="n">
        <v>1</v>
      </c>
      <c r="G33" t="inlineStr">
        <is>
          <t>SIM</t>
        </is>
      </c>
      <c r="H33" t="inlineStr">
        <is>
          <t>Automático</t>
        </is>
      </c>
      <c r="I33" t="inlineStr">
        <is>
          <t>SIM</t>
        </is>
      </c>
      <c r="J33" t="inlineStr">
        <is>
          <t>Conformidade</t>
        </is>
      </c>
      <c r="K33" t="n">
        <v>1</v>
      </c>
      <c r="L33" t="n">
        <v>1</v>
      </c>
      <c r="M33" t="n">
        <v>1</v>
      </c>
      <c r="N33" t="n">
        <v>1</v>
      </c>
      <c r="O33" t="n">
        <v>100</v>
      </c>
      <c r="P33" t="n">
        <v>96.32352941176471</v>
      </c>
      <c r="Q33" t="inlineStr"/>
      <c r="R33" t="inlineStr"/>
      <c r="S33" t="inlineStr"/>
      <c r="T33" t="inlineStr"/>
      <c r="U33" t="inlineStr"/>
    </row>
    <row r="34">
      <c r="A34" t="n">
        <v>928734</v>
      </c>
      <c r="B34" s="63" t="n">
        <v>46283</v>
      </c>
      <c r="C34" t="inlineStr">
        <is>
          <t>Mobilize</t>
        </is>
      </c>
      <c r="D34" t="inlineStr">
        <is>
          <t>Locadora — N1</t>
        </is>
      </c>
      <c r="E34" t="inlineStr">
        <is>
          <t>FCR</t>
        </is>
      </c>
      <c r="F34" t="n">
        <v>1</v>
      </c>
      <c r="G34" t="inlineStr">
        <is>
          <t>SIM</t>
        </is>
      </c>
      <c r="H34" t="inlineStr">
        <is>
          <t>Automático</t>
        </is>
      </c>
      <c r="I34" t="inlineStr">
        <is>
          <t>SIM</t>
        </is>
      </c>
      <c r="J34" t="inlineStr">
        <is>
          <t>Conformidade</t>
        </is>
      </c>
      <c r="K34" t="n">
        <v>1</v>
      </c>
      <c r="L34" t="n">
        <v>1</v>
      </c>
      <c r="M34" t="n">
        <v>1</v>
      </c>
      <c r="N34" t="n">
        <v>1</v>
      </c>
      <c r="O34" t="n">
        <v>100</v>
      </c>
      <c r="P34" t="n">
        <v>96.32352941176471</v>
      </c>
      <c r="Q34" t="inlineStr"/>
      <c r="R34" t="inlineStr"/>
      <c r="S34" t="inlineStr"/>
      <c r="T34" t="inlineStr"/>
      <c r="U34" t="inlineStr"/>
    </row>
    <row r="35">
      <c r="A35" t="n">
        <v>928734</v>
      </c>
      <c r="B35" s="63" t="n">
        <v>46283</v>
      </c>
      <c r="C35" t="inlineStr">
        <is>
          <t>Mobilize</t>
        </is>
      </c>
      <c r="D35" t="inlineStr">
        <is>
          <t>Locadora — N1</t>
        </is>
      </c>
      <c r="E35" t="inlineStr">
        <is>
          <t>HC Logado</t>
        </is>
      </c>
      <c r="F35" t="n">
        <v>1</v>
      </c>
      <c r="G35" t="inlineStr">
        <is>
          <t>SIM</t>
        </is>
      </c>
      <c r="H35" t="inlineStr">
        <is>
          <t>Automático</t>
        </is>
      </c>
      <c r="I35" t="inlineStr">
        <is>
          <t>SIM</t>
        </is>
      </c>
      <c r="J35" t="inlineStr">
        <is>
          <t>Conformidade</t>
        </is>
      </c>
      <c r="K35" t="n">
        <v>1</v>
      </c>
      <c r="L35" t="n">
        <v>1</v>
      </c>
      <c r="M35" t="n">
        <v>1</v>
      </c>
      <c r="N35" t="n">
        <v>1</v>
      </c>
      <c r="O35" t="n">
        <v>100</v>
      </c>
      <c r="P35" t="n">
        <v>96.32352941176471</v>
      </c>
      <c r="Q35" t="inlineStr"/>
      <c r="R35" t="inlineStr"/>
      <c r="S35" t="inlineStr"/>
      <c r="T35" t="inlineStr"/>
      <c r="U3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"/>
  <sheetViews>
    <sheetView topLeftCell="E1" zoomScaleNormal="100" workbookViewId="0">
      <pane ySplit="1" topLeftCell="A2" activePane="bottomLeft" state="frozen"/>
      <selection pane="bottomLeft" activeCell="E4" sqref="E4"/>
    </sheetView>
  </sheetViews>
  <sheetFormatPr baseColWidth="8" defaultColWidth="8.7109375" defaultRowHeight="15"/>
  <cols>
    <col width="10.7109375" bestFit="1" customWidth="1" style="55" min="1" max="1"/>
    <col width="15.28515625" bestFit="1" customWidth="1" style="55" min="2" max="2"/>
    <col width="8.7109375" bestFit="1" customWidth="1" style="55" min="3" max="3"/>
    <col width="15.28515625" bestFit="1" customWidth="1" style="55" min="4" max="4"/>
    <col width="41.85546875" customWidth="1" style="31" min="5" max="5"/>
    <col width="10.28515625" bestFit="1" customWidth="1" style="55" min="6" max="6"/>
    <col width="6.42578125" bestFit="1" customWidth="1" style="55" min="7" max="7"/>
    <col width="14.140625" bestFit="1" customWidth="1" style="55" min="8" max="8"/>
    <col width="16" customWidth="1" style="55" min="9" max="9"/>
    <col width="11.5703125" bestFit="1" customWidth="1" style="55" min="10" max="10"/>
    <col width="18" bestFit="1" customWidth="1" style="55" min="11" max="11"/>
    <col width="8.85546875" bestFit="1" customWidth="1" style="55" min="12" max="12"/>
    <col width="10.140625" bestFit="1" customWidth="1" style="55" min="13" max="13"/>
    <col width="6.42578125" bestFit="1" customWidth="1" style="55" min="14" max="14"/>
    <col width="12" bestFit="1" customWidth="1" style="55" min="15" max="15"/>
    <col width="7.5703125" bestFit="1" customWidth="1" style="55" min="16" max="16"/>
    <col width="12" bestFit="1" customWidth="1" style="55" min="17" max="17"/>
    <col width="49.5703125" customWidth="1" style="31" min="18" max="19"/>
    <col width="14" bestFit="1" customWidth="1" style="55" min="20" max="20"/>
    <col width="16.28515625" bestFit="1" customWidth="1" style="55" min="22" max="22"/>
  </cols>
  <sheetData>
    <row r="1" customFormat="1" s="47">
      <c r="A1" s="45" t="inlineStr">
        <is>
          <t>ID Avaliação</t>
        </is>
      </c>
      <c r="B1" s="45" t="inlineStr">
        <is>
          <t>Data da avaliação</t>
        </is>
      </c>
      <c r="C1" s="45" t="inlineStr">
        <is>
          <t>Operação</t>
        </is>
      </c>
      <c r="D1" s="45" t="inlineStr">
        <is>
          <t>Frente avaliada</t>
        </is>
      </c>
      <c r="E1" s="45" t="inlineStr">
        <is>
          <t>Item avaliado</t>
        </is>
      </c>
      <c r="F1" s="45" t="inlineStr">
        <is>
          <t>Quantidade</t>
        </is>
      </c>
      <c r="G1" s="46" t="inlineStr">
        <is>
          <t>Existe?</t>
        </is>
      </c>
      <c r="H1" s="46" t="inlineStr">
        <is>
          <t>Está atualizado?</t>
        </is>
      </c>
      <c r="I1" s="46" t="inlineStr">
        <is>
          <t>Última atualização</t>
        </is>
      </c>
      <c r="J1" s="46" t="inlineStr">
        <is>
          <t>Padronizado?</t>
        </is>
      </c>
      <c r="K1" s="46" t="inlineStr">
        <is>
          <t>Conforme?</t>
        </is>
      </c>
      <c r="L1" s="46" t="inlineStr">
        <is>
          <t>Existência</t>
        </is>
      </c>
      <c r="M1" s="46" t="inlineStr">
        <is>
          <t>Atualização</t>
        </is>
      </c>
      <c r="N1" s="46" t="inlineStr">
        <is>
          <t>Padrão</t>
        </is>
      </c>
      <c r="O1" s="46" t="inlineStr">
        <is>
          <t>Conformidade</t>
        </is>
      </c>
      <c r="P1" s="46" t="inlineStr">
        <is>
          <t>Score</t>
        </is>
      </c>
      <c r="Q1" s="46" t="inlineStr">
        <is>
          <t>Geral</t>
        </is>
      </c>
      <c r="R1" s="61" t="inlineStr">
        <is>
          <t>Observação</t>
        </is>
      </c>
      <c r="S1" s="61" t="inlineStr">
        <is>
          <t>Plano de Ação</t>
        </is>
      </c>
      <c r="T1" s="47" t="inlineStr">
        <is>
          <t>Responsável</t>
        </is>
      </c>
      <c r="U1" s="47" t="inlineStr">
        <is>
          <t>Prazo</t>
        </is>
      </c>
      <c r="V1" s="47" t="inlineStr">
        <is>
          <t>Status da Ação</t>
        </is>
      </c>
    </row>
    <row r="2" ht="45" customHeight="1" s="55">
      <c r="A2" s="7" t="n">
        <v>928734</v>
      </c>
      <c r="B2" s="40" t="n">
        <v>46283</v>
      </c>
      <c r="C2" s="8" t="inlineStr">
        <is>
          <t>Mobilize</t>
        </is>
      </c>
      <c r="D2" s="8" t="inlineStr">
        <is>
          <t>Banco — N1</t>
        </is>
      </c>
      <c r="E2" s="60" t="inlineStr">
        <is>
          <t>Material de treinamento e reciclagem — Banco N1</t>
        </is>
      </c>
      <c r="F2" s="8" t="n">
        <v>1</v>
      </c>
      <c r="G2" s="8" t="inlineStr">
        <is>
          <t>SIM</t>
        </is>
      </c>
      <c r="H2" s="8" t="inlineStr">
        <is>
          <t>SIM</t>
        </is>
      </c>
      <c r="I2" s="40" t="inlineStr">
        <is>
          <t>N/A</t>
        </is>
      </c>
      <c r="J2" s="8" t="inlineStr">
        <is>
          <t>SIM</t>
        </is>
      </c>
      <c r="K2" s="8" t="inlineStr">
        <is>
          <t>Observação</t>
        </is>
      </c>
      <c r="L2" s="7">
        <f>IF(G2="","",IF(G2="SIM",1,IF(G2="NÃO",0,"")))</f>
        <v/>
      </c>
      <c r="M2" s="7">
        <f>IF(H2="","",IF(H2="SIM",1,IF(H2="NÃO",0,"")))</f>
        <v/>
      </c>
      <c r="N2" s="7">
        <f>IF(J2="","",IF(J2="SIM",1,IF(J2="NÃO",0,"")))</f>
        <v/>
      </c>
      <c r="O2" s="7">
        <f>IF(K2="","",IF(K2="Conformidade",1,IF(K2="Não Conformidade",0,IF(K2="Não Conformidade Grave",-1,""))))</f>
        <v/>
      </c>
      <c r="P2" s="7">
        <f>IF(COUNTA(G2:H2,J2:K2)=0,"",ROUND(AVERAGE(L2:O2)*100,0))</f>
        <v/>
      </c>
      <c r="Q2" s="8">
        <f>IFERROR(AVERAGEIF(C$2:C$4,C2,P$2:P$4),"N/A")</f>
        <v/>
      </c>
      <c r="R2" s="31" t="inlineStr">
        <is>
          <t>NC 08: material existente sem controle de versão e sem evidência individual completa da reciclagem. Atualização e padronização não foram demonstradas.</t>
        </is>
      </c>
      <c r="S2" s="31" t="inlineStr">
        <is>
          <t>Versionar o material, vincular as fontes vigentes e completar a evidência individual da reciclagem.</t>
        </is>
      </c>
      <c r="T2" t="inlineStr">
        <is>
          <t>Daniel da Silva</t>
        </is>
      </c>
      <c r="U2" t="inlineStr">
        <is>
          <t>A definir</t>
        </is>
      </c>
      <c r="V2" t="inlineStr">
        <is>
          <t>Aguardando ação</t>
        </is>
      </c>
    </row>
    <row r="3" ht="45" customHeight="1" s="55">
      <c r="A3" s="7" t="n">
        <v>928734</v>
      </c>
      <c r="B3" s="40" t="n">
        <v>46283</v>
      </c>
      <c r="C3" s="8" t="inlineStr">
        <is>
          <t>Mobilize</t>
        </is>
      </c>
      <c r="D3" s="8" t="inlineStr">
        <is>
          <t>Locadora — N1</t>
        </is>
      </c>
      <c r="E3" s="60" t="inlineStr">
        <is>
          <t>Material e plano de treinamento — Locadora N1</t>
        </is>
      </c>
      <c r="F3" s="8" t="n">
        <v>1</v>
      </c>
      <c r="G3" s="8" t="inlineStr">
        <is>
          <t>SIM</t>
        </is>
      </c>
      <c r="H3" s="8" t="inlineStr">
        <is>
          <t>SIM</t>
        </is>
      </c>
      <c r="I3" s="40" t="inlineStr">
        <is>
          <t>N/A</t>
        </is>
      </c>
      <c r="J3" s="8" t="inlineStr">
        <is>
          <t>SIM</t>
        </is>
      </c>
      <c r="K3" s="8" t="inlineStr">
        <is>
          <t>Observação</t>
        </is>
      </c>
      <c r="L3" s="7">
        <f>IF(G3="","",IF(G3="SIM",1,IF(G3="NÃO",0,"")))</f>
        <v/>
      </c>
      <c r="M3" s="7">
        <f>IF(H3="","",IF(H3="SIM",1,IF(H3="NÃO",0,"")))</f>
        <v/>
      </c>
      <c r="N3" s="7">
        <f>IF(J3="","",IF(J3="SIM",1,IF(J3="NÃO",0,"")))</f>
        <v/>
      </c>
      <c r="O3" s="41">
        <f>IF(K3="","",IF(K3="Conformidade",1,IF(K3="Não Conformidade",0,IF(K3="Não Conformidade Grave",-1,""))))</f>
        <v/>
      </c>
      <c r="P3" s="62">
        <f>IF(COUNTA(G3:H3,J3:K3)=0,"",ROUND(AVERAGE(L3:O3)*100,0))</f>
        <v/>
      </c>
      <c r="Q3" s="8">
        <f>IFERROR(AVERAGEIF(C$2:C$4,C3,P$2:P$4),"N/A")</f>
        <v/>
      </c>
      <c r="R3" s="31" t="inlineStr">
        <is>
          <t>Há planos e materiais, porém faltou rastreabilidade da evidência individual. Atualização e padronização não foram demonstradas de forma suficiente.</t>
        </is>
      </c>
      <c r="S3" s="31" t="inlineStr">
        <is>
          <t>Vincular fontes vigentes, registrar versão e manter evidência individual da aplicação e reciclagem.</t>
        </is>
      </c>
      <c r="T3" s="37" t="inlineStr">
        <is>
          <t>Daniel da Silva</t>
        </is>
      </c>
      <c r="U3" t="inlineStr">
        <is>
          <t>A definir</t>
        </is>
      </c>
      <c r="V3" t="inlineStr">
        <is>
          <t>Aguardando ação</t>
        </is>
      </c>
    </row>
    <row r="4" ht="45" customHeight="1" s="55">
      <c r="A4" s="7" t="n">
        <v>928734</v>
      </c>
      <c r="B4" s="40" t="n">
        <v>46283</v>
      </c>
      <c r="C4" s="8" t="inlineStr">
        <is>
          <t>Mobilize</t>
        </is>
      </c>
      <c r="D4" s="8" t="inlineStr">
        <is>
          <t>Backoffice — N2</t>
        </is>
      </c>
      <c r="E4" s="60" t="inlineStr">
        <is>
          <t>Estrutura de treinamento — BackOffice N2</t>
        </is>
      </c>
      <c r="F4" s="8" t="n">
        <v>1</v>
      </c>
      <c r="G4" s="8" t="inlineStr">
        <is>
          <t>SIM</t>
        </is>
      </c>
      <c r="H4" s="8" t="inlineStr">
        <is>
          <t>SIM</t>
        </is>
      </c>
      <c r="I4" s="40" t="inlineStr">
        <is>
          <t>N/A</t>
        </is>
      </c>
      <c r="J4" s="8" t="inlineStr">
        <is>
          <t>SIM</t>
        </is>
      </c>
      <c r="K4" s="8" t="inlineStr">
        <is>
          <t>Observação</t>
        </is>
      </c>
      <c r="L4" s="7">
        <f>IF(G4="","",IF(G4="SIM",1,IF(G4="NÃO",0,"")))</f>
        <v/>
      </c>
      <c r="M4" s="7">
        <f>IF(H4="","",IF(H4="SIM",1,IF(H4="NÃO",0,"")))</f>
        <v/>
      </c>
      <c r="N4" s="7">
        <f>IF(J4="","",IF(J4="SIM",1,IF(J4="NÃO",0,"")))</f>
        <v/>
      </c>
      <c r="O4" s="41">
        <f>IF(K4="","",IF(K4="Conformidade",1,IF(K4="Não Conformidade",0,IF(K4="Não Conformidade Grave",-1,""))))</f>
        <v/>
      </c>
      <c r="P4" s="62">
        <f>IF(COUNTA(G4:H4,J4:K4)=0,"",ROUND(AVERAGE(L4:O4)*100,0))</f>
        <v/>
      </c>
      <c r="Q4" s="8">
        <f>IFERROR(AVERAGEIF(C$2:C$4,C4,P$2:P$4),"N/A")</f>
        <v/>
      </c>
      <c r="R4" s="31" t="inlineStr">
        <is>
          <t>A estrutura foi considerada compatível, mas o relatório não apresenta data de atualização nem evidência suficiente de padronização do material.</t>
        </is>
      </c>
      <c r="S4" s="31" t="inlineStr">
        <is>
          <t>Manter a estrutura e complementar os registros de atualização, versão, padrão e fontes utilizadas.</t>
        </is>
      </c>
      <c r="T4" s="37" t="inlineStr">
        <is>
          <t>Daniel da Silva</t>
        </is>
      </c>
      <c r="U4" t="inlineStr">
        <is>
          <t>A definir</t>
        </is>
      </c>
      <c r="V4" t="inlineStr">
        <is>
          <t>Aguardando ação</t>
        </is>
      </c>
    </row>
  </sheetData>
  <conditionalFormatting sqref="G2:I4">
    <cfRule type="cellIs" priority="8" operator="equal" dxfId="0">
      <formula>"SIM"</formula>
    </cfRule>
    <cfRule type="cellIs" priority="9" operator="equal" dxfId="2">
      <formula>"NÃO"</formula>
    </cfRule>
  </conditionalFormatting>
  <conditionalFormatting sqref="O2:P4">
    <cfRule type="cellIs" priority="14" operator="lessThan" dxfId="2">
      <formula>50</formula>
    </cfRule>
    <cfRule type="cellIs" priority="15" operator="between" dxfId="1">
      <formula>50</formula>
      <formula>79</formula>
    </cfRule>
    <cfRule type="cellIs" priority="16" operator="greaterThanOrEqual" dxfId="0">
      <formula>80</formula>
    </cfRule>
  </conditionalFormatting>
  <conditionalFormatting sqref="J2">
    <cfRule type="cellIs" priority="5" operator="equal" dxfId="0">
      <formula>"SIM"</formula>
    </cfRule>
    <cfRule type="cellIs" priority="6" operator="equal" dxfId="2">
      <formula>"NÃO"</formula>
    </cfRule>
  </conditionalFormatting>
  <conditionalFormatting sqref="J3">
    <cfRule type="cellIs" priority="3" operator="equal" dxfId="0">
      <formula>"SIM"</formula>
    </cfRule>
    <cfRule type="cellIs" priority="4" operator="equal" dxfId="2">
      <formula>"NÃO"</formula>
    </cfRule>
  </conditionalFormatting>
  <conditionalFormatting sqref="J4">
    <cfRule type="cellIs" priority="1" operator="equal" dxfId="0">
      <formula>"SIM"</formula>
    </cfRule>
    <cfRule type="cellIs" priority="2" operator="equal" dxfId="2">
      <formula>"NÃO"</formula>
    </cfRule>
  </conditionalFormatting>
  <dataValidations count="5">
    <dataValidation sqref="F2:F4" showDropDown="0" showInputMessage="0" showErrorMessage="0" allowBlank="1" type="decimal" operator="greaterThanOrEqual">
      <formula1>0</formula1>
      <formula2>0</formula2>
    </dataValidation>
    <dataValidation sqref="G2:I4 J2:J4" showDropDown="0" showInputMessage="0" showErrorMessage="0" allowBlank="1" type="list">
      <formula1>"SIM,NÃO"</formula1>
      <formula2>0</formula2>
    </dataValidation>
    <dataValidation sqref="K2:K4" showDropDown="0" showInputMessage="0" showErrorMessage="0" allowBlank="1" type="list">
      <formula1>"Não Conformidade Grave,Não Conformidade,Conformidade,Observação"</formula1>
      <formula2>0</formula2>
    </dataValidation>
    <dataValidation sqref="B2:B4" showDropDown="0" showInputMessage="0" showErrorMessage="0" allowBlank="1" type="date">
      <formula1>DATE(2000,1,1)</formula1>
      <formula2>0</formula2>
    </dataValidation>
    <dataValidation sqref="U2:U4" showDropDown="0" showInputMessage="0" showErrorMessage="0" allowBlank="1" type="list">
      <formula1>"Aberto,Em andamento,Concluído"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"/>
  <sheetViews>
    <sheetView tabSelected="1" topLeftCell="R1" zoomScaleNormal="100" workbookViewId="0">
      <pane ySplit="1" topLeftCell="A2" activePane="bottomLeft" state="frozen"/>
      <selection pane="bottomLeft" activeCell="S4" sqref="S4"/>
    </sheetView>
  </sheetViews>
  <sheetFormatPr baseColWidth="8" defaultColWidth="8.7109375" defaultRowHeight="15"/>
  <cols>
    <col width="10.7109375" bestFit="1" customWidth="1" style="55" min="1" max="1"/>
    <col width="15.28515625" bestFit="1" customWidth="1" style="55" min="2" max="2"/>
    <col width="8.7109375" bestFit="1" customWidth="1" style="55" min="3" max="3"/>
    <col width="37.5703125" bestFit="1" customWidth="1" style="55" min="4" max="4"/>
    <col width="41.85546875" customWidth="1" style="31" min="5" max="5"/>
    <col width="10.28515625" bestFit="1" customWidth="1" style="55" min="6" max="6"/>
    <col width="6.42578125" bestFit="1" customWidth="1" style="55" min="7" max="7"/>
    <col width="14.140625" bestFit="1" customWidth="1" style="55" min="8" max="8"/>
    <col width="16" bestFit="1" customWidth="1" style="55" min="9" max="9"/>
    <col width="11.5703125" bestFit="1" customWidth="1" style="55" min="10" max="10"/>
    <col width="18" bestFit="1" customWidth="1" style="55" min="11" max="11"/>
    <col width="8.85546875" bestFit="1" customWidth="1" style="55" min="12" max="12"/>
    <col width="10.140625" bestFit="1" customWidth="1" style="55" min="13" max="13"/>
    <col width="6.42578125" bestFit="1" customWidth="1" style="55" min="14" max="14"/>
    <col width="12" bestFit="1" customWidth="1" style="55" min="15" max="15"/>
    <col width="5.85546875" bestFit="1" customWidth="1" style="55" min="16" max="16"/>
    <col width="5.7109375" bestFit="1" customWidth="1" style="55" min="17" max="17"/>
    <col width="72.85546875" customWidth="1" style="31" min="18" max="18"/>
    <col width="49.5703125" customWidth="1" style="31" min="19" max="19"/>
    <col width="30.42578125" bestFit="1" customWidth="1" style="55" min="20" max="20"/>
    <col width="16.28515625" bestFit="1" customWidth="1" style="55" min="22" max="22"/>
  </cols>
  <sheetData>
    <row r="1" customFormat="1" s="47">
      <c r="A1" s="45" t="inlineStr">
        <is>
          <t>ID Avaliação</t>
        </is>
      </c>
      <c r="B1" s="45" t="inlineStr">
        <is>
          <t>Data da avaliação</t>
        </is>
      </c>
      <c r="C1" s="45" t="inlineStr">
        <is>
          <t>Operação</t>
        </is>
      </c>
      <c r="D1" s="45" t="inlineStr">
        <is>
          <t>Frente avaliada</t>
        </is>
      </c>
      <c r="E1" s="45" t="inlineStr">
        <is>
          <t>Item avaliado</t>
        </is>
      </c>
      <c r="F1" s="45" t="inlineStr">
        <is>
          <t>Quantidade</t>
        </is>
      </c>
      <c r="G1" s="46" t="inlineStr">
        <is>
          <t>Existe?</t>
        </is>
      </c>
      <c r="H1" s="46" t="inlineStr">
        <is>
          <t>Está atualizado?</t>
        </is>
      </c>
      <c r="I1" s="46" t="inlineStr">
        <is>
          <t>Última atualização</t>
        </is>
      </c>
      <c r="J1" s="46" t="inlineStr">
        <is>
          <t>Padronizado?</t>
        </is>
      </c>
      <c r="K1" s="46" t="inlineStr">
        <is>
          <t>Conforme?</t>
        </is>
      </c>
      <c r="L1" s="46" t="inlineStr">
        <is>
          <t>Existência</t>
        </is>
      </c>
      <c r="M1" s="46" t="inlineStr">
        <is>
          <t>Atualização</t>
        </is>
      </c>
      <c r="N1" s="46" t="inlineStr">
        <is>
          <t>Padrão</t>
        </is>
      </c>
      <c r="O1" s="46" t="inlineStr">
        <is>
          <t>Conformidade</t>
        </is>
      </c>
      <c r="P1" s="47" t="inlineStr">
        <is>
          <t>Score</t>
        </is>
      </c>
      <c r="Q1" s="47" t="inlineStr">
        <is>
          <t>Geral</t>
        </is>
      </c>
      <c r="R1" s="61" t="inlineStr">
        <is>
          <t>Observação</t>
        </is>
      </c>
      <c r="S1" s="61" t="inlineStr">
        <is>
          <t>Plano de Ação</t>
        </is>
      </c>
      <c r="T1" s="47" t="inlineStr">
        <is>
          <t>Responsável</t>
        </is>
      </c>
      <c r="U1" s="47" t="inlineStr">
        <is>
          <t>Prazo</t>
        </is>
      </c>
      <c r="V1" s="47" t="inlineStr">
        <is>
          <t>Status da Ação</t>
        </is>
      </c>
    </row>
    <row r="2" ht="90" customHeight="1" s="55">
      <c r="A2" s="7" t="n">
        <v>928734</v>
      </c>
      <c r="B2" s="40" t="n">
        <v>46283</v>
      </c>
      <c r="C2" s="8" t="inlineStr">
        <is>
          <t>Mobilize</t>
        </is>
      </c>
      <c r="D2" s="8" t="inlineStr">
        <is>
          <t>Banco — N1</t>
        </is>
      </c>
      <c r="E2" s="60" t="inlineStr">
        <is>
          <t>Monitoria — Encerramento de leasing</t>
        </is>
      </c>
      <c r="F2" s="8" t="n">
        <v>1</v>
      </c>
      <c r="G2" s="8" t="inlineStr">
        <is>
          <t>SIM</t>
        </is>
      </c>
      <c r="H2" s="8" t="inlineStr">
        <is>
          <t>SIM</t>
        </is>
      </c>
      <c r="I2" s="40" t="inlineStr">
        <is>
          <t>N/A</t>
        </is>
      </c>
      <c r="J2" s="8" t="inlineStr">
        <is>
          <t>NÃO</t>
        </is>
      </c>
      <c r="K2" s="8" t="inlineStr">
        <is>
          <t>Não Conformidade</t>
        </is>
      </c>
      <c r="L2" s="7">
        <f>IF(G2="","",IF(G2="SIM",1,IF(G2="NÃO",0,"")))</f>
        <v/>
      </c>
      <c r="M2" s="7">
        <f>IF(H2="","",IF(H2="SIM",1,IF(H2="NÃO",0,"")))</f>
        <v/>
      </c>
      <c r="N2" s="7">
        <f>IF(J2="","",IF(J2="SIM",1,IF(J2="NÃO",0,"")))</f>
        <v/>
      </c>
      <c r="O2" s="8">
        <f>IF(K2="","",IF(K2="Conformidade",1,IF(K2="Não Conformidade",0,IF(K2="Não Conformidade Grave",-1,""))))</f>
        <v/>
      </c>
      <c r="P2">
        <f>IF(COUNTA(G2:H2,J2:K2)=0,"",ROUND(AVERAGE(L2:O2)*100,0))</f>
        <v/>
      </c>
      <c r="Q2">
        <f>IFERROR(AVERAGEIF(C$2:C$201,C2,P$2:P$201),"N/A")</f>
        <v/>
      </c>
      <c r="R2" s="31" t="inlineStr">
        <is>
          <t>A monitoria existe, porém o formulário é genérico e não possui avaliação específica para Encerramento de Leasing. O processo é avaliado de modo geral, com foco em FCR, informações corretas e classificação para N2. A Wiki foi vista como base, mas não foi evidenciada sua utilização na contestação ou resposta à operação. O formulário 'Back Office Banco / Locadora - Checklist 2025' não possui histórico de atualização ou aprovação, nem rotina de revisão.</t>
        </is>
      </c>
      <c r="S2" s="31" t="inlineStr">
        <is>
          <t>Criar critérios específicos para Encerramento de Leasing; separar requisitos comportamentais e processuais; formalizar revisão, aprovação e histórico do checklist; exigir evidência da referência utilizada em contestação e resposta.</t>
        </is>
      </c>
      <c r="T2" t="inlineStr">
        <is>
          <t>Qualidade e operação</t>
        </is>
      </c>
      <c r="U2" t="inlineStr">
        <is>
          <t>A definir</t>
        </is>
      </c>
      <c r="V2" t="inlineStr">
        <is>
          <t>Aguardando ação</t>
        </is>
      </c>
    </row>
    <row r="3" ht="90" customHeight="1" s="55">
      <c r="A3" s="7" t="n">
        <v>928734</v>
      </c>
      <c r="B3" s="40" t="n">
        <v>46283</v>
      </c>
      <c r="C3" s="8" t="inlineStr">
        <is>
          <t>Mobilize</t>
        </is>
      </c>
      <c r="D3" s="8" t="inlineStr">
        <is>
          <t>Backoffice — N2</t>
        </is>
      </c>
      <c r="E3" s="60" t="inlineStr">
        <is>
          <t>Monitoria — Cessão de Direitos</t>
        </is>
      </c>
      <c r="F3" s="8" t="n">
        <v>1</v>
      </c>
      <c r="G3" s="8" t="inlineStr">
        <is>
          <t>SIM</t>
        </is>
      </c>
      <c r="H3" s="8" t="inlineStr">
        <is>
          <t>SIM</t>
        </is>
      </c>
      <c r="I3" s="40" t="inlineStr">
        <is>
          <t>N/A</t>
        </is>
      </c>
      <c r="J3" s="8" t="inlineStr">
        <is>
          <t>NÃO</t>
        </is>
      </c>
      <c r="K3" s="8" t="inlineStr">
        <is>
          <t>Não Conformidade</t>
        </is>
      </c>
      <c r="L3" s="7">
        <f>IF(G3="","",IF(G3="SIM",1,IF(G3="NÃO",0,"")))</f>
        <v/>
      </c>
      <c r="M3" s="41">
        <f>IF(H3="","",IF(H3="SIM",1,IF(H3="NÃO",0,"")))</f>
        <v/>
      </c>
      <c r="N3" s="41">
        <f>IF(J3="","",IF(J3="SIM",1,IF(J3="NÃO",0,"")))</f>
        <v/>
      </c>
      <c r="O3" s="8">
        <f>IF(K3="","",IF(K3="Conformidade",1,IF(K3="Não Conformidade",0,IF(K3="Não Conformidade Grave",-1,""))))</f>
        <v/>
      </c>
      <c r="P3">
        <f>IF(COUNTA(G3:H3,J3:K3)=0,"",ROUND(AVERAGE(L3:O3)*100,0))</f>
        <v/>
      </c>
      <c r="Q3">
        <f>IFERROR(AVERAGEIF(C$2:C$201,C3,P$2:P$201),"N/A")</f>
        <v/>
      </c>
      <c r="R3" s="31" t="inlineStr">
        <is>
          <t>A monitoria existe e a avaliação registrada recebeu nota 100. Entretanto, o formulário é genérico para Banco e Locadora e não separa aspectos comportamentais e processuais solicitados pela operação. Foram evidenciados acompanhamento de telas e consulta à Wiki 'Cessão de Direitos - dúvidas e informações'. O documento D.C.198.EXTE, versão 2.0, de 21/06/2024, apresenta problema na data de edição.</t>
        </is>
      </c>
      <c r="S3" s="31" t="inlineStr">
        <is>
          <t>Revisar e aprovar o checklist; criar critérios específicos por frente e processo; separar itens comportamentais e processuais; corrigir e validar a data de edição do D.C.198.EXTE; estabelecer rotina de atualização.</t>
        </is>
      </c>
      <c r="T3" t="inlineStr">
        <is>
          <t>Qualidade e operação</t>
        </is>
      </c>
      <c r="U3" t="inlineStr">
        <is>
          <t>A definir</t>
        </is>
      </c>
      <c r="V3" t="inlineStr">
        <is>
          <t>Aguardando ação</t>
        </is>
      </c>
    </row>
    <row r="4" ht="45" customHeight="1" s="55">
      <c r="A4" t="n">
        <v>928734</v>
      </c>
      <c r="B4" s="37" t="n">
        <v>46283</v>
      </c>
      <c r="C4" t="inlineStr">
        <is>
          <t>Mobilize</t>
        </is>
      </c>
      <c r="D4" t="inlineStr">
        <is>
          <t>Clube FIQ</t>
        </is>
      </c>
      <c r="E4" s="31" t="inlineStr">
        <is>
          <t>Monitoria — Clube FIQ</t>
        </is>
      </c>
      <c r="F4" t="n">
        <v>1</v>
      </c>
      <c r="G4" t="inlineStr">
        <is>
          <t>NÃO</t>
        </is>
      </c>
      <c r="H4" t="inlineStr">
        <is>
          <t>N/A</t>
        </is>
      </c>
      <c r="I4" s="37" t="inlineStr">
        <is>
          <t>N/A</t>
        </is>
      </c>
      <c r="J4" t="inlineStr">
        <is>
          <t>N/A</t>
        </is>
      </c>
      <c r="K4" t="inlineStr">
        <is>
          <t>Observação</t>
        </is>
      </c>
      <c r="L4">
        <f>IF(G4="","",IF(G4="SIM",1,IF(G4="NÃO",0,"")))</f>
        <v/>
      </c>
      <c r="M4">
        <f>IF(H4="","",IF(H4="SIM",1,IF(H4="NÃO",0,"")))</f>
        <v/>
      </c>
      <c r="N4">
        <f>IF(J4="","",IF(J4="SIM",1,IF(J4="NÃO",0,"")))</f>
        <v/>
      </c>
      <c r="O4">
        <f>IF(K4="","",IF(K4="Conformidade",1,IF(K4="Não Conformidade",0,IF(K4="Não Conformidade Grave",-1,""))))</f>
        <v/>
      </c>
      <c r="P4">
        <f>IF(COUNTA(G4:H4,J4:K4)=0,"",ROUND(AVERAGE(L4:O4)*100,0))</f>
        <v/>
      </c>
      <c r="Q4">
        <f>IFERROR(AVERAGEIF(C$2:C$201,C4,P$2:P$201),"N/A")</f>
        <v/>
      </c>
      <c r="R4" s="31" t="inlineStr">
        <is>
          <t>Não há monitoria do Clube FIQ há três meses devido à reformulação em andamento.</t>
        </is>
      </c>
      <c r="S4" s="31" t="inlineStr">
        <is>
          <t>Retomar as monitorias após a definição dos novos fluxos; formalizar critérios, formulário, frequência, responsável e aprovação.</t>
        </is>
      </c>
      <c r="T4" t="inlineStr">
        <is>
          <t>Qualidade e gestão do Clube FIQ</t>
        </is>
      </c>
      <c r="U4" t="inlineStr">
        <is>
          <t>A definir</t>
        </is>
      </c>
      <c r="V4" t="inlineStr">
        <is>
          <t>Aguardando ação</t>
        </is>
      </c>
    </row>
  </sheetData>
  <conditionalFormatting sqref="G2:G3">
    <cfRule type="cellIs" priority="14" operator="equal" dxfId="0">
      <formula>"SIM"</formula>
    </cfRule>
    <cfRule type="cellIs" priority="15" operator="equal" dxfId="2">
      <formula>"NÃO"</formula>
    </cfRule>
  </conditionalFormatting>
  <conditionalFormatting sqref="M2:N3">
    <cfRule type="cellIs" priority="16" operator="lessThan" dxfId="2">
      <formula>50</formula>
    </cfRule>
    <cfRule type="cellIs" priority="17" operator="between" dxfId="1">
      <formula>50</formula>
      <formula>79</formula>
    </cfRule>
    <cfRule type="cellIs" priority="18" operator="greaterThanOrEqual" dxfId="0">
      <formula>80</formula>
    </cfRule>
  </conditionalFormatting>
  <conditionalFormatting sqref="H3">
    <cfRule type="cellIs" priority="11" operator="equal" dxfId="0">
      <formula>"SIM"</formula>
    </cfRule>
    <cfRule type="cellIs" priority="12" operator="equal" dxfId="2">
      <formula>"NÃO"</formula>
    </cfRule>
  </conditionalFormatting>
  <conditionalFormatting sqref="H2">
    <cfRule type="cellIs" priority="9" operator="equal" dxfId="0">
      <formula>"SIM"</formula>
    </cfRule>
    <cfRule type="cellIs" priority="10" operator="equal" dxfId="2">
      <formula>"NÃO"</formula>
    </cfRule>
  </conditionalFormatting>
  <conditionalFormatting sqref="I2">
    <cfRule type="cellIs" priority="7" operator="equal" dxfId="0">
      <formula>"SIM"</formula>
    </cfRule>
    <cfRule type="cellIs" priority="8" operator="equal" dxfId="2">
      <formula>"NÃO"</formula>
    </cfRule>
  </conditionalFormatting>
  <conditionalFormatting sqref="I3">
    <cfRule type="cellIs" priority="5" operator="equal" dxfId="0">
      <formula>"SIM"</formula>
    </cfRule>
    <cfRule type="cellIs" priority="6" operator="equal" dxfId="2">
      <formula>"NÃO"</formula>
    </cfRule>
  </conditionalFormatting>
  <conditionalFormatting sqref="J2">
    <cfRule type="cellIs" priority="3" operator="equal" dxfId="0">
      <formula>"SIM"</formula>
    </cfRule>
    <cfRule type="cellIs" priority="4" operator="equal" dxfId="2">
      <formula>"NÃO"</formula>
    </cfRule>
  </conditionalFormatting>
  <conditionalFormatting sqref="J3">
    <cfRule type="cellIs" priority="1" operator="equal" dxfId="0">
      <formula>"SIM"</formula>
    </cfRule>
    <cfRule type="cellIs" priority="2" operator="equal" dxfId="2">
      <formula>"NÃO"</formula>
    </cfRule>
  </conditionalFormatting>
  <dataValidations count="4">
    <dataValidation sqref="F2:F3" showDropDown="0" showInputMessage="0" showErrorMessage="0" allowBlank="1" type="decimal" operator="greaterThanOrEqual">
      <formula1>0</formula1>
      <formula2>0</formula2>
    </dataValidation>
    <dataValidation sqref="G2:G3 H2:J3" showDropDown="0" showInputMessage="0" showErrorMessage="0" allowBlank="1" type="list">
      <formula1>"SIM,NÃO"</formula1>
      <formula2>0</formula2>
    </dataValidation>
    <dataValidation sqref="K2:K3" showDropDown="0" showInputMessage="0" showErrorMessage="0" allowBlank="1" type="list">
      <formula1>"Não Conformidade Grave,Não Conformidade,Conformidade,Observação"</formula1>
      <formula2>0</formula2>
    </dataValidation>
    <dataValidation sqref="B2:B3" showDropDown="0" showInputMessage="0" showErrorMessage="0" allowBlank="1" type="date">
      <formula1>DATE(2000,1,1)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4"/>
  <sheetViews>
    <sheetView zoomScale="73" zoomScaleNormal="100" workbookViewId="0">
      <selection activeCell="B55" sqref="B55"/>
    </sheetView>
  </sheetViews>
  <sheetFormatPr baseColWidth="8" defaultColWidth="14.42578125" defaultRowHeight="15"/>
  <cols>
    <col width="36.42578125" customWidth="1" style="55" min="1" max="1"/>
    <col width="22" customWidth="1" style="55" min="2" max="2"/>
    <col width="3" customWidth="1" style="55" min="3" max="3"/>
    <col width="32.140625" customWidth="1" style="55" min="4" max="4"/>
    <col width="39.7109375" customWidth="1" style="55" min="5" max="5"/>
    <col width="15" customWidth="1" style="55" min="6" max="8"/>
    <col width="8.7109375" customWidth="1" style="55" min="9" max="26"/>
  </cols>
  <sheetData>
    <row r="1" ht="25.5" customHeight="1" s="55">
      <c r="A1" s="54" t="inlineStr">
        <is>
          <t>RESUMO DA AVALIAÇÃO</t>
        </is>
      </c>
    </row>
    <row r="3" ht="15" customHeight="1" s="55">
      <c r="A3" s="9" t="inlineStr">
        <is>
          <t>Indicador</t>
        </is>
      </c>
      <c r="B3" s="9" t="inlineStr">
        <is>
          <t>Resultado</t>
        </is>
      </c>
      <c r="D3" s="58" t="inlineStr">
        <is>
          <t>Faixa do Score</t>
        </is>
      </c>
      <c r="E3" s="58" t="inlineStr">
        <is>
          <t>Interpretação</t>
        </is>
      </c>
    </row>
    <row r="4" ht="15" customHeight="1" s="55">
      <c r="A4" s="11" t="inlineStr">
        <is>
          <t>Documentações avaliadas</t>
        </is>
      </c>
      <c r="B4" s="12">
        <f>COUNT(Documentos!P2:P61)</f>
        <v/>
      </c>
      <c r="D4" s="11" t="inlineStr">
        <is>
          <t>0–25</t>
        </is>
      </c>
      <c r="E4" t="inlineStr">
        <is>
          <t>Baixissíma maturidade documental</t>
        </is>
      </c>
      <c r="F4" s="13" t="n"/>
    </row>
    <row r="5" ht="15" customHeight="1" s="55">
      <c r="A5" s="11" t="inlineStr">
        <is>
          <t>Documentações existentes</t>
        </is>
      </c>
      <c r="B5" s="12">
        <f>COUNTIF(Documentos!G2:G61,"SIM")</f>
        <v/>
      </c>
      <c r="D5" s="11" t="inlineStr">
        <is>
          <t>26-35</t>
        </is>
      </c>
      <c r="E5" t="inlineStr">
        <is>
          <t>Baixa maturidade documental</t>
        </is>
      </c>
      <c r="F5" s="13" t="n"/>
    </row>
    <row r="6" ht="15" customHeight="1" s="55">
      <c r="A6" s="11" t="inlineStr">
        <is>
          <t>Documentações atualizadas</t>
        </is>
      </c>
      <c r="B6" s="12">
        <f>COUNTIF(Documentos!H2:H61,"SIM")</f>
        <v/>
      </c>
      <c r="D6" s="11" t="inlineStr">
        <is>
          <t>36-75</t>
        </is>
      </c>
      <c r="E6" t="inlineStr">
        <is>
          <t>Maturidade intermediária</t>
        </is>
      </c>
      <c r="F6" s="14" t="n"/>
    </row>
    <row r="7" ht="15" customHeight="1" s="55">
      <c r="A7" s="11" t="inlineStr">
        <is>
          <t>Documentações no padrão</t>
        </is>
      </c>
      <c r="B7" s="12">
        <f>COUNTIF(Documentos!J2:J61,"SIM")</f>
        <v/>
      </c>
      <c r="D7" s="11" t="inlineStr">
        <is>
          <t>76-85</t>
        </is>
      </c>
      <c r="E7" t="inlineStr">
        <is>
          <t>Boa maturidade documental</t>
        </is>
      </c>
      <c r="F7" s="14" t="n"/>
    </row>
    <row r="8" ht="15" customHeight="1" s="55">
      <c r="A8" s="11" t="inlineStr">
        <is>
          <t>Documentação Em Conformidade</t>
        </is>
      </c>
      <c r="B8" s="12">
        <f>IFERROR(COUNTIF(Documentos!K2:K61,"Conformidade")-COUNTIF(Documentos!K2:K61,"Não Conformidade Grave"),"")</f>
        <v/>
      </c>
      <c r="D8" s="11" t="inlineStr">
        <is>
          <t>86-100</t>
        </is>
      </c>
      <c r="E8" t="inlineStr">
        <is>
          <t>Excelente maturidade documental</t>
        </is>
      </c>
      <c r="F8" s="15" t="n"/>
    </row>
    <row r="9" ht="15" customHeight="1" s="55">
      <c r="A9" s="11" t="inlineStr">
        <is>
          <t>Score médio de documentação</t>
        </is>
      </c>
      <c r="B9" s="16">
        <f>IFERROR(AVERAGE(Documentos!P2:P61),0)</f>
        <v/>
      </c>
    </row>
    <row r="10" ht="15" customHeight="1" s="55">
      <c r="A10" s="11" t="inlineStr">
        <is>
          <t>% de existência</t>
        </is>
      </c>
      <c r="B10" s="17">
        <f>IFERROR(COUNTIF(Documentos!G2:G61,"SIM")/COUNTA(Documentos!G2:G61),0)</f>
        <v/>
      </c>
    </row>
    <row r="11" ht="15" customHeight="1" s="55">
      <c r="A11" s="11" t="inlineStr">
        <is>
          <t>% atualizado</t>
        </is>
      </c>
      <c r="B11" s="17">
        <f>IFERROR(COUNTIF(Documentos!H2:H61,"SIM")/COUNTA(Documentos!H2:H61),0)</f>
        <v/>
      </c>
      <c r="D11" s="58" t="inlineStr">
        <is>
          <t>Observação metodológica</t>
        </is>
      </c>
    </row>
    <row r="12" ht="15" customHeight="1" s="55">
      <c r="A12" s="11" t="inlineStr">
        <is>
          <t>% no padrão</t>
        </is>
      </c>
      <c r="B12" s="17">
        <f>IFERROR(COUNTIF(Documentos!J2:J61,"SIM")/COUNTA(Documentos!J2:J61),0)</f>
        <v/>
      </c>
      <c r="D12" s="56" t="inlineStr">
        <is>
          <t>O Score Documentação é calculado por documentação e considera igualmente Existência, Atualização e Padrão. A volumetria (Quantidade) fica registrada para permitir análises posteriores de cobertura e ponderação.</t>
        </is>
      </c>
    </row>
    <row r="13" ht="15" customHeight="1" s="55"/>
    <row r="14" ht="15" customHeight="1" s="55"/>
    <row r="15" ht="15" customHeight="1" s="55"/>
    <row r="17" ht="19.5" customHeight="1" s="55">
      <c r="A17" s="57" t="inlineStr">
        <is>
          <t>INDICADORES</t>
        </is>
      </c>
    </row>
    <row r="18" ht="15" customHeight="1" s="55">
      <c r="A18" s="19" t="inlineStr">
        <is>
          <t>Indicadores avaliados</t>
        </is>
      </c>
      <c r="B18" s="20">
        <f>COUNT(Indicadores!O2:O201)</f>
        <v/>
      </c>
    </row>
    <row r="19" ht="15" customHeight="1" s="55">
      <c r="A19" s="19" t="inlineStr">
        <is>
          <t>Indicadores existentes</t>
        </is>
      </c>
      <c r="B19" s="20">
        <f>COUNTIF(Indicadores!G2:G201,"SIM")</f>
        <v/>
      </c>
    </row>
    <row r="20" ht="15" customHeight="1" s="55">
      <c r="A20" s="19" t="inlineStr">
        <is>
          <t>Indicadores atualizados (automático ou manual)</t>
        </is>
      </c>
      <c r="B20" s="20">
        <f>COUNTIF(Indicadores!H2:H201,"Automático")+COUNTIF(Indicadores!H2:H201,"Manual")</f>
        <v/>
      </c>
    </row>
    <row r="21" ht="15.75" customHeight="1" s="55">
      <c r="A21" s="19" t="inlineStr">
        <is>
          <t>Indicadores no padrão</t>
        </is>
      </c>
      <c r="B21" s="20">
        <f>COUNTIF(Indicadores!I2:I201,"SIM")</f>
        <v/>
      </c>
    </row>
    <row r="22" ht="15.75" customHeight="1" s="55">
      <c r="A22" s="19" t="inlineStr">
        <is>
          <t>Indicadores em conformidade</t>
        </is>
      </c>
      <c r="B22" s="20">
        <f>IFERROR(COUNTIF(Indicadores!J2:J201,"Conformidade")*1+COUNTIF(Indicadores!J2:J201,"Não Conformidade")*0+COUNTIF(Indicadores!J2:J201,"Não Conformidade Grave")*-1,"")</f>
        <v/>
      </c>
    </row>
    <row r="23" ht="15.75" customHeight="1" s="55">
      <c r="A23" s="19" t="inlineStr">
        <is>
          <t>Score médio de Indicadores</t>
        </is>
      </c>
      <c r="B23" s="21">
        <f>IFERROR(AVERAGE(Indicadores!O2:O201),0)</f>
        <v/>
      </c>
    </row>
    <row r="24" ht="15.75" customHeight="1" s="55">
      <c r="A24" s="19" t="inlineStr">
        <is>
          <t>% de existência</t>
        </is>
      </c>
      <c r="B24" s="22">
        <f>IFERROR(COUNTIF(Indicadores!G2:G201,"SIM")/COUNTA(Indicadores!G2:G201),0)</f>
        <v/>
      </c>
    </row>
    <row r="25" ht="15.75" customHeight="1" s="55">
      <c r="A25" s="19" t="inlineStr">
        <is>
          <t>% atualizado (automático/manual)</t>
        </is>
      </c>
      <c r="B25" s="22">
        <f>IFERROR((COUNTIF(Indicadores!H2:H201,"Automático")+COUNTIF(Indicadores!H2:H201,"Manual"))/COUNTA(Indicadores!H2:H201),0)</f>
        <v/>
      </c>
    </row>
    <row r="26" ht="15.75" customHeight="1" s="55">
      <c r="A26" s="19" t="inlineStr">
        <is>
          <t>% no padrão</t>
        </is>
      </c>
      <c r="B26" s="22">
        <f>IFERROR(COUNTIF(Indicadores!I2:I201,"SIM")/COUNTA(Indicadores!I2:I201),0)</f>
        <v/>
      </c>
    </row>
    <row r="27" ht="15.75" customHeight="1" s="55"/>
    <row r="28" ht="19.5" customHeight="1" s="55">
      <c r="A28" s="57" t="inlineStr">
        <is>
          <t>TREINAMENTO</t>
        </is>
      </c>
    </row>
    <row r="29" ht="15.75" customHeight="1" s="55">
      <c r="A29" s="19" t="inlineStr">
        <is>
          <t>Itens de treinamento avaliados</t>
        </is>
      </c>
      <c r="B29" s="20">
        <f>COUNT(Treinamento!P2:P4)</f>
        <v/>
      </c>
    </row>
    <row r="30" ht="15.75" customHeight="1" s="55">
      <c r="A30" s="19" t="inlineStr">
        <is>
          <t>Itens de treinamento existentes</t>
        </is>
      </c>
      <c r="B30" s="20">
        <f>COUNTIF(Treinamento!G2:G4,"SIM")</f>
        <v/>
      </c>
    </row>
    <row r="31" ht="15.75" customHeight="1" s="55">
      <c r="A31" s="19" t="inlineStr">
        <is>
          <t>Itens de treinamento atualizados</t>
        </is>
      </c>
      <c r="B31" s="20">
        <f>COUNTIF(Treinamento!H2:H4,"SIM")</f>
        <v/>
      </c>
    </row>
    <row r="32" ht="15.75" customHeight="1" s="55">
      <c r="A32" s="19" t="inlineStr">
        <is>
          <t>Itens de treinamento no padrão</t>
        </is>
      </c>
      <c r="B32" s="20">
        <f>COUNTIF(Treinamento!J2:J4,"SIM")</f>
        <v/>
      </c>
    </row>
    <row r="33" ht="15.75" customHeight="1" s="55">
      <c r="A33" s="19" t="inlineStr">
        <is>
          <t>Itens de treinamento em conformidade</t>
        </is>
      </c>
      <c r="B33" s="20">
        <f>COUNTIF(Treinamento!K2:K4,"Conformidade")</f>
        <v/>
      </c>
    </row>
    <row r="34" ht="15.75" customHeight="1" s="55">
      <c r="A34" s="19" t="inlineStr">
        <is>
          <t>Score médio de Treinamento</t>
        </is>
      </c>
      <c r="B34" s="21">
        <f>IFERROR(AVERAGE(Treinamento!P2:P4),0)</f>
        <v/>
      </c>
    </row>
    <row r="35" ht="15.75" customHeight="1" s="55">
      <c r="A35" s="19" t="inlineStr">
        <is>
          <t>% de existência</t>
        </is>
      </c>
      <c r="B35" s="22">
        <f>IFERROR(COUNTIF(Treinamento!G2:G4,"SIM")/COUNTA(Treinamento!G2:G4),0)</f>
        <v/>
      </c>
    </row>
    <row r="36" ht="15.75" customHeight="1" s="55">
      <c r="A36" s="19" t="inlineStr">
        <is>
          <t>% atualizado</t>
        </is>
      </c>
      <c r="B36" s="22">
        <f>IFERROR(COUNTIF(Treinamento!H2:H4,"SIM")/COUNTIF(Treinamento!H2:H4,"&lt;&gt;N/A"),0)</f>
        <v/>
      </c>
    </row>
    <row r="37" ht="15.75" customHeight="1" s="55">
      <c r="A37" s="19" t="inlineStr">
        <is>
          <t>% no padrão</t>
        </is>
      </c>
      <c r="B37" s="22">
        <f>IFERROR(COUNTIF(Treinamento!J2:J4,"SIM")/COUNTIF(Treinamento!J2:J4,"&lt;&gt;N/A"),0)</f>
        <v/>
      </c>
    </row>
    <row r="38" ht="15.75" customHeight="1" s="55"/>
    <row r="39" ht="19.5" customHeight="1" s="55">
      <c r="A39" s="57" t="inlineStr">
        <is>
          <t>QUALIDADE</t>
        </is>
      </c>
    </row>
    <row r="40" ht="15.75" customHeight="1" s="55">
      <c r="A40" s="19" t="inlineStr">
        <is>
          <t>Itens de qualidade avaliados</t>
        </is>
      </c>
      <c r="B40" s="20">
        <f>COUNT(Qualidade!P2:P4)</f>
        <v/>
      </c>
    </row>
    <row r="41" ht="15.75" customHeight="1" s="55">
      <c r="A41" s="19" t="inlineStr">
        <is>
          <t>Itens de qualidade existentes</t>
        </is>
      </c>
      <c r="B41" s="20">
        <f>COUNTIF(Qualidade!G2:G4,"SIM")</f>
        <v/>
      </c>
    </row>
    <row r="42" ht="15.75" customHeight="1" s="55">
      <c r="A42" s="19" t="inlineStr">
        <is>
          <t>Itens de qualidade atualizados</t>
        </is>
      </c>
      <c r="B42" s="20">
        <f>COUNTIF(Qualidade!H2:H4,"SIM")</f>
        <v/>
      </c>
    </row>
    <row r="43" ht="15.75" customHeight="1" s="55">
      <c r="A43" s="19" t="inlineStr">
        <is>
          <t>Itens de qualidade no padrão</t>
        </is>
      </c>
      <c r="B43" s="20">
        <f>COUNTIF(Qualidade!J2:J4,"SIM")</f>
        <v/>
      </c>
    </row>
    <row r="44" ht="15.75" customHeight="1" s="55">
      <c r="A44" s="19" t="inlineStr">
        <is>
          <t>Itens de qualidade em conformidade</t>
        </is>
      </c>
      <c r="B44" s="20">
        <f>COUNTIF(Qualidade!K2:K4,"Conformidade")</f>
        <v/>
      </c>
    </row>
    <row r="45" ht="15.75" customHeight="1" s="55">
      <c r="A45" s="19" t="inlineStr">
        <is>
          <t>Score médio de Qualidade</t>
        </is>
      </c>
      <c r="B45" s="21">
        <f>IFERROR(AVERAGE(Qualidade!P2:P4),0)</f>
        <v/>
      </c>
    </row>
    <row r="46" ht="15.75" customHeight="1" s="55">
      <c r="A46" s="19" t="inlineStr">
        <is>
          <t>% de existência</t>
        </is>
      </c>
      <c r="B46" s="22">
        <f>IFERROR(COUNTIF(Qualidade!G2:G4,"SIM")/COUNTA(Qualidade!G2:G4),0)</f>
        <v/>
      </c>
    </row>
    <row r="47" ht="15.75" customHeight="1" s="55"/>
    <row r="48" ht="19.5" customHeight="1" s="55">
      <c r="A48" s="57" t="inlineStr">
        <is>
          <t>SCORE GERAL DE MATURIDADE (Documentação + Indicadores + Treinamento + Qualidade)</t>
        </is>
      </c>
    </row>
    <row r="49" ht="15.75" customHeight="1" s="55">
      <c r="A49" s="19" t="inlineStr">
        <is>
          <t>Score Documentação</t>
        </is>
      </c>
      <c r="B49" s="21">
        <f>B9</f>
        <v/>
      </c>
    </row>
    <row r="50" ht="15.75" customHeight="1" s="55">
      <c r="A50" s="19" t="inlineStr">
        <is>
          <t>Score Indicadores</t>
        </is>
      </c>
      <c r="B50" s="21">
        <f>B23</f>
        <v/>
      </c>
    </row>
    <row r="51" ht="15.75" customHeight="1" s="55">
      <c r="A51" s="19" t="inlineStr">
        <is>
          <t>Score Treinamento</t>
        </is>
      </c>
      <c r="B51" s="21">
        <f>B34</f>
        <v/>
      </c>
    </row>
    <row r="52" ht="15.75" customHeight="1" s="55">
      <c r="A52" s="19" t="inlineStr">
        <is>
          <t>Score Qualidade</t>
        </is>
      </c>
      <c r="B52" s="21">
        <f>B45</f>
        <v/>
      </c>
    </row>
    <row r="53" ht="15.75" customHeight="1" s="55"/>
    <row r="54" ht="15.75" customHeight="1" s="55">
      <c r="A54" s="23" t="inlineStr">
        <is>
          <t>SCORE GERAL DE MATURIDADE</t>
        </is>
      </c>
      <c r="B54" s="24">
        <f>IFERROR(AVERAGE(B49:B52),0)</f>
        <v/>
      </c>
    </row>
    <row r="55" ht="15.75" customHeight="1" s="55"/>
    <row r="56" ht="15.75" customHeight="1" s="55"/>
    <row r="57" ht="15.75" customHeight="1" s="55"/>
    <row r="58" ht="15.75" customHeight="1" s="55"/>
    <row r="59" ht="15.75" customHeight="1" s="55"/>
    <row r="60" ht="15.75" customHeight="1" s="55"/>
    <row r="61" ht="15.75" customHeight="1" s="55"/>
    <row r="62" ht="15.75" customHeight="1" s="55"/>
    <row r="63" ht="15.75" customHeight="1" s="55"/>
    <row r="64" ht="15.75" customHeight="1" s="55"/>
    <row r="65" ht="15.75" customHeight="1" s="55"/>
    <row r="66" ht="15.75" customHeight="1" s="55"/>
    <row r="67" ht="15.75" customHeight="1" s="55"/>
    <row r="68" ht="15.75" customHeight="1" s="55"/>
    <row r="69" ht="15.75" customHeight="1" s="55"/>
    <row r="70" ht="15.75" customHeight="1" s="55"/>
    <row r="71" ht="15.75" customHeight="1" s="55"/>
    <row r="72" ht="15.75" customHeight="1" s="55"/>
    <row r="73" ht="15.75" customHeight="1" s="55"/>
    <row r="74" ht="15.75" customHeight="1" s="55"/>
    <row r="75" ht="15.75" customHeight="1" s="55"/>
    <row r="76" ht="15.75" customHeight="1" s="55"/>
    <row r="77" ht="15.75" customHeight="1" s="55"/>
    <row r="78" ht="15.75" customHeight="1" s="55"/>
    <row r="79" ht="15.75" customHeight="1" s="55"/>
    <row r="80" ht="15.75" customHeight="1" s="55"/>
    <row r="81" ht="15.75" customHeight="1" s="55"/>
    <row r="82" ht="15.75" customHeight="1" s="55"/>
    <row r="83" ht="15.75" customHeight="1" s="55"/>
    <row r="84" ht="15.75" customHeight="1" s="55"/>
    <row r="85" ht="15.75" customHeight="1" s="55"/>
    <row r="86" ht="15.75" customHeight="1" s="55"/>
    <row r="87" ht="15.75" customHeight="1" s="55"/>
    <row r="88" ht="15.75" customHeight="1" s="55"/>
    <row r="89" ht="15.75" customHeight="1" s="55"/>
    <row r="90" ht="15.75" customHeight="1" s="55"/>
    <row r="91" ht="15.75" customHeight="1" s="55"/>
    <row r="92" ht="15.75" customHeight="1" s="55"/>
    <row r="93" ht="15.75" customHeight="1" s="55"/>
    <row r="94" ht="15.75" customHeight="1" s="55"/>
    <row r="95" ht="15.75" customHeight="1" s="55"/>
    <row r="96" ht="15.75" customHeight="1" s="55"/>
    <row r="97" ht="15.75" customHeight="1" s="55"/>
    <row r="98" ht="15.75" customHeight="1" s="55"/>
    <row r="99" ht="15.75" customHeight="1" s="55"/>
    <row r="100" ht="15.75" customHeight="1" s="55"/>
    <row r="101" ht="15.75" customHeight="1" s="55"/>
    <row r="102" ht="15.75" customHeight="1" s="55"/>
    <row r="103" ht="15.75" customHeight="1" s="55"/>
    <row r="104" ht="15.75" customHeight="1" s="55"/>
    <row r="105" ht="15.75" customHeight="1" s="55"/>
    <row r="106" ht="15.75" customHeight="1" s="55"/>
    <row r="107" ht="15.75" customHeight="1" s="55"/>
    <row r="108" ht="15.75" customHeight="1" s="55"/>
    <row r="109" ht="15.75" customHeight="1" s="55"/>
    <row r="110" ht="15.75" customHeight="1" s="55"/>
    <row r="111" ht="15.75" customHeight="1" s="55"/>
    <row r="112" ht="15.75" customHeight="1" s="55"/>
    <row r="113" ht="15.75" customHeight="1" s="55"/>
    <row r="114" ht="15.75" customHeight="1" s="55"/>
    <row r="115" ht="15.75" customHeight="1" s="55"/>
    <row r="116" ht="15.75" customHeight="1" s="55"/>
    <row r="117" ht="15.75" customHeight="1" s="55"/>
    <row r="118" ht="15.75" customHeight="1" s="55"/>
    <row r="119" ht="15.75" customHeight="1" s="55"/>
    <row r="120" ht="15.75" customHeight="1" s="55"/>
    <row r="121" ht="15.75" customHeight="1" s="55"/>
    <row r="122" ht="15.75" customHeight="1" s="55"/>
    <row r="123" ht="15.75" customHeight="1" s="55"/>
    <row r="124" ht="15.75" customHeight="1" s="55"/>
    <row r="125" ht="15.75" customHeight="1" s="55"/>
    <row r="126" ht="15.75" customHeight="1" s="55"/>
    <row r="127" ht="15.75" customHeight="1" s="55"/>
    <row r="128" ht="15.75" customHeight="1" s="55"/>
    <row r="129" ht="15.75" customHeight="1" s="55"/>
    <row r="130" ht="15.75" customHeight="1" s="55"/>
    <row r="131" ht="15.75" customHeight="1" s="55"/>
    <row r="132" ht="15.75" customHeight="1" s="55"/>
    <row r="133" ht="15.75" customHeight="1" s="55"/>
    <row r="134" ht="15.75" customHeight="1" s="55"/>
    <row r="135" ht="15.75" customHeight="1" s="55"/>
    <row r="136" ht="15.75" customHeight="1" s="55"/>
    <row r="137" ht="15.75" customHeight="1" s="55"/>
    <row r="138" ht="15.75" customHeight="1" s="55"/>
    <row r="139" ht="15.75" customHeight="1" s="55"/>
    <row r="140" ht="15.75" customHeight="1" s="55"/>
    <row r="141" ht="15.75" customHeight="1" s="55"/>
    <row r="142" ht="15.75" customHeight="1" s="55"/>
    <row r="143" ht="15.75" customHeight="1" s="55"/>
    <row r="144" ht="15.75" customHeight="1" s="55"/>
    <row r="145" ht="15.75" customHeight="1" s="55"/>
    <row r="146" ht="15.75" customHeight="1" s="55"/>
    <row r="147" ht="15.75" customHeight="1" s="55"/>
    <row r="148" ht="15.75" customHeight="1" s="55"/>
    <row r="149" ht="15.75" customHeight="1" s="55"/>
    <row r="150" ht="15.75" customHeight="1" s="55"/>
    <row r="151" ht="15.75" customHeight="1" s="55"/>
    <row r="152" ht="15.75" customHeight="1" s="55"/>
    <row r="153" ht="15.75" customHeight="1" s="55"/>
    <row r="154" ht="15.75" customHeight="1" s="55"/>
    <row r="155" ht="15.75" customHeight="1" s="55"/>
    <row r="156" ht="15.75" customHeight="1" s="55"/>
    <row r="157" ht="15.75" customHeight="1" s="55"/>
    <row r="158" ht="15.75" customHeight="1" s="55"/>
    <row r="159" ht="15.75" customHeight="1" s="55"/>
    <row r="160" ht="15.75" customHeight="1" s="55"/>
    <row r="161" ht="15.75" customHeight="1" s="55"/>
    <row r="162" ht="15.75" customHeight="1" s="55"/>
    <row r="163" ht="15.75" customHeight="1" s="55"/>
    <row r="164" ht="15.75" customHeight="1" s="55"/>
    <row r="165" ht="15.75" customHeight="1" s="55"/>
    <row r="166" ht="15.75" customHeight="1" s="55"/>
    <row r="167" ht="15.75" customHeight="1" s="55"/>
    <row r="168" ht="15.75" customHeight="1" s="55"/>
    <row r="169" ht="15.75" customHeight="1" s="55"/>
    <row r="170" ht="15.75" customHeight="1" s="55"/>
    <row r="171" ht="15.75" customHeight="1" s="55"/>
    <row r="172" ht="15.75" customHeight="1" s="55"/>
    <row r="173" ht="15.75" customHeight="1" s="55"/>
    <row r="174" ht="15.75" customHeight="1" s="55"/>
    <row r="175" ht="15.75" customHeight="1" s="55"/>
    <row r="176" ht="15.75" customHeight="1" s="55"/>
    <row r="177" ht="15.75" customHeight="1" s="55"/>
    <row r="178" ht="15.75" customHeight="1" s="55"/>
    <row r="179" ht="15.75" customHeight="1" s="55"/>
    <row r="180" ht="15.75" customHeight="1" s="55"/>
    <row r="181" ht="15.75" customHeight="1" s="55"/>
    <row r="182" ht="15.75" customHeight="1" s="55"/>
    <row r="183" ht="15.75" customHeight="1" s="55"/>
    <row r="184" ht="15.75" customHeight="1" s="55"/>
    <row r="185" ht="15.75" customHeight="1" s="55"/>
    <row r="186" ht="15.75" customHeight="1" s="55"/>
    <row r="187" ht="15.75" customHeight="1" s="55"/>
    <row r="188" ht="15.75" customHeight="1" s="55"/>
    <row r="189" ht="15.75" customHeight="1" s="55"/>
    <row r="190" ht="15.75" customHeight="1" s="55"/>
    <row r="191" ht="15.75" customHeight="1" s="55"/>
    <row r="192" ht="15.75" customHeight="1" s="55"/>
    <row r="193" ht="15.75" customHeight="1" s="55"/>
    <row r="194" ht="15.75" customHeight="1" s="55"/>
    <row r="195" ht="15.75" customHeight="1" s="55"/>
    <row r="196" ht="15.75" customHeight="1" s="55"/>
    <row r="197" ht="15.75" customHeight="1" s="55"/>
    <row r="198" ht="15.75" customHeight="1" s="55"/>
    <row r="199" ht="15.75" customHeight="1" s="55"/>
    <row r="200" ht="15.75" customHeight="1" s="55"/>
    <row r="201" ht="15.75" customHeight="1" s="55"/>
    <row r="202" ht="15.75" customHeight="1" s="55"/>
    <row r="203" ht="15.75" customHeight="1" s="55"/>
    <row r="204" ht="15.75" customHeight="1" s="55"/>
    <row r="205" ht="15.75" customHeight="1" s="55"/>
    <row r="206" ht="15.75" customHeight="1" s="55"/>
    <row r="207" ht="15.75" customHeight="1" s="55"/>
    <row r="208" ht="15.75" customHeight="1" s="55"/>
    <row r="209" ht="15.75" customHeight="1" s="55"/>
    <row r="210" ht="15.75" customHeight="1" s="55"/>
    <row r="211" ht="15.75" customHeight="1" s="55"/>
    <row r="212" ht="15.75" customHeight="1" s="55"/>
    <row r="213" ht="15.75" customHeight="1" s="55"/>
    <row r="214" ht="15.75" customHeight="1" s="55"/>
    <row r="215" ht="15.75" customHeight="1" s="55"/>
    <row r="216" ht="15.75" customHeight="1" s="55"/>
    <row r="217" ht="15.75" customHeight="1" s="55"/>
    <row r="218" ht="15.75" customHeight="1" s="55"/>
    <row r="219" ht="15.75" customHeight="1" s="55"/>
    <row r="220" ht="15.75" customHeight="1" s="55"/>
    <row r="221" ht="15.75" customHeight="1" s="55"/>
    <row r="222" ht="15.75" customHeight="1" s="55"/>
    <row r="223" ht="15.75" customHeight="1" s="55"/>
    <row r="224" ht="15.75" customHeight="1" s="55"/>
    <row r="225" ht="15.75" customHeight="1" s="55"/>
    <row r="226" ht="15.75" customHeight="1" s="55"/>
    <row r="227" ht="15.75" customHeight="1" s="55"/>
    <row r="228" ht="15.75" customHeight="1" s="55"/>
    <row r="229" ht="15.75" customHeight="1" s="55"/>
    <row r="230" ht="15.75" customHeight="1" s="55"/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mergeCells count="6">
    <mergeCell ref="A1:H1"/>
    <mergeCell ref="D12:H15"/>
    <mergeCell ref="A48:E48"/>
    <mergeCell ref="A28:B28"/>
    <mergeCell ref="A17:B17"/>
    <mergeCell ref="A39:B39"/>
  </mergeCells>
  <conditionalFormatting sqref="B9">
    <cfRule type="cellIs" priority="2" operator="lessThan" dxfId="2">
      <formula>26</formula>
    </cfRule>
    <cfRule type="cellIs" priority="3" operator="between" dxfId="1">
      <formula>26</formula>
      <formula>75</formula>
    </cfRule>
    <cfRule type="cellIs" priority="4" operator="greaterThanOrEqual" dxfId="0">
      <formula>76</formula>
    </cfRule>
  </conditionalFormatting>
  <conditionalFormatting sqref="B23">
    <cfRule type="cellIs" priority="5" operator="lessThan" dxfId="2">
      <formula>26</formula>
    </cfRule>
    <cfRule type="cellIs" priority="6" operator="between" dxfId="1">
      <formula>26</formula>
      <formula>75</formula>
    </cfRule>
    <cfRule type="cellIs" priority="7" operator="greaterThanOrEqual" dxfId="0">
      <formula>76</formula>
    </cfRule>
  </conditionalFormatting>
  <conditionalFormatting sqref="B34">
    <cfRule type="cellIs" priority="8" operator="lessThan" dxfId="2">
      <formula>26</formula>
    </cfRule>
    <cfRule type="cellIs" priority="9" operator="between" dxfId="1">
      <formula>26</formula>
      <formula>75</formula>
    </cfRule>
    <cfRule type="cellIs" priority="10" operator="greaterThanOrEqual" dxfId="0">
      <formula>76</formula>
    </cfRule>
  </conditionalFormatting>
  <conditionalFormatting sqref="B45">
    <cfRule type="cellIs" priority="11" operator="lessThan" dxfId="2">
      <formula>26</formula>
    </cfRule>
    <cfRule type="cellIs" priority="12" operator="between" dxfId="1">
      <formula>26</formula>
      <formula>75</formula>
    </cfRule>
    <cfRule type="cellIs" priority="13" operator="greaterThanOrEqual" dxfId="0">
      <formula>76</formula>
    </cfRule>
  </conditionalFormatting>
  <conditionalFormatting sqref="B48:B52">
    <cfRule type="cellIs" priority="14" operator="lessThan" dxfId="2">
      <formula>26</formula>
    </cfRule>
    <cfRule type="cellIs" priority="15" operator="between" dxfId="1">
      <formula>26</formula>
      <formula>75</formula>
    </cfRule>
    <cfRule type="cellIs" priority="16" operator="greaterThanOrEqual" dxfId="0">
      <formula>76</formula>
    </cfRule>
  </conditionalFormatting>
  <conditionalFormatting sqref="B54">
    <cfRule type="cellIs" priority="29" operator="lessThan" dxfId="2">
      <formula>26</formula>
    </cfRule>
    <cfRule type="cellIs" priority="30" operator="between" dxfId="1">
      <formula>26</formula>
      <formula>75</formula>
    </cfRule>
    <cfRule type="cellIs" priority="31" operator="greaterThanOrEqual" dxfId="0">
      <formula>76</formula>
    </cfRule>
  </conditionalFormatting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"/>
  <sheetViews>
    <sheetView topLeftCell="A25" zoomScaleNormal="100" workbookViewId="0">
      <selection activeCell="A39" sqref="A39"/>
    </sheetView>
  </sheetViews>
  <sheetFormatPr baseColWidth="8" defaultColWidth="23.85546875" defaultRowHeight="15"/>
  <cols>
    <col width="24.5703125" bestFit="1" customWidth="1" style="55" min="1" max="1"/>
    <col width="84.28515625" bestFit="1" customWidth="1" style="55" min="2" max="2"/>
    <col width="9.28515625" bestFit="1" customWidth="1" style="55" min="3" max="3"/>
    <col width="14.85546875" bestFit="1" customWidth="1" style="55" min="4" max="4"/>
    <col width="65" bestFit="1" customWidth="1" style="55" min="5" max="5"/>
    <col width="23" bestFit="1" customWidth="1" style="55" min="6" max="6"/>
  </cols>
  <sheetData>
    <row r="1" ht="17.45" customHeight="1" s="55">
      <c r="A1" s="54" t="inlineStr">
        <is>
          <t>CRITÉRIOS E REGRAS DE PREENCHIMENTO</t>
        </is>
      </c>
    </row>
    <row r="3" ht="15" customHeight="1" s="55">
      <c r="A3" s="25" t="inlineStr">
        <is>
          <t>Campo</t>
        </is>
      </c>
      <c r="B3" s="25" t="inlineStr">
        <is>
          <t>O que registrar</t>
        </is>
      </c>
      <c r="C3" s="25" t="inlineStr">
        <is>
          <t>Tipo</t>
        </is>
      </c>
      <c r="D3" s="25" t="inlineStr">
        <is>
          <t>Obrigatório?</t>
        </is>
      </c>
      <c r="E3" s="25" t="inlineStr">
        <is>
          <t>Regra</t>
        </is>
      </c>
      <c r="F3" s="25" t="inlineStr">
        <is>
          <t>Exemplo</t>
        </is>
      </c>
    </row>
    <row r="4" ht="15" customHeight="1" s="55">
      <c r="A4" s="4" t="inlineStr">
        <is>
          <t>Data da avaliação</t>
        </is>
      </c>
      <c r="B4" s="4" t="inlineStr">
        <is>
          <t>Data em que a análise foi realizada.</t>
        </is>
      </c>
      <c r="C4" s="4" t="inlineStr">
        <is>
          <t>Data</t>
        </is>
      </c>
      <c r="D4" s="4" t="inlineStr">
        <is>
          <t>Sim</t>
        </is>
      </c>
      <c r="E4" s="4" t="inlineStr">
        <is>
          <t>Usar dd/mm/aaaa.</t>
        </is>
      </c>
      <c r="F4" s="4" t="inlineStr">
        <is>
          <t>11/08/2026</t>
        </is>
      </c>
    </row>
    <row r="5" ht="15" customHeight="1" s="55">
      <c r="A5" s="4" t="inlineStr">
        <is>
          <t>Operação</t>
        </is>
      </c>
      <c r="B5" s="4" t="inlineStr">
        <is>
          <t>Nome da operação analisada.</t>
        </is>
      </c>
      <c r="C5" s="4" t="inlineStr">
        <is>
          <t>Texto</t>
        </is>
      </c>
      <c r="D5" s="4" t="inlineStr">
        <is>
          <t>Sim</t>
        </is>
      </c>
      <c r="E5" s="4" t="inlineStr">
        <is>
          <t>Padronizar nomenclatura.</t>
        </is>
      </c>
      <c r="F5" s="4" t="inlineStr">
        <is>
          <t>Operação A</t>
        </is>
      </c>
    </row>
    <row r="6" ht="15" customHeight="1" s="55">
      <c r="A6" s="4" t="inlineStr">
        <is>
          <t>Processo avaliado</t>
        </is>
      </c>
      <c r="B6" s="4" t="inlineStr">
        <is>
          <t>Processo ao qual a documentação pertence.</t>
        </is>
      </c>
      <c r="C6" s="4" t="inlineStr">
        <is>
          <t>Texto</t>
        </is>
      </c>
      <c r="D6" s="4" t="inlineStr">
        <is>
          <t>Sim</t>
        </is>
      </c>
      <c r="E6" s="4" t="inlineStr">
        <is>
          <t>Um processo pode ter vários documentos.</t>
        </is>
      </c>
      <c r="F6" s="4" t="inlineStr">
        <is>
          <t>Admissão</t>
        </is>
      </c>
    </row>
    <row r="7" ht="15" customHeight="1" s="55">
      <c r="A7" s="4" t="inlineStr">
        <is>
          <t>Documentação</t>
        </is>
      </c>
      <c r="B7" s="4" t="inlineStr">
        <is>
          <t>Nome do documento analisado.</t>
        </is>
      </c>
      <c r="C7" s="4" t="inlineStr">
        <is>
          <t>Texto</t>
        </is>
      </c>
      <c r="D7" s="4" t="inlineStr">
        <is>
          <t>Sim</t>
        </is>
      </c>
      <c r="E7" s="4" t="inlineStr">
        <is>
          <t>Uma linha por documento.</t>
        </is>
      </c>
      <c r="F7" s="4" t="inlineStr">
        <is>
          <t>POP - Admissão</t>
        </is>
      </c>
    </row>
    <row r="8" ht="28.35" customHeight="1" s="55">
      <c r="A8" s="4" t="inlineStr">
        <is>
          <t>Quantidade</t>
        </is>
      </c>
      <c r="B8" s="4" t="inlineStr">
        <is>
          <t>Quantidade/volumetria relacionada ao processo ou documentação.</t>
        </is>
      </c>
      <c r="C8" s="4" t="inlineStr">
        <is>
          <t>Número</t>
        </is>
      </c>
      <c r="D8" s="4" t="inlineStr">
        <is>
          <t>Sim</t>
        </is>
      </c>
      <c r="E8" s="4" t="inlineStr">
        <is>
          <t>Use para análises de cobertura e ponderação futura.</t>
        </is>
      </c>
      <c r="F8" s="4" t="inlineStr">
        <is>
          <t>3</t>
        </is>
      </c>
    </row>
    <row r="9" ht="28.35" customHeight="1" s="55">
      <c r="A9" s="4" t="inlineStr">
        <is>
          <t>Existência</t>
        </is>
      </c>
      <c r="B9" s="4" t="inlineStr">
        <is>
          <t>Se existe documentação suficiente para a necessidade avaliada.</t>
        </is>
      </c>
      <c r="C9" s="4" t="inlineStr">
        <is>
          <t>SIM/NÃO</t>
        </is>
      </c>
      <c r="D9" s="4" t="inlineStr">
        <is>
          <t>Sim</t>
        </is>
      </c>
      <c r="E9" s="4" t="inlineStr">
        <is>
          <t>SIM = existe; NÃO = não existe.</t>
        </is>
      </c>
      <c r="F9" s="4" t="inlineStr">
        <is>
          <t>SIM</t>
        </is>
      </c>
    </row>
    <row r="10" ht="15" customHeight="1" s="55">
      <c r="A10" s="4" t="inlineStr">
        <is>
          <t>Atualização</t>
        </is>
      </c>
      <c r="B10" s="4" t="inlineStr">
        <is>
          <t>Se a documentação está vigente/atualizada.</t>
        </is>
      </c>
      <c r="C10" s="4" t="inlineStr">
        <is>
          <t>SIM/NÃO</t>
        </is>
      </c>
      <c r="D10" s="4" t="inlineStr">
        <is>
          <t>Sim</t>
        </is>
      </c>
      <c r="E10" s="4" t="inlineStr">
        <is>
          <t>Avaliar conforme periodicidade ou necessidade definida.</t>
        </is>
      </c>
      <c r="F10" s="4" t="inlineStr">
        <is>
          <t>SIM</t>
        </is>
      </c>
    </row>
    <row r="11" ht="15" customHeight="1" s="55">
      <c r="A11" s="4" t="inlineStr">
        <is>
          <t>Última atualização</t>
        </is>
      </c>
      <c r="B11" s="4" t="inlineStr">
        <is>
          <t>Data da última revisão/atualização conhecida.</t>
        </is>
      </c>
      <c r="C11" s="4" t="inlineStr">
        <is>
          <t>Data</t>
        </is>
      </c>
      <c r="D11" s="4" t="inlineStr">
        <is>
          <t>Quando houver</t>
        </is>
      </c>
      <c r="E11" s="4" t="inlineStr">
        <is>
          <t>Se não houver registro, deixar em branco e avaliar Atualização.</t>
        </is>
      </c>
      <c r="F11" s="4" t="inlineStr">
        <is>
          <t>05/06/2026</t>
        </is>
      </c>
    </row>
    <row r="12" ht="28.35" customHeight="1" s="55">
      <c r="A12" s="4" t="inlineStr">
        <is>
          <t>No padrão?</t>
        </is>
      </c>
      <c r="B12" s="4" t="inlineStr">
        <is>
          <t>Se atende ao padrão documental definido pela empresa.</t>
        </is>
      </c>
      <c r="C12" s="4" t="inlineStr">
        <is>
          <t>SIM/NÃO</t>
        </is>
      </c>
      <c r="D12" s="4" t="inlineStr">
        <is>
          <t>Sim</t>
        </is>
      </c>
      <c r="E12" s="4" t="inlineStr">
        <is>
          <t>Considerar template, identificação, aprovação, versionamento etc.</t>
        </is>
      </c>
      <c r="F12" s="4" t="inlineStr">
        <is>
          <t>NÃO</t>
        </is>
      </c>
    </row>
    <row r="13" ht="15" customHeight="1" s="55">
      <c r="A13" s="4" t="inlineStr">
        <is>
          <t>Score Documentação</t>
        </is>
      </c>
      <c r="B13" s="4" t="inlineStr">
        <is>
          <t>Resultado automático.</t>
        </is>
      </c>
      <c r="C13" s="4" t="inlineStr">
        <is>
          <t>Fórmula</t>
        </is>
      </c>
      <c r="D13" s="4" t="inlineStr">
        <is>
          <t>Automático</t>
        </is>
      </c>
      <c r="E13" s="4" t="inlineStr">
        <is>
          <t>Média de Existência, Atualização e Padrão × 100.</t>
        </is>
      </c>
      <c r="F13" s="4" t="inlineStr">
        <is>
          <t>67</t>
        </is>
      </c>
    </row>
    <row r="14" ht="28.35" customHeight="1" s="55">
      <c r="A14" s="56" t="inlineStr">
        <is>
          <t>Conforme?</t>
        </is>
      </c>
      <c r="B14" s="56" t="inlineStr">
        <is>
          <t>Não Conformidade Grave, Não Conformidade Pontual , Conformidade</t>
        </is>
      </c>
      <c r="C14" s="56" t="n"/>
      <c r="D14" s="56" t="n"/>
      <c r="E14" s="56" t="n"/>
      <c r="F14" s="56" t="n"/>
    </row>
    <row r="15" ht="15" customHeight="1" s="55">
      <c r="A15" s="56" t="inlineStr">
        <is>
          <t>Observação</t>
        </is>
      </c>
      <c r="B15" s="56" t="inlineStr">
        <is>
          <t>Texto livre para definir especificidades</t>
        </is>
      </c>
      <c r="C15" s="56" t="inlineStr">
        <is>
          <t>Texto</t>
        </is>
      </c>
      <c r="D15" s="56" t="inlineStr">
        <is>
          <t>Sim</t>
        </is>
      </c>
    </row>
    <row r="17" ht="19.5" customHeight="1" s="55">
      <c r="A17" s="58" t="inlineStr">
        <is>
          <t>INDICADORES</t>
        </is>
      </c>
    </row>
    <row r="18" ht="15" customHeight="1" s="55">
      <c r="A18" s="26" t="inlineStr">
        <is>
          <t>Nome_Indicador</t>
        </is>
      </c>
      <c r="B18" s="26" t="inlineStr">
        <is>
          <t>Nome do indicador avaliado.</t>
        </is>
      </c>
      <c r="C18" s="26" t="inlineStr">
        <is>
          <t>Texto</t>
        </is>
      </c>
      <c r="D18" s="26" t="inlineStr">
        <is>
          <t>Sim</t>
        </is>
      </c>
      <c r="E18" s="26" t="inlineStr">
        <is>
          <t>Um indicador por linha.</t>
        </is>
      </c>
      <c r="F18" s="26" t="inlineStr">
        <is>
          <t>Taxa de Absenteísmo</t>
        </is>
      </c>
    </row>
    <row r="19" ht="28.35" customHeight="1" s="55">
      <c r="A19" s="26" t="inlineStr">
        <is>
          <t>Existe indicador?</t>
        </is>
      </c>
      <c r="B19" s="26" t="inlineStr">
        <is>
          <t>Se existe indicador formalizado para o processo/área avaliada.</t>
        </is>
      </c>
      <c r="C19" s="26" t="inlineStr">
        <is>
          <t>SIM/NÃO</t>
        </is>
      </c>
      <c r="D19" s="26" t="inlineStr">
        <is>
          <t>Sim</t>
        </is>
      </c>
      <c r="E19" s="26" t="inlineStr">
        <is>
          <t>SIM = existe; NÃO = não existe.</t>
        </is>
      </c>
      <c r="F19" s="26" t="inlineStr">
        <is>
          <t>SIM</t>
        </is>
      </c>
    </row>
    <row r="20" ht="41.85" customHeight="1" s="55">
      <c r="A20" s="26" t="inlineStr">
        <is>
          <t>Como é atualizado?</t>
        </is>
      </c>
      <c r="B20" s="26" t="inlineStr">
        <is>
          <t>Forma como o indicador é atualizado.</t>
        </is>
      </c>
      <c r="C20" s="26" t="inlineStr">
        <is>
          <t>Lista</t>
        </is>
      </c>
      <c r="D20" s="26" t="inlineStr">
        <is>
          <t>Sim</t>
        </is>
      </c>
      <c r="E20" s="26" t="inlineStr">
        <is>
          <t>Automático = atualização via sistema/BI; Manual = planilha/atualização manual; Não atualizado = sem rotina de atualização.</t>
        </is>
      </c>
      <c r="F20" s="26" t="inlineStr">
        <is>
          <t>Automático</t>
        </is>
      </c>
    </row>
    <row r="21" ht="15.75" customHeight="1" s="55">
      <c r="A21" s="26" t="inlineStr">
        <is>
          <t>No padrão?</t>
        </is>
      </c>
      <c r="B21" s="26" t="inlineStr">
        <is>
          <t>Se o indicador segue o padrão definido (meta, periodicidade, dono, fórmula documentada).</t>
        </is>
      </c>
      <c r="C21" s="26" t="inlineStr">
        <is>
          <t>SIM/NÃO</t>
        </is>
      </c>
      <c r="D21" s="26" t="inlineStr">
        <is>
          <t>Sim</t>
        </is>
      </c>
      <c r="E21" s="26" t="inlineStr">
        <is>
          <t>Considerar meta, periodicidade e responsável definidos.</t>
        </is>
      </c>
      <c r="F21" s="26" t="inlineStr">
        <is>
          <t>SIM</t>
        </is>
      </c>
    </row>
    <row r="22" ht="15.75" customHeight="1" s="55">
      <c r="A22" s="26" t="inlineStr">
        <is>
          <t>Score Indicadores</t>
        </is>
      </c>
      <c r="B22" s="26" t="inlineStr">
        <is>
          <t>Resultado automático.</t>
        </is>
      </c>
      <c r="C22" s="26" t="inlineStr">
        <is>
          <t>Fórmula</t>
        </is>
      </c>
      <c r="D22" s="26" t="inlineStr">
        <is>
          <t>Automático</t>
        </is>
      </c>
      <c r="E22" s="26" t="inlineStr">
        <is>
          <t>Média de Existência, Atualização, Padrão e Conformidade × 100.</t>
        </is>
      </c>
      <c r="F22" s="26" t="inlineStr">
        <is>
          <t>75</t>
        </is>
      </c>
    </row>
    <row r="23" ht="15.75" customHeight="1" s="55"/>
    <row r="24" ht="19.5" customHeight="1" s="55">
      <c r="A24" s="58" t="inlineStr">
        <is>
          <t>TREINAMENTO</t>
        </is>
      </c>
    </row>
    <row r="25">
      <c r="A25" s="26" t="inlineStr">
        <is>
          <t>Nome_Treinamento</t>
        </is>
      </c>
      <c r="B25" s="26" t="inlineStr">
        <is>
          <t>Nome do treinamento avaliado.</t>
        </is>
      </c>
      <c r="C25" s="26" t="inlineStr">
        <is>
          <t>Texto</t>
        </is>
      </c>
      <c r="D25" s="26" t="inlineStr">
        <is>
          <t>Sim</t>
        </is>
      </c>
      <c r="E25" s="26" t="inlineStr">
        <is>
          <t>Um treinamento por linha.</t>
        </is>
      </c>
      <c r="F25" s="26" t="inlineStr">
        <is>
          <t>Treinamento - Admissão</t>
        </is>
      </c>
    </row>
    <row r="26" ht="45" customHeight="1" s="55">
      <c r="A26" s="26" t="inlineStr">
        <is>
          <t>Treinamento está coerente aos documentos?</t>
        </is>
      </c>
      <c r="B26" s="26" t="inlineStr">
        <is>
          <t>Se o conteúdo do treinamento reflete o que está documentado (POP/Política).</t>
        </is>
      </c>
      <c r="C26" s="26" t="inlineStr">
        <is>
          <t>SIM/NÃO</t>
        </is>
      </c>
      <c r="D26" s="26" t="inlineStr">
        <is>
          <t>Sim</t>
        </is>
      </c>
      <c r="E26" s="26" t="inlineStr">
        <is>
          <t>Comparar treinamento vigente com a documentação vigente.</t>
        </is>
      </c>
      <c r="F26" s="26" t="inlineStr">
        <is>
          <t>SIM</t>
        </is>
      </c>
    </row>
    <row r="27" ht="15.75" customHeight="1" s="55">
      <c r="A27" s="26" t="inlineStr">
        <is>
          <t>Treinamento foi aplicado?</t>
        </is>
      </c>
      <c r="B27" s="26" t="inlineStr">
        <is>
          <t>Se o treinamento foi de fato aplicado ao time.</t>
        </is>
      </c>
      <c r="C27" s="26" t="inlineStr">
        <is>
          <t>SIM/NÃO</t>
        </is>
      </c>
      <c r="D27" s="26" t="inlineStr">
        <is>
          <t>Sim</t>
        </is>
      </c>
      <c r="E27" s="26" t="inlineStr">
        <is>
          <t>Considerar evidência de aplicação (lista de presença, LMS etc.).</t>
        </is>
      </c>
      <c r="F27" s="26" t="inlineStr">
        <is>
          <t>SIM</t>
        </is>
      </c>
    </row>
    <row r="28">
      <c r="A28" s="26" t="inlineStr">
        <is>
          <t>Houve atualização?</t>
        </is>
      </c>
      <c r="B28" s="26" t="inlineStr">
        <is>
          <t>Se o treinamento foi atualizado após a última mudança no processo/documento.</t>
        </is>
      </c>
      <c r="C28" s="26" t="inlineStr">
        <is>
          <t>SIM/NÃO</t>
        </is>
      </c>
      <c r="D28" s="26" t="inlineStr">
        <is>
          <t>Sim</t>
        </is>
      </c>
      <c r="E28" s="26" t="inlineStr">
        <is>
          <t>SIM = atualizado após última mudança; NÃO = desatualizado.</t>
        </is>
      </c>
      <c r="F28" s="26" t="inlineStr">
        <is>
          <t>NÃO</t>
        </is>
      </c>
    </row>
    <row r="29" ht="15.75" customHeight="1" s="55">
      <c r="A29" s="26" t="inlineStr">
        <is>
          <t>Score Treinamento</t>
        </is>
      </c>
      <c r="B29" s="26" t="inlineStr">
        <is>
          <t>Resultado automático.</t>
        </is>
      </c>
      <c r="C29" s="26" t="inlineStr">
        <is>
          <t>Fórmula</t>
        </is>
      </c>
      <c r="D29" s="26" t="inlineStr">
        <is>
          <t>Automático</t>
        </is>
      </c>
      <c r="E29" s="26" t="inlineStr">
        <is>
          <t>Média de Coerência, Aplicação, Atualização e Conformidade × 100.</t>
        </is>
      </c>
      <c r="F29" s="26" t="inlineStr">
        <is>
          <t>75</t>
        </is>
      </c>
    </row>
    <row r="30" ht="15.75" customHeight="1" s="55"/>
    <row r="31" ht="19.5" customHeight="1" s="55">
      <c r="A31" s="58" t="inlineStr">
        <is>
          <t>QUALIDADE</t>
        </is>
      </c>
    </row>
    <row r="32" ht="15.75" customHeight="1" s="55">
      <c r="A32" s="26" t="inlineStr">
        <is>
          <t>Processo Monitorado</t>
        </is>
      </c>
      <c r="B32" s="26" t="inlineStr">
        <is>
          <t>Nome do processo objeto da monitoria de qualidade.</t>
        </is>
      </c>
      <c r="C32" s="26" t="inlineStr">
        <is>
          <t>Texto</t>
        </is>
      </c>
      <c r="D32" s="26" t="inlineStr">
        <is>
          <t>Sim</t>
        </is>
      </c>
      <c r="E32" s="26" t="inlineStr">
        <is>
          <t>Uma linha por processo monitorado.</t>
        </is>
      </c>
      <c r="F32" s="26" t="inlineStr">
        <is>
          <t>Admissão</t>
        </is>
      </c>
    </row>
    <row r="33" ht="30" customHeight="1" s="55">
      <c r="A33" s="26" t="inlineStr">
        <is>
          <t>Foram feitas monitorias de qualidade?</t>
        </is>
      </c>
      <c r="B33" s="26" t="inlineStr">
        <is>
          <t>Se existe rotina de monitoria de qualidade para o processo.</t>
        </is>
      </c>
      <c r="C33" s="26" t="inlineStr">
        <is>
          <t>SIM/NÃO</t>
        </is>
      </c>
      <c r="D33" s="26" t="inlineStr">
        <is>
          <t>Sim</t>
        </is>
      </c>
      <c r="E33" s="26" t="inlineStr">
        <is>
          <t>SIM = existe monitoria; NÃO = não existe.</t>
        </is>
      </c>
      <c r="F33" s="26" t="inlineStr">
        <is>
          <t>SIM</t>
        </is>
      </c>
    </row>
    <row r="34" ht="30" customHeight="1" s="55">
      <c r="A34" s="26" t="inlineStr">
        <is>
          <t>Como são feitas as monitorias?</t>
        </is>
      </c>
      <c r="B34" s="26" t="inlineStr">
        <is>
          <t>Abrangência da monitoria realizada.</t>
        </is>
      </c>
      <c r="C34" s="26" t="inlineStr">
        <is>
          <t>Lista</t>
        </is>
      </c>
      <c r="D34" s="26" t="inlineStr">
        <is>
          <t>Sim</t>
        </is>
      </c>
      <c r="E34" s="26" t="inlineStr">
        <is>
          <t>Integral = 100% dos casos; Amostral = por amostragem; Não realizada = sem monitoria.</t>
        </is>
      </c>
      <c r="F34" s="26" t="inlineStr">
        <is>
          <t>Amostral</t>
        </is>
      </c>
    </row>
    <row r="35" ht="15.75" customHeight="1" s="55">
      <c r="A35" s="26" t="inlineStr">
        <is>
          <t>Score Qualidade</t>
        </is>
      </c>
      <c r="B35" s="26" t="inlineStr">
        <is>
          <t>Resultado automático.</t>
        </is>
      </c>
      <c r="C35" s="26" t="inlineStr">
        <is>
          <t>Fórmula</t>
        </is>
      </c>
      <c r="D35" s="26" t="inlineStr">
        <is>
          <t>Automático</t>
        </is>
      </c>
      <c r="E35" s="26" t="inlineStr">
        <is>
          <t>Média de Existência, Abrangência e Conformidade × 100.</t>
        </is>
      </c>
      <c r="F35" s="26" t="inlineStr">
        <is>
          <t>75</t>
        </is>
      </c>
    </row>
    <row r="36" ht="15.75" customHeight="1" s="55"/>
    <row r="37" ht="15.75" customHeight="1" s="55"/>
    <row r="38" ht="15.75" customHeight="1" s="55"/>
    <row r="39" ht="15.75" customHeight="1" s="55"/>
    <row r="40" ht="15.75" customHeight="1" s="55"/>
    <row r="41" ht="15.75" customHeight="1" s="55"/>
    <row r="42" ht="15.75" customHeight="1" s="55"/>
    <row r="43" ht="15.75" customHeight="1" s="55"/>
    <row r="44" ht="15.75" customHeight="1" s="55"/>
    <row r="45" ht="15.75" customHeight="1" s="55"/>
    <row r="46" ht="15.75" customHeight="1" s="55"/>
    <row r="47" ht="15.75" customHeight="1" s="55"/>
    <row r="48" ht="15.75" customHeight="1" s="55"/>
    <row r="49" ht="15.75" customHeight="1" s="55"/>
    <row r="50" ht="15.75" customHeight="1" s="55"/>
    <row r="51" ht="15.75" customHeight="1" s="55"/>
    <row r="52" ht="15.75" customHeight="1" s="55"/>
    <row r="53" ht="15.75" customHeight="1" s="55"/>
    <row r="54" ht="15.75" customHeight="1" s="55"/>
    <row r="55" ht="15.75" customHeight="1" s="55"/>
    <row r="56" ht="15.75" customHeight="1" s="55"/>
    <row r="57" ht="15.75" customHeight="1" s="55"/>
    <row r="58" ht="15.75" customHeight="1" s="55"/>
    <row r="59" ht="15.75" customHeight="1" s="55"/>
    <row r="60" ht="15.75" customHeight="1" s="55"/>
    <row r="61" ht="15.75" customHeight="1" s="55"/>
    <row r="62" ht="15.75" customHeight="1" s="55"/>
    <row r="63" ht="15.75" customHeight="1" s="55"/>
    <row r="64" ht="15.75" customHeight="1" s="55"/>
    <row r="65" ht="15.75" customHeight="1" s="55"/>
    <row r="66" ht="15.75" customHeight="1" s="55"/>
    <row r="67" ht="15.75" customHeight="1" s="55"/>
    <row r="68" ht="15.75" customHeight="1" s="55"/>
    <row r="69" ht="15.75" customHeight="1" s="55"/>
    <row r="70" ht="15.75" customHeight="1" s="55"/>
    <row r="71" ht="15.75" customHeight="1" s="55"/>
    <row r="72" ht="15.75" customHeight="1" s="55"/>
    <row r="73" ht="15.75" customHeight="1" s="55"/>
    <row r="74" ht="15.75" customHeight="1" s="55"/>
    <row r="75" ht="15.75" customHeight="1" s="55"/>
    <row r="76" ht="15.75" customHeight="1" s="55"/>
    <row r="77" ht="15.75" customHeight="1" s="55"/>
    <row r="78" ht="15.75" customHeight="1" s="55"/>
    <row r="79" ht="15.75" customHeight="1" s="55"/>
    <row r="80" ht="15.75" customHeight="1" s="55"/>
    <row r="81" ht="15.75" customHeight="1" s="55"/>
    <row r="82" ht="15.75" customHeight="1" s="55"/>
    <row r="83" ht="15.75" customHeight="1" s="55"/>
    <row r="84" ht="15.75" customHeight="1" s="55"/>
    <row r="85" ht="15.75" customHeight="1" s="55"/>
    <row r="86" ht="15.75" customHeight="1" s="55"/>
    <row r="87" ht="15.75" customHeight="1" s="55"/>
    <row r="88" ht="15.75" customHeight="1" s="55"/>
    <row r="89" ht="15.75" customHeight="1" s="55"/>
    <row r="90" ht="15.75" customHeight="1" s="55"/>
    <row r="91" ht="15.75" customHeight="1" s="55"/>
    <row r="92" ht="15.75" customHeight="1" s="55"/>
    <row r="93" ht="15.75" customHeight="1" s="55"/>
    <row r="94" ht="15.75" customHeight="1" s="55"/>
    <row r="95" ht="15.75" customHeight="1" s="55"/>
    <row r="96" ht="15.75" customHeight="1" s="55"/>
    <row r="97" ht="15.75" customHeight="1" s="55"/>
    <row r="98" ht="15.75" customHeight="1" s="55"/>
    <row r="99" ht="15.75" customHeight="1" s="55"/>
    <row r="100" ht="15.75" customHeight="1" s="55"/>
    <row r="101" ht="15.75" customHeight="1" s="55"/>
    <row r="102" ht="15.75" customHeight="1" s="55"/>
    <row r="103" ht="15.75" customHeight="1" s="55"/>
    <row r="104" ht="15.75" customHeight="1" s="55"/>
    <row r="105" ht="15.75" customHeight="1" s="55"/>
    <row r="106" ht="15.75" customHeight="1" s="55"/>
    <row r="107" ht="15.75" customHeight="1" s="55"/>
    <row r="108" ht="15.75" customHeight="1" s="55"/>
    <row r="109" ht="15.75" customHeight="1" s="55"/>
    <row r="110" ht="15.75" customHeight="1" s="55"/>
    <row r="111" ht="15.75" customHeight="1" s="55"/>
    <row r="112" ht="15.75" customHeight="1" s="55"/>
    <row r="113" ht="15.75" customHeight="1" s="55"/>
    <row r="114" ht="15.75" customHeight="1" s="55"/>
    <row r="115" ht="15.75" customHeight="1" s="55"/>
    <row r="116" ht="15.75" customHeight="1" s="55"/>
    <row r="117" ht="15.75" customHeight="1" s="55"/>
    <row r="118" ht="15.75" customHeight="1" s="55"/>
    <row r="119" ht="15.75" customHeight="1" s="55"/>
    <row r="120" ht="15.75" customHeight="1" s="55"/>
    <row r="121" ht="15.75" customHeight="1" s="55"/>
    <row r="122" ht="15.75" customHeight="1" s="55"/>
    <row r="123" ht="15.75" customHeight="1" s="55"/>
    <row r="124" ht="15.75" customHeight="1" s="55"/>
    <row r="125" ht="15.75" customHeight="1" s="55"/>
    <row r="126" ht="15.75" customHeight="1" s="55"/>
    <row r="127" ht="15.75" customHeight="1" s="55"/>
    <row r="128" ht="15.75" customHeight="1" s="55"/>
    <row r="129" ht="15.75" customHeight="1" s="55"/>
    <row r="130" ht="15.75" customHeight="1" s="55"/>
    <row r="131" ht="15.75" customHeight="1" s="55"/>
    <row r="132" ht="15.75" customHeight="1" s="55"/>
    <row r="133" ht="15.75" customHeight="1" s="55"/>
    <row r="134" ht="15.75" customHeight="1" s="55"/>
    <row r="135" ht="15.75" customHeight="1" s="55"/>
    <row r="136" ht="15.75" customHeight="1" s="55"/>
    <row r="137" ht="15.75" customHeight="1" s="55"/>
    <row r="138" ht="15.75" customHeight="1" s="55"/>
    <row r="139" ht="15.75" customHeight="1" s="55"/>
    <row r="140" ht="15.75" customHeight="1" s="55"/>
    <row r="141" ht="15.75" customHeight="1" s="55"/>
    <row r="142" ht="15.75" customHeight="1" s="55"/>
    <row r="143" ht="15.75" customHeight="1" s="55"/>
    <row r="144" ht="15.75" customHeight="1" s="55"/>
    <row r="145" ht="15.75" customHeight="1" s="55"/>
    <row r="146" ht="15.75" customHeight="1" s="55"/>
    <row r="147" ht="15.75" customHeight="1" s="55"/>
    <row r="148" ht="15.75" customHeight="1" s="55"/>
    <row r="149" ht="15.75" customHeight="1" s="55"/>
    <row r="150" ht="15.75" customHeight="1" s="55"/>
    <row r="151" ht="15.75" customHeight="1" s="55"/>
    <row r="152" ht="15.75" customHeight="1" s="55"/>
    <row r="153" ht="15.75" customHeight="1" s="55"/>
    <row r="154" ht="15.75" customHeight="1" s="55"/>
    <row r="155" ht="15.75" customHeight="1" s="55"/>
    <row r="156" ht="15.75" customHeight="1" s="55"/>
    <row r="157" ht="15.75" customHeight="1" s="55"/>
    <row r="158" ht="15.75" customHeight="1" s="55"/>
    <row r="159" ht="15.75" customHeight="1" s="55"/>
    <row r="160" ht="15.75" customHeight="1" s="55"/>
    <row r="161" ht="15.75" customHeight="1" s="55"/>
    <row r="162" ht="15.75" customHeight="1" s="55"/>
    <row r="163" ht="15.75" customHeight="1" s="55"/>
    <row r="164" ht="15.75" customHeight="1" s="55"/>
    <row r="165" ht="15.75" customHeight="1" s="55"/>
    <row r="166" ht="15.75" customHeight="1" s="55"/>
    <row r="167" ht="15.75" customHeight="1" s="55"/>
    <row r="168" ht="15.75" customHeight="1" s="55"/>
    <row r="169" ht="15.75" customHeight="1" s="55"/>
    <row r="170" ht="15.75" customHeight="1" s="55"/>
    <row r="171" ht="15.75" customHeight="1" s="55"/>
    <row r="172" ht="15.75" customHeight="1" s="55"/>
    <row r="173" ht="15.75" customHeight="1" s="55"/>
    <row r="174" ht="15.75" customHeight="1" s="55"/>
    <row r="175" ht="15.75" customHeight="1" s="55"/>
    <row r="176" ht="15.75" customHeight="1" s="55"/>
    <row r="177" ht="15.75" customHeight="1" s="55"/>
    <row r="178" ht="15.75" customHeight="1" s="55"/>
    <row r="179" ht="15.75" customHeight="1" s="55"/>
    <row r="180" ht="15.75" customHeight="1" s="55"/>
    <row r="181" ht="15.75" customHeight="1" s="55"/>
    <row r="182" ht="15.75" customHeight="1" s="55"/>
    <row r="183" ht="15.75" customHeight="1" s="55"/>
    <row r="184" ht="15.75" customHeight="1" s="55"/>
    <row r="185" ht="15.75" customHeight="1" s="55"/>
    <row r="186" ht="15.75" customHeight="1" s="55"/>
    <row r="187" ht="15.75" customHeight="1" s="55"/>
    <row r="188" ht="15.75" customHeight="1" s="55"/>
    <row r="189" ht="15.75" customHeight="1" s="55"/>
    <row r="190" ht="15.75" customHeight="1" s="55"/>
    <row r="191" ht="15.75" customHeight="1" s="55"/>
    <row r="192" ht="15.75" customHeight="1" s="55"/>
    <row r="193" ht="15.75" customHeight="1" s="55"/>
    <row r="194" ht="15.75" customHeight="1" s="55"/>
    <row r="195" ht="15.75" customHeight="1" s="55"/>
    <row r="196" ht="15.75" customHeight="1" s="55"/>
    <row r="197" ht="15.75" customHeight="1" s="55"/>
    <row r="198" ht="15.75" customHeight="1" s="55"/>
    <row r="199" ht="15.75" customHeight="1" s="55"/>
    <row r="200" ht="15.75" customHeight="1" s="55"/>
    <row r="201" ht="15.75" customHeight="1" s="55"/>
    <row r="202" ht="15.75" customHeight="1" s="55"/>
    <row r="203" ht="15.75" customHeight="1" s="55"/>
    <row r="204" ht="15.75" customHeight="1" s="55"/>
    <row r="205" ht="15.75" customHeight="1" s="55"/>
    <row r="206" ht="15.75" customHeight="1" s="55"/>
    <row r="207" ht="15.75" customHeight="1" s="55"/>
    <row r="208" ht="15.75" customHeight="1" s="55"/>
    <row r="209" ht="15.75" customHeight="1" s="55"/>
    <row r="210" ht="15.75" customHeight="1" s="55"/>
    <row r="211" ht="15.75" customHeight="1" s="55"/>
    <row r="212" ht="15.75" customHeight="1" s="55"/>
    <row r="213" ht="15.75" customHeight="1" s="55"/>
    <row r="214" ht="15.75" customHeight="1" s="55"/>
    <row r="215" ht="15.75" customHeight="1" s="55"/>
    <row r="216" ht="15.75" customHeight="1" s="55"/>
    <row r="217" ht="15.75" customHeight="1" s="55"/>
    <row r="218" ht="15.75" customHeight="1" s="55"/>
    <row r="219" ht="15.75" customHeight="1" s="55"/>
    <row r="220" ht="15.75" customHeight="1" s="55"/>
    <row r="221" ht="15.75" customHeight="1" s="55"/>
    <row r="222" ht="15.75" customHeight="1" s="55"/>
    <row r="223" ht="15.75" customHeight="1" s="55"/>
    <row r="224" ht="15.75" customHeight="1" s="55"/>
    <row r="225" ht="15.75" customHeight="1" s="55"/>
    <row r="226" ht="15.75" customHeight="1" s="55"/>
    <row r="227" ht="15.75" customHeight="1" s="55"/>
    <row r="228" ht="15.75" customHeight="1" s="55"/>
    <row r="229" ht="15.75" customHeight="1" s="55"/>
    <row r="230" ht="15.75" customHeight="1" s="55"/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mergeCells count="4">
    <mergeCell ref="A24:F24"/>
    <mergeCell ref="A31:F31"/>
    <mergeCell ref="A1:F1"/>
    <mergeCell ref="A17:F17"/>
  </mergeCells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topLeftCell="C2" zoomScaleNormal="100" workbookViewId="0">
      <selection activeCell="G4" sqref="G4"/>
    </sheetView>
  </sheetViews>
  <sheetFormatPr baseColWidth="8" defaultColWidth="14.42578125" defaultRowHeight="15"/>
  <cols>
    <col width="12" bestFit="1" customWidth="1" style="55" min="1" max="1"/>
    <col width="37.5703125" bestFit="1" customWidth="1" style="55" min="2" max="2"/>
    <col width="39.85546875" bestFit="1" customWidth="1" style="55" min="3" max="3"/>
    <col width="15.85546875" bestFit="1" customWidth="1" style="55" min="4" max="4"/>
    <col width="20.7109375" bestFit="1" customWidth="1" style="55" min="5" max="5"/>
    <col width="9.42578125" bestFit="1" customWidth="1" style="55" min="6" max="6"/>
    <col width="82.42578125" bestFit="1" customWidth="1" style="55" min="7" max="7"/>
    <col width="8.7109375" customWidth="1" style="55" min="8" max="26"/>
  </cols>
  <sheetData>
    <row r="1" ht="17.45" customHeight="1" s="55">
      <c r="A1" s="54" t="inlineStr">
        <is>
          <t>MODELO DE SCORE — BASE PARA EVOLUÇÃO DA MATURIDADE</t>
        </is>
      </c>
    </row>
    <row r="3" ht="15" customHeight="1" s="55">
      <c r="A3" s="25" t="inlineStr">
        <is>
          <t>Dimensão</t>
        </is>
      </c>
      <c r="B3" s="25" t="inlineStr">
        <is>
          <t>Indicador</t>
        </is>
      </c>
      <c r="C3" s="25" t="inlineStr">
        <is>
          <t>Pontuação atual</t>
        </is>
      </c>
      <c r="D3" s="25" t="inlineStr">
        <is>
          <t>Peso sugerido</t>
        </is>
      </c>
      <c r="E3" s="25" t="inlineStr">
        <is>
          <t>Score ponderado</t>
        </is>
      </c>
      <c r="F3" s="25" t="inlineStr">
        <is>
          <t>Fonte</t>
        </is>
      </c>
      <c r="G3" s="25" t="inlineStr">
        <is>
          <t>Observação</t>
        </is>
      </c>
    </row>
    <row r="4" ht="15" customHeight="1" s="55">
      <c r="A4" s="4" t="inlineStr">
        <is>
          <t>Existência</t>
        </is>
      </c>
      <c r="B4" s="4" t="inlineStr">
        <is>
          <t>Existe documentação?</t>
        </is>
      </c>
      <c r="C4" s="4" t="inlineStr">
        <is>
          <t>1 = SIM / 0 = NÃO</t>
        </is>
      </c>
      <c r="D4" s="42" t="n">
        <v>0.3333</v>
      </c>
      <c r="E4" s="42">
        <f>IFERROR(COUNTIF(Documentos!G2:G7,"SIM")/COUNTA(Documentos!G2:G7)*D4,0)</f>
        <v/>
      </c>
      <c r="F4" s="4" t="inlineStr">
        <is>
          <t>Avaliação</t>
        </is>
      </c>
      <c r="G4" s="4" t="inlineStr">
        <is>
          <t>Pode ser refinado para medir cobertura do processo.</t>
        </is>
      </c>
    </row>
    <row r="5" ht="15" customHeight="1" s="55">
      <c r="A5" s="4" t="inlineStr">
        <is>
          <t>Atualização</t>
        </is>
      </c>
      <c r="B5" s="4" t="inlineStr">
        <is>
          <t>Está atualizado?</t>
        </is>
      </c>
      <c r="C5" s="4" t="inlineStr">
        <is>
          <t>1 = SIM / 0 = NÃO</t>
        </is>
      </c>
      <c r="D5" s="42" t="n">
        <v>0.3333</v>
      </c>
      <c r="E5" s="42">
        <f>IFERROR(COUNTIF(Documentos!H2:H7,"SIM")/COUNTA(Documentos!H2:H7)*D5,0)</f>
        <v/>
      </c>
      <c r="F5" s="4" t="inlineStr">
        <is>
          <t>Avaliação</t>
        </is>
      </c>
      <c r="G5" s="4" t="inlineStr">
        <is>
          <t>Pode incorporar faixas por idade da revisão.</t>
        </is>
      </c>
    </row>
    <row r="6" ht="15" customHeight="1" s="55">
      <c r="A6" s="4" t="inlineStr">
        <is>
          <t>Padrão</t>
        </is>
      </c>
      <c r="B6" s="4" t="inlineStr">
        <is>
          <t>Está no padrão?</t>
        </is>
      </c>
      <c r="C6" s="4" t="inlineStr">
        <is>
          <t>1 = SIM / 0 = NÃO</t>
        </is>
      </c>
      <c r="D6" s="42" t="n">
        <v>0.3334</v>
      </c>
      <c r="E6" s="42">
        <f>IFERROR(COUNTIF(Documentos!J2:J7,"SIM")/COUNTA(Documentos!J2:J7)*D6,0)</f>
        <v/>
      </c>
      <c r="F6" s="4" t="inlineStr">
        <is>
          <t>Avaliação</t>
        </is>
      </c>
      <c r="G6" s="4" t="inlineStr">
        <is>
          <t>Pode evoluir para checklist de conformidade.</t>
        </is>
      </c>
    </row>
    <row r="7" ht="28.35" customHeight="1" s="55">
      <c r="A7" s="4" t="inlineStr">
        <is>
          <t>Volumetria</t>
        </is>
      </c>
      <c r="B7" s="4" t="inlineStr">
        <is>
          <t>Quantidade</t>
        </is>
      </c>
      <c r="C7" s="4" t="inlineStr">
        <is>
          <t>Valor registrado</t>
        </is>
      </c>
      <c r="D7" s="4" t="n"/>
      <c r="E7" s="4" t="n"/>
      <c r="F7" s="4" t="inlineStr">
        <is>
          <t>Avaliação</t>
        </is>
      </c>
      <c r="G7" s="4" t="inlineStr">
        <is>
          <t>Não entra no score inicial; recomenda-se usar depois como peso de criticidade/cobertura.</t>
        </is>
      </c>
    </row>
    <row r="8" ht="15" customHeight="1" s="55">
      <c r="E8" s="27" t="inlineStr">
        <is>
          <t>Score consolidado</t>
        </is>
      </c>
      <c r="F8" s="28">
        <f>SUM(E4:E6)*100</f>
        <v/>
      </c>
    </row>
    <row r="10" ht="19.5" customHeight="1" s="55">
      <c r="A10" s="58" t="inlineStr">
        <is>
          <t>INDICADORES — PESO 1/4 DO SCORE GERAL</t>
        </is>
      </c>
    </row>
    <row r="11" ht="15" customHeight="1" s="55">
      <c r="A11" s="26" t="inlineStr">
        <is>
          <t>Existência</t>
        </is>
      </c>
      <c r="B11" s="26" t="inlineStr">
        <is>
          <t>Existe indicador?</t>
        </is>
      </c>
      <c r="C11" s="26" t="inlineStr">
        <is>
          <t>1 = SIM / 0 = NÃO</t>
        </is>
      </c>
      <c r="D11" s="44" t="n">
        <v>0.3333</v>
      </c>
      <c r="E11" s="43">
        <f>IFERROR(COUNTIF(Indicadores!G2:G201,"SIM")/COUNTA(Indicadores!G2:G201)*D11,0)</f>
        <v/>
      </c>
      <c r="F11" s="26" t="inlineStr">
        <is>
          <t>Avaliação</t>
        </is>
      </c>
      <c r="G11" s="26" t="inlineStr">
        <is>
          <t>Indicador formalizado para o processo/área.</t>
        </is>
      </c>
    </row>
    <row r="12" ht="41.85" customHeight="1" s="55">
      <c r="A12" s="26" t="inlineStr">
        <is>
          <t>Atualização</t>
        </is>
      </c>
      <c r="B12" s="26" t="inlineStr">
        <is>
          <t>Como é atualizado?</t>
        </is>
      </c>
      <c r="C12" s="26" t="inlineStr">
        <is>
          <t>1=Automático / 0,5=Manual / 0=Não atualizado</t>
        </is>
      </c>
      <c r="D12" s="44" t="n">
        <v>0.3333</v>
      </c>
      <c r="E12" s="43">
        <f>IFERROR((COUNTIF(Indicadores!H2:H201,"Automático")+COUNTIF(Indicadores!H2:H201,"Manual")*0.5)/COUNTA(Indicadores!H2:H201)*D12,0)</f>
        <v/>
      </c>
      <c r="F12" s="26" t="inlineStr">
        <is>
          <t>Avaliação</t>
        </is>
      </c>
      <c r="G12" s="26" t="inlineStr">
        <is>
          <t>Automação da atualização eleva a maturidade.</t>
        </is>
      </c>
    </row>
    <row r="13" ht="15" customHeight="1" s="55">
      <c r="A13" s="26" t="inlineStr">
        <is>
          <t>Padrão</t>
        </is>
      </c>
      <c r="B13" s="26" t="inlineStr">
        <is>
          <t>Está no padrão?</t>
        </is>
      </c>
      <c r="C13" s="26" t="inlineStr">
        <is>
          <t>1 = SIM / 0 = NÃO</t>
        </is>
      </c>
      <c r="D13" s="44" t="n">
        <v>0.3334</v>
      </c>
      <c r="E13" s="43">
        <f>IFERROR(COUNTIF(Indicadores!I2:I201,"SIM")/COUNTA(Indicadores!I2:I201)*D13,0)</f>
        <v/>
      </c>
      <c r="F13" s="26" t="inlineStr">
        <is>
          <t>Avaliação</t>
        </is>
      </c>
      <c r="G13" s="26" t="inlineStr">
        <is>
          <t>Meta, periodicidade e dono definidos.</t>
        </is>
      </c>
    </row>
    <row r="14" ht="15" customHeight="1" s="55">
      <c r="E14" s="58" t="inlineStr">
        <is>
          <t>Score consolidado</t>
        </is>
      </c>
      <c r="F14" s="29">
        <f>SUM(E11:E13)*100</f>
        <v/>
      </c>
    </row>
    <row r="16" ht="19.5" customHeight="1" s="55">
      <c r="A16" s="58" t="inlineStr">
        <is>
          <t>TREINAMENTO — PESO 1/4 DO SCORE GERAL</t>
        </is>
      </c>
    </row>
    <row r="17" ht="28.35" customHeight="1" s="55">
      <c r="A17" s="26" t="inlineStr">
        <is>
          <t>Coerência</t>
        </is>
      </c>
      <c r="B17" s="26" t="inlineStr">
        <is>
          <t>Treinamento coerente aos documentos?</t>
        </is>
      </c>
      <c r="C17" s="26" t="inlineStr">
        <is>
          <t>1 = SIM / 0 = NÃO</t>
        </is>
      </c>
      <c r="D17" s="44" t="n">
        <v>0.3333</v>
      </c>
      <c r="E17" s="43">
        <f>IFERROR(COUNTIF(Treinamento!G2:G4,"SIM")/COUNTA(Treinamento!G2:G4)*D17,0)</f>
        <v/>
      </c>
      <c r="F17" s="26" t="inlineStr">
        <is>
          <t>Avaliação</t>
        </is>
      </c>
      <c r="G17" s="26" t="inlineStr">
        <is>
          <t>Conteúdo alinhado ao documento vigente.</t>
        </is>
      </c>
    </row>
    <row r="18" ht="15" customHeight="1" s="55">
      <c r="A18" s="26" t="inlineStr">
        <is>
          <t>Aplicação</t>
        </is>
      </c>
      <c r="B18" s="26" t="inlineStr">
        <is>
          <t>Treinamento foi aplicado?</t>
        </is>
      </c>
      <c r="C18" s="26" t="inlineStr">
        <is>
          <t>1 = SIM / 0 = NÃO</t>
        </is>
      </c>
      <c r="D18" s="44" t="n">
        <v>0.3333</v>
      </c>
      <c r="E18" s="43">
        <f>IFERROR(COUNTIF(Treinamento!H2:H4,"SIM")/COUNTA(Treinamento!H2:H4)*D18,0)</f>
        <v/>
      </c>
      <c r="F18" s="26" t="inlineStr">
        <is>
          <t>Avaliação</t>
        </is>
      </c>
      <c r="G18" s="26" t="inlineStr">
        <is>
          <t>Evidência de aplicação ao time.</t>
        </is>
      </c>
    </row>
    <row r="19" ht="15" customHeight="1" s="55">
      <c r="A19" s="26" t="inlineStr">
        <is>
          <t>Atualização</t>
        </is>
      </c>
      <c r="B19" s="26" t="inlineStr">
        <is>
          <t>Houve atualização?</t>
        </is>
      </c>
      <c r="C19" s="26" t="inlineStr">
        <is>
          <t>1 = SIM / 0 = NÃO</t>
        </is>
      </c>
      <c r="D19" s="44" t="n">
        <v>0.3334</v>
      </c>
      <c r="E19" s="43">
        <f>IFERROR(COUNTIF(Treinamento!I2:I4,"SIM")/COUNTA(Treinamento!I2:I4)*D19,0)</f>
        <v/>
      </c>
      <c r="F19" s="26" t="inlineStr">
        <is>
          <t>Avaliação</t>
        </is>
      </c>
      <c r="G19" s="26" t="inlineStr">
        <is>
          <t>Atualizado após última mudança no processo.</t>
        </is>
      </c>
    </row>
    <row r="20" ht="15" customHeight="1" s="55">
      <c r="E20" s="58" t="inlineStr">
        <is>
          <t>Score consolidado</t>
        </is>
      </c>
      <c r="F20" s="29">
        <f>SUM(E17:E19)*100</f>
        <v/>
      </c>
    </row>
    <row r="21" ht="15.75" customHeight="1" s="55"/>
    <row r="22" ht="19.5" customHeight="1" s="55">
      <c r="A22" s="58" t="inlineStr">
        <is>
          <t>QUALIDADE — PESO 1/4 DO SCORE GERAL</t>
        </is>
      </c>
    </row>
    <row r="23" ht="15.75" customHeight="1" s="55">
      <c r="A23" s="26" t="inlineStr">
        <is>
          <t>Existência</t>
        </is>
      </c>
      <c r="B23" s="26" t="inlineStr">
        <is>
          <t>Foram feitas monitorias de qualidade?</t>
        </is>
      </c>
      <c r="C23" s="26" t="inlineStr">
        <is>
          <t>1 = SIM / 0 = NÃO</t>
        </is>
      </c>
      <c r="D23" s="44" t="n">
        <v>0.5</v>
      </c>
      <c r="E23" s="43">
        <f>IFERROR(COUNTIF(Qualidade!G2:G3,"SIM")/COUNTA(Qualidade!G2:G3)*D23,0)</f>
        <v/>
      </c>
      <c r="F23" s="26" t="inlineStr">
        <is>
          <t>Avaliação</t>
        </is>
      </c>
      <c r="G23" s="26" t="inlineStr">
        <is>
          <t>Rotina de monitoria existente.</t>
        </is>
      </c>
    </row>
    <row r="24" ht="15.75" customHeight="1" s="55">
      <c r="A24" s="26" t="inlineStr">
        <is>
          <t>Abrangência</t>
        </is>
      </c>
      <c r="B24" s="26" t="inlineStr">
        <is>
          <t>Como são feitas as monitorias?</t>
        </is>
      </c>
      <c r="C24" s="26" t="inlineStr">
        <is>
          <t>1=Integral / 0,5=Amostral / 0=Não realizada</t>
        </is>
      </c>
      <c r="D24" s="44" t="n">
        <v>0.5</v>
      </c>
      <c r="E24" s="43">
        <f>IFERROR((COUNTIF(Qualidade!H2:H3,"Integral")+COUNTIF(Qualidade!H2:H3,"Amostral")*0.5)/COUNTA(Qualidade!H2:H3)*D24,0)</f>
        <v/>
      </c>
      <c r="F24" s="26" t="inlineStr">
        <is>
          <t>Avaliação</t>
        </is>
      </c>
      <c r="G24" s="26" t="inlineStr">
        <is>
          <t>Monitoria integral indica maior maturidade.</t>
        </is>
      </c>
    </row>
    <row r="25" ht="15.75" customHeight="1" s="55">
      <c r="E25" s="58" t="inlineStr">
        <is>
          <t>Score consolidado</t>
        </is>
      </c>
      <c r="F25" s="29">
        <f>SUM(E23:E24)*100</f>
        <v/>
      </c>
    </row>
    <row r="26" ht="15.75" customHeight="1" s="55"/>
    <row r="27" ht="15.75" customHeight="1" s="55"/>
    <row r="28" ht="15.75" customHeight="1" s="55"/>
    <row r="29" ht="15.75" customHeight="1" s="55"/>
    <row r="30" ht="15.75" customHeight="1" s="55"/>
    <row r="31" ht="15.75" customHeight="1" s="55"/>
    <row r="32" ht="15.75" customHeight="1" s="55"/>
    <row r="33" ht="15.75" customHeight="1" s="55"/>
    <row r="34" ht="15.75" customHeight="1" s="55"/>
    <row r="35" ht="15.75" customHeight="1" s="55"/>
    <row r="36" ht="15.75" customHeight="1" s="55"/>
    <row r="37" ht="15.75" customHeight="1" s="55"/>
    <row r="38" ht="15.75" customHeight="1" s="55"/>
    <row r="39" ht="15.75" customHeight="1" s="55"/>
    <row r="40" ht="15.75" customHeight="1" s="55"/>
    <row r="41" ht="15.75" customHeight="1" s="55"/>
    <row r="42" ht="15.75" customHeight="1" s="55"/>
    <row r="43" ht="15.75" customHeight="1" s="55"/>
    <row r="44" ht="15.75" customHeight="1" s="55"/>
    <row r="45" ht="15.75" customHeight="1" s="55"/>
    <row r="46" ht="15.75" customHeight="1" s="55"/>
    <row r="47" ht="15.75" customHeight="1" s="55"/>
    <row r="48" ht="15.75" customHeight="1" s="55"/>
    <row r="49" ht="15.75" customHeight="1" s="55"/>
    <row r="50" ht="15.75" customHeight="1" s="55"/>
    <row r="51" ht="15.75" customHeight="1" s="55"/>
    <row r="52" ht="15.75" customHeight="1" s="55"/>
    <row r="53" ht="15.75" customHeight="1" s="55"/>
    <row r="54" ht="15.75" customHeight="1" s="55"/>
    <row r="55" ht="15.75" customHeight="1" s="55"/>
    <row r="56" ht="15.75" customHeight="1" s="55"/>
    <row r="57" ht="15.75" customHeight="1" s="55"/>
    <row r="58" ht="15.75" customHeight="1" s="55"/>
    <row r="59" ht="15.75" customHeight="1" s="55"/>
    <row r="60" ht="15.75" customHeight="1" s="55"/>
    <row r="61" ht="15.75" customHeight="1" s="55"/>
    <row r="62" ht="15.75" customHeight="1" s="55"/>
    <row r="63" ht="15.75" customHeight="1" s="55"/>
    <row r="64" ht="15.75" customHeight="1" s="55"/>
    <row r="65" ht="15.75" customHeight="1" s="55"/>
    <row r="66" ht="15.75" customHeight="1" s="55"/>
    <row r="67" ht="15.75" customHeight="1" s="55"/>
    <row r="68" ht="15.75" customHeight="1" s="55"/>
    <row r="69" ht="15.75" customHeight="1" s="55"/>
    <row r="70" ht="15.75" customHeight="1" s="55"/>
    <row r="71" ht="15.75" customHeight="1" s="55"/>
    <row r="72" ht="15.75" customHeight="1" s="55"/>
    <row r="73" ht="15.75" customHeight="1" s="55"/>
    <row r="74" ht="15.75" customHeight="1" s="55"/>
    <row r="75" ht="15.75" customHeight="1" s="55"/>
    <row r="76" ht="15.75" customHeight="1" s="55"/>
    <row r="77" ht="15.75" customHeight="1" s="55"/>
    <row r="78" ht="15.75" customHeight="1" s="55"/>
    <row r="79" ht="15.75" customHeight="1" s="55"/>
    <row r="80" ht="15.75" customHeight="1" s="55"/>
    <row r="81" ht="15.75" customHeight="1" s="55"/>
    <row r="82" ht="15.75" customHeight="1" s="55"/>
    <row r="83" ht="15.75" customHeight="1" s="55"/>
    <row r="84" ht="15.75" customHeight="1" s="55"/>
    <row r="85" ht="15.75" customHeight="1" s="55"/>
    <row r="86" ht="15.75" customHeight="1" s="55"/>
    <row r="87" ht="15.75" customHeight="1" s="55"/>
    <row r="88" ht="15.75" customHeight="1" s="55"/>
    <row r="89" ht="15.75" customHeight="1" s="55"/>
    <row r="90" ht="15.75" customHeight="1" s="55"/>
    <row r="91" ht="15.75" customHeight="1" s="55"/>
    <row r="92" ht="15.75" customHeight="1" s="55"/>
    <row r="93" ht="15.75" customHeight="1" s="55"/>
    <row r="94" ht="15.75" customHeight="1" s="55"/>
    <row r="95" ht="15.75" customHeight="1" s="55"/>
    <row r="96" ht="15.75" customHeight="1" s="55"/>
    <row r="97" ht="15.75" customHeight="1" s="55"/>
    <row r="98" ht="15.75" customHeight="1" s="55"/>
    <row r="99" ht="15.75" customHeight="1" s="55"/>
    <row r="100" ht="15.75" customHeight="1" s="55"/>
    <row r="101" ht="15.75" customHeight="1" s="55"/>
    <row r="102" ht="15.75" customHeight="1" s="55"/>
    <row r="103" ht="15.75" customHeight="1" s="55"/>
    <row r="104" ht="15.75" customHeight="1" s="55"/>
    <row r="105" ht="15.75" customHeight="1" s="55"/>
    <row r="106" ht="15.75" customHeight="1" s="55"/>
    <row r="107" ht="15.75" customHeight="1" s="55"/>
    <row r="108" ht="15.75" customHeight="1" s="55"/>
    <row r="109" ht="15.75" customHeight="1" s="55"/>
    <row r="110" ht="15.75" customHeight="1" s="55"/>
    <row r="111" ht="15.75" customHeight="1" s="55"/>
    <row r="112" ht="15.75" customHeight="1" s="55"/>
    <row r="113" ht="15.75" customHeight="1" s="55"/>
    <row r="114" ht="15.75" customHeight="1" s="55"/>
    <row r="115" ht="15.75" customHeight="1" s="55"/>
    <row r="116" ht="15.75" customHeight="1" s="55"/>
    <row r="117" ht="15.75" customHeight="1" s="55"/>
    <row r="118" ht="15.75" customHeight="1" s="55"/>
    <row r="119" ht="15.75" customHeight="1" s="55"/>
    <row r="120" ht="15.75" customHeight="1" s="55"/>
    <row r="121" ht="15.75" customHeight="1" s="55"/>
    <row r="122" ht="15.75" customHeight="1" s="55"/>
    <row r="123" ht="15.75" customHeight="1" s="55"/>
    <row r="124" ht="15.75" customHeight="1" s="55"/>
    <row r="125" ht="15.75" customHeight="1" s="55"/>
    <row r="126" ht="15.75" customHeight="1" s="55"/>
    <row r="127" ht="15.75" customHeight="1" s="55"/>
    <row r="128" ht="15.75" customHeight="1" s="55"/>
    <row r="129" ht="15.75" customHeight="1" s="55"/>
    <row r="130" ht="15.75" customHeight="1" s="55"/>
    <row r="131" ht="15.75" customHeight="1" s="55"/>
    <row r="132" ht="15.75" customHeight="1" s="55"/>
    <row r="133" ht="15.75" customHeight="1" s="55"/>
    <row r="134" ht="15.75" customHeight="1" s="55"/>
    <row r="135" ht="15.75" customHeight="1" s="55"/>
    <row r="136" ht="15.75" customHeight="1" s="55"/>
    <row r="137" ht="15.75" customHeight="1" s="55"/>
    <row r="138" ht="15.75" customHeight="1" s="55"/>
    <row r="139" ht="15.75" customHeight="1" s="55"/>
    <row r="140" ht="15.75" customHeight="1" s="55"/>
    <row r="141" ht="15.75" customHeight="1" s="55"/>
    <row r="142" ht="15.75" customHeight="1" s="55"/>
    <row r="143" ht="15.75" customHeight="1" s="55"/>
    <row r="144" ht="15.75" customHeight="1" s="55"/>
    <row r="145" ht="15.75" customHeight="1" s="55"/>
    <row r="146" ht="15.75" customHeight="1" s="55"/>
    <row r="147" ht="15.75" customHeight="1" s="55"/>
    <row r="148" ht="15.75" customHeight="1" s="55"/>
    <row r="149" ht="15.75" customHeight="1" s="55"/>
    <row r="150" ht="15.75" customHeight="1" s="55"/>
    <row r="151" ht="15.75" customHeight="1" s="55"/>
    <row r="152" ht="15.75" customHeight="1" s="55"/>
    <row r="153" ht="15.75" customHeight="1" s="55"/>
    <row r="154" ht="15.75" customHeight="1" s="55"/>
    <row r="155" ht="15.75" customHeight="1" s="55"/>
    <row r="156" ht="15.75" customHeight="1" s="55"/>
    <row r="157" ht="15.75" customHeight="1" s="55"/>
    <row r="158" ht="15.75" customHeight="1" s="55"/>
    <row r="159" ht="15.75" customHeight="1" s="55"/>
    <row r="160" ht="15.75" customHeight="1" s="55"/>
    <row r="161" ht="15.75" customHeight="1" s="55"/>
    <row r="162" ht="15.75" customHeight="1" s="55"/>
    <row r="163" ht="15.75" customHeight="1" s="55"/>
    <row r="164" ht="15.75" customHeight="1" s="55"/>
    <row r="165" ht="15.75" customHeight="1" s="55"/>
    <row r="166" ht="15.75" customHeight="1" s="55"/>
    <row r="167" ht="15.75" customHeight="1" s="55"/>
    <row r="168" ht="15.75" customHeight="1" s="55"/>
    <row r="169" ht="15.75" customHeight="1" s="55"/>
    <row r="170" ht="15.75" customHeight="1" s="55"/>
    <row r="171" ht="15.75" customHeight="1" s="55"/>
    <row r="172" ht="15.75" customHeight="1" s="55"/>
    <row r="173" ht="15.75" customHeight="1" s="55"/>
    <row r="174" ht="15.75" customHeight="1" s="55"/>
    <row r="175" ht="15.75" customHeight="1" s="55"/>
    <row r="176" ht="15.75" customHeight="1" s="55"/>
    <row r="177" ht="15.75" customHeight="1" s="55"/>
    <row r="178" ht="15.75" customHeight="1" s="55"/>
    <row r="179" ht="15.75" customHeight="1" s="55"/>
    <row r="180" ht="15.75" customHeight="1" s="55"/>
    <row r="181" ht="15.75" customHeight="1" s="55"/>
    <row r="182" ht="15.75" customHeight="1" s="55"/>
    <row r="183" ht="15.75" customHeight="1" s="55"/>
    <row r="184" ht="15.75" customHeight="1" s="55"/>
    <row r="185" ht="15.75" customHeight="1" s="55"/>
    <row r="186" ht="15.75" customHeight="1" s="55"/>
    <row r="187" ht="15.75" customHeight="1" s="55"/>
    <row r="188" ht="15.75" customHeight="1" s="55"/>
    <row r="189" ht="15.75" customHeight="1" s="55"/>
    <row r="190" ht="15.75" customHeight="1" s="55"/>
    <row r="191" ht="15.75" customHeight="1" s="55"/>
    <row r="192" ht="15.75" customHeight="1" s="55"/>
    <row r="193" ht="15.75" customHeight="1" s="55"/>
    <row r="194" ht="15.75" customHeight="1" s="55"/>
    <row r="195" ht="15.75" customHeight="1" s="55"/>
    <row r="196" ht="15.75" customHeight="1" s="55"/>
    <row r="197" ht="15.75" customHeight="1" s="55"/>
    <row r="198" ht="15.75" customHeight="1" s="55"/>
    <row r="199" ht="15.75" customHeight="1" s="55"/>
    <row r="200" ht="15.75" customHeight="1" s="55"/>
    <row r="201" ht="15.75" customHeight="1" s="55"/>
    <row r="202" ht="15.75" customHeight="1" s="55"/>
    <row r="203" ht="15.75" customHeight="1" s="55"/>
    <row r="204" ht="15.75" customHeight="1" s="55"/>
    <row r="205" ht="15.75" customHeight="1" s="55"/>
    <row r="206" ht="15.75" customHeight="1" s="55"/>
    <row r="207" ht="15.75" customHeight="1" s="55"/>
    <row r="208" ht="15.75" customHeight="1" s="55"/>
    <row r="209" ht="15.75" customHeight="1" s="55"/>
    <row r="210" ht="15.75" customHeight="1" s="55"/>
    <row r="211" ht="15.75" customHeight="1" s="55"/>
    <row r="212" ht="15.75" customHeight="1" s="55"/>
    <row r="213" ht="15.75" customHeight="1" s="55"/>
    <row r="214" ht="15.75" customHeight="1" s="55"/>
    <row r="215" ht="15.75" customHeight="1" s="55"/>
    <row r="216" ht="15.75" customHeight="1" s="55"/>
    <row r="217" ht="15.75" customHeight="1" s="55"/>
    <row r="218" ht="15.75" customHeight="1" s="55"/>
    <row r="219" ht="15.75" customHeight="1" s="55"/>
    <row r="220" ht="15.75" customHeight="1" s="55"/>
    <row r="221" ht="15.75" customHeight="1" s="55"/>
    <row r="222" ht="15.75" customHeight="1" s="55"/>
    <row r="223" ht="15.75" customHeight="1" s="55"/>
    <row r="224" ht="15.75" customHeight="1" s="55"/>
    <row r="225" ht="15.75" customHeight="1" s="55"/>
    <row r="226" ht="15.75" customHeight="1" s="55"/>
    <row r="227" ht="15.75" customHeight="1" s="55"/>
    <row r="228" ht="15.75" customHeight="1" s="55"/>
    <row r="229" ht="15.75" customHeight="1" s="55"/>
    <row r="230" ht="15.75" customHeight="1" s="55"/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mergeCells count="4">
    <mergeCell ref="A16:G16"/>
    <mergeCell ref="A22:G22"/>
    <mergeCell ref="A1:G1"/>
    <mergeCell ref="A10:G10"/>
  </mergeCell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"/>
  <sheetViews>
    <sheetView zoomScaleNormal="100" workbookViewId="0">
      <selection activeCell="A20" sqref="A20:F20"/>
    </sheetView>
  </sheetViews>
  <sheetFormatPr baseColWidth="8" defaultColWidth="14.42578125" defaultRowHeight="15"/>
  <cols>
    <col width="22" customWidth="1" style="55" min="1" max="1"/>
    <col width="28" customWidth="1" style="55" min="2" max="2"/>
    <col width="85" customWidth="1" style="55" min="3" max="3"/>
    <col width="15" customWidth="1" style="55" min="4" max="6"/>
    <col width="8.7109375" customWidth="1" style="55" min="7" max="26"/>
  </cols>
  <sheetData>
    <row r="1" ht="17.45" customHeight="1" s="55">
      <c r="A1" s="54" t="inlineStr">
        <is>
          <t>COMO UTILIZAR O FORMULÁRIO</t>
        </is>
      </c>
    </row>
    <row r="3" ht="15" customHeight="1" s="55">
      <c r="A3" s="4" t="inlineStr">
        <is>
          <t>1</t>
        </is>
      </c>
      <c r="B3" s="4" t="inlineStr">
        <is>
          <t>Defina a operação</t>
        </is>
      </c>
      <c r="C3" s="4" t="inlineStr">
        <is>
          <t>Informe a operação que será avaliada.</t>
        </is>
      </c>
    </row>
    <row r="4" ht="15" customHeight="1" s="55">
      <c r="A4" s="4" t="inlineStr">
        <is>
          <t>2</t>
        </is>
      </c>
      <c r="B4" s="4" t="inlineStr">
        <is>
          <t>Liste os processos</t>
        </is>
      </c>
      <c r="C4" s="4" t="inlineStr">
        <is>
          <t>Registre cada processo que será objeto da análise.</t>
        </is>
      </c>
    </row>
    <row r="5" ht="28.35" customHeight="1" s="55">
      <c r="A5" s="4" t="inlineStr">
        <is>
          <t>3</t>
        </is>
      </c>
      <c r="B5" s="4" t="inlineStr">
        <is>
          <t>Registre as documentações</t>
        </is>
      </c>
      <c r="C5" s="4" t="inlineStr">
        <is>
          <t>Para cada documento, use uma nova linha. Se um processo possuir 3 documentos, serão 3 linhas para o mesmo processo.</t>
        </is>
      </c>
    </row>
    <row r="6" ht="15" customHeight="1" s="55">
      <c r="A6" s="4" t="inlineStr">
        <is>
          <t>4</t>
        </is>
      </c>
      <c r="B6" s="4" t="inlineStr">
        <is>
          <t>Avalie cada documento</t>
        </is>
      </c>
      <c r="C6" s="4" t="inlineStr">
        <is>
          <t>Preencha Existência, Atualização, Última atualização e No padrão?.</t>
        </is>
      </c>
    </row>
    <row r="7" ht="28.35" customHeight="1" s="55">
      <c r="A7" s="4" t="inlineStr">
        <is>
          <t>5</t>
        </is>
      </c>
      <c r="B7" s="4" t="inlineStr">
        <is>
          <t>Observe a volumetria</t>
        </is>
      </c>
      <c r="C7" s="4" t="inlineStr">
        <is>
          <t>Use Quantidade para registrar a dimensão do processo/documentação. Essa informação ficará disponível para o score de cobertura/criticidade em uma etapa posterior.</t>
        </is>
      </c>
    </row>
    <row r="8" ht="15" customHeight="1" s="55">
      <c r="A8" s="4" t="inlineStr">
        <is>
          <t>6</t>
        </is>
      </c>
      <c r="B8" s="4" t="inlineStr">
        <is>
          <t>Consulte o resumo</t>
        </is>
      </c>
      <c r="C8" s="4" t="inlineStr">
        <is>
          <t>A aba Resumo consolida os principais indicadores e o score documental.</t>
        </is>
      </c>
    </row>
    <row r="10" ht="15" customHeight="1" s="55">
      <c r="A10" s="30" t="inlineStr">
        <is>
          <t>Estrutura recomendada</t>
        </is>
      </c>
    </row>
    <row r="11" ht="55.15" customHeight="1" s="55">
      <c r="A11" s="31" t="inlineStr">
        <is>
          <t>1 Processo → 1 ou N Documentações → 1 avaliação por documentação</t>
        </is>
      </c>
    </row>
    <row r="13" ht="15" customHeight="1" s="55">
      <c r="A13" s="32" t="inlineStr">
        <is>
          <t>Novos módulos</t>
        </is>
      </c>
    </row>
    <row r="14" ht="28.35" customHeight="1" s="55">
      <c r="A14" s="33" t="inlineStr">
        <is>
          <t>7</t>
        </is>
      </c>
      <c r="B14" s="33" t="inlineStr">
        <is>
          <t>Preencha Indicadores</t>
        </is>
      </c>
      <c r="C14" s="34" t="inlineStr">
        <is>
          <t>Aba "Indicadores": para cada indicador do processo, informe se existe, como é atualizado (Automático/Manual/Não atualizado) e se está no padrão.</t>
        </is>
      </c>
    </row>
    <row r="15" ht="28.35" customHeight="1" s="55">
      <c r="A15" s="33" t="inlineStr">
        <is>
          <t>8</t>
        </is>
      </c>
      <c r="B15" s="33" t="inlineStr">
        <is>
          <t>Preencha Treinamento</t>
        </is>
      </c>
      <c r="C15" s="34" t="inlineStr">
        <is>
          <t>Aba "Treinamento": para cada treinamento, informe se está coerente aos documentos, se foi aplicado e se houve atualização.</t>
        </is>
      </c>
    </row>
    <row r="16" ht="28.35" customHeight="1" s="55">
      <c r="A16" s="33" t="inlineStr">
        <is>
          <t>9</t>
        </is>
      </c>
      <c r="B16" s="33" t="inlineStr">
        <is>
          <t>Preencha Qualidade</t>
        </is>
      </c>
      <c r="C16" s="34" t="inlineStr">
        <is>
          <t>Aba "Qualidade": para cada processo, informe se há monitoria de qualidade e como ela é feita (Integral/Amostral/Não realizada).</t>
        </is>
      </c>
    </row>
    <row r="17" ht="28.35" customHeight="1" s="55">
      <c r="A17" s="33" t="inlineStr">
        <is>
          <t>10</t>
        </is>
      </c>
      <c r="B17" s="33" t="inlineStr">
        <is>
          <t>Consulte o Score Geral</t>
        </is>
      </c>
      <c r="C17" s="34" t="inlineStr">
        <is>
          <t>A aba Resumo agora consolida o Score Documentação, Indicadores, Treinamento e Qualidade em um "Score Geral de Maturidade" (média dos 4 pilares).</t>
        </is>
      </c>
    </row>
    <row r="19" ht="15" customHeight="1" s="55">
      <c r="A19" s="35" t="n"/>
    </row>
    <row r="20" ht="45" customHeight="1" s="55">
      <c r="A20" s="59" t="n"/>
    </row>
    <row r="21" ht="15.75" customHeight="1" s="55"/>
    <row r="22" ht="15.75" customHeight="1" s="55"/>
    <row r="23" ht="15.75" customHeight="1" s="55"/>
    <row r="24" ht="15.75" customHeight="1" s="55"/>
    <row r="25" ht="15.75" customHeight="1" s="55"/>
    <row r="26" ht="15.75" customHeight="1" s="55"/>
    <row r="27" ht="15.75" customHeight="1" s="55"/>
    <row r="28" ht="15.75" customHeight="1" s="55"/>
    <row r="29" ht="15.75" customHeight="1" s="55"/>
    <row r="30" ht="15.75" customHeight="1" s="55"/>
    <row r="31" ht="15.75" customHeight="1" s="55"/>
    <row r="32" ht="15.75" customHeight="1" s="55"/>
    <row r="33" ht="15.75" customHeight="1" s="55"/>
    <row r="34" ht="15.75" customHeight="1" s="55"/>
    <row r="35" ht="15.75" customHeight="1" s="55"/>
    <row r="36" ht="15.75" customHeight="1" s="55"/>
    <row r="37" ht="15.75" customHeight="1" s="55"/>
    <row r="38" ht="15.75" customHeight="1" s="55"/>
    <row r="39" ht="15.75" customHeight="1" s="55"/>
    <row r="40" ht="15.75" customHeight="1" s="55"/>
    <row r="41" ht="15.75" customHeight="1" s="55"/>
    <row r="42" ht="15.75" customHeight="1" s="55"/>
    <row r="43" ht="15.75" customHeight="1" s="55"/>
    <row r="44" ht="15.75" customHeight="1" s="55"/>
    <row r="45" ht="15.75" customHeight="1" s="55"/>
    <row r="46" ht="15.75" customHeight="1" s="55"/>
    <row r="47" ht="15.75" customHeight="1" s="55"/>
    <row r="48" ht="15.75" customHeight="1" s="55"/>
    <row r="49" ht="15.75" customHeight="1" s="55"/>
    <row r="50" ht="15.75" customHeight="1" s="55"/>
    <row r="51" ht="15.75" customHeight="1" s="55"/>
    <row r="52" ht="15.75" customHeight="1" s="55"/>
    <row r="53" ht="15.75" customHeight="1" s="55"/>
    <row r="54" ht="15.75" customHeight="1" s="55"/>
    <row r="55" ht="15.75" customHeight="1" s="55"/>
    <row r="56" ht="15.75" customHeight="1" s="55"/>
    <row r="57" ht="15.75" customHeight="1" s="55"/>
    <row r="58" ht="15.75" customHeight="1" s="55"/>
    <row r="59" ht="15.75" customHeight="1" s="55"/>
    <row r="60" ht="15.75" customHeight="1" s="55"/>
    <row r="61" ht="15.75" customHeight="1" s="55"/>
    <row r="62" ht="15.75" customHeight="1" s="55"/>
    <row r="63" ht="15.75" customHeight="1" s="55"/>
    <row r="64" ht="15.75" customHeight="1" s="55"/>
    <row r="65" ht="15.75" customHeight="1" s="55"/>
    <row r="66" ht="15.75" customHeight="1" s="55"/>
    <row r="67" ht="15.75" customHeight="1" s="55"/>
    <row r="68" ht="15.75" customHeight="1" s="55"/>
    <row r="69" ht="15.75" customHeight="1" s="55"/>
    <row r="70" ht="15.75" customHeight="1" s="55"/>
    <row r="71" ht="15.75" customHeight="1" s="55"/>
    <row r="72" ht="15.75" customHeight="1" s="55"/>
    <row r="73" ht="15.75" customHeight="1" s="55"/>
    <row r="74" ht="15.75" customHeight="1" s="55"/>
    <row r="75" ht="15.75" customHeight="1" s="55"/>
    <row r="76" ht="15.75" customHeight="1" s="55"/>
    <row r="77" ht="15.75" customHeight="1" s="55"/>
    <row r="78" ht="15.75" customHeight="1" s="55"/>
    <row r="79" ht="15.75" customHeight="1" s="55"/>
    <row r="80" ht="15.75" customHeight="1" s="55"/>
    <row r="81" ht="15.75" customHeight="1" s="55"/>
    <row r="82" ht="15.75" customHeight="1" s="55"/>
    <row r="83" ht="15.75" customHeight="1" s="55"/>
    <row r="84" ht="15.75" customHeight="1" s="55"/>
    <row r="85" ht="15.75" customHeight="1" s="55"/>
    <row r="86" ht="15.75" customHeight="1" s="55"/>
    <row r="87" ht="15.75" customHeight="1" s="55"/>
    <row r="88" ht="15.75" customHeight="1" s="55"/>
    <row r="89" ht="15.75" customHeight="1" s="55"/>
    <row r="90" ht="15.75" customHeight="1" s="55"/>
    <row r="91" ht="15.75" customHeight="1" s="55"/>
    <row r="92" ht="15.75" customHeight="1" s="55"/>
    <row r="93" ht="15.75" customHeight="1" s="55"/>
    <row r="94" ht="15.75" customHeight="1" s="55"/>
    <row r="95" ht="15.75" customHeight="1" s="55"/>
    <row r="96" ht="15.75" customHeight="1" s="55"/>
    <row r="97" ht="15.75" customHeight="1" s="55"/>
    <row r="98" ht="15.75" customHeight="1" s="55"/>
    <row r="99" ht="15.75" customHeight="1" s="55"/>
    <row r="100" ht="15.75" customHeight="1" s="55"/>
    <row r="101" ht="15.75" customHeight="1" s="55"/>
    <row r="102" ht="15.75" customHeight="1" s="55"/>
    <row r="103" ht="15.75" customHeight="1" s="55"/>
    <row r="104" ht="15.75" customHeight="1" s="55"/>
    <row r="105" ht="15.75" customHeight="1" s="55"/>
    <row r="106" ht="15.75" customHeight="1" s="55"/>
    <row r="107" ht="15.75" customHeight="1" s="55"/>
    <row r="108" ht="15.75" customHeight="1" s="55"/>
    <row r="109" ht="15.75" customHeight="1" s="55"/>
    <row r="110" ht="15.75" customHeight="1" s="55"/>
    <row r="111" ht="15.75" customHeight="1" s="55"/>
    <row r="112" ht="15.75" customHeight="1" s="55"/>
    <row r="113" ht="15.75" customHeight="1" s="55"/>
    <row r="114" ht="15.75" customHeight="1" s="55"/>
    <row r="115" ht="15.75" customHeight="1" s="55"/>
    <row r="116" ht="15.75" customHeight="1" s="55"/>
    <row r="117" ht="15.75" customHeight="1" s="55"/>
    <row r="118" ht="15.75" customHeight="1" s="55"/>
    <row r="119" ht="15.75" customHeight="1" s="55"/>
    <row r="120" ht="15.75" customHeight="1" s="55"/>
    <row r="121" ht="15.75" customHeight="1" s="55"/>
    <row r="122" ht="15.75" customHeight="1" s="55"/>
    <row r="123" ht="15.75" customHeight="1" s="55"/>
    <row r="124" ht="15.75" customHeight="1" s="55"/>
    <row r="125" ht="15.75" customHeight="1" s="55"/>
    <row r="126" ht="15.75" customHeight="1" s="55"/>
    <row r="127" ht="15.75" customHeight="1" s="55"/>
    <row r="128" ht="15.75" customHeight="1" s="55"/>
    <row r="129" ht="15.75" customHeight="1" s="55"/>
    <row r="130" ht="15.75" customHeight="1" s="55"/>
    <row r="131" ht="15.75" customHeight="1" s="55"/>
    <row r="132" ht="15.75" customHeight="1" s="55"/>
    <row r="133" ht="15.75" customHeight="1" s="55"/>
    <row r="134" ht="15.75" customHeight="1" s="55"/>
    <row r="135" ht="15.75" customHeight="1" s="55"/>
    <row r="136" ht="15.75" customHeight="1" s="55"/>
    <row r="137" ht="15.75" customHeight="1" s="55"/>
    <row r="138" ht="15.75" customHeight="1" s="55"/>
    <row r="139" ht="15.75" customHeight="1" s="55"/>
    <row r="140" ht="15.75" customHeight="1" s="55"/>
    <row r="141" ht="15.75" customHeight="1" s="55"/>
    <row r="142" ht="15.75" customHeight="1" s="55"/>
    <row r="143" ht="15.75" customHeight="1" s="55"/>
    <row r="144" ht="15.75" customHeight="1" s="55"/>
    <row r="145" ht="15.75" customHeight="1" s="55"/>
    <row r="146" ht="15.75" customHeight="1" s="55"/>
    <row r="147" ht="15.75" customHeight="1" s="55"/>
    <row r="148" ht="15.75" customHeight="1" s="55"/>
    <row r="149" ht="15.75" customHeight="1" s="55"/>
    <row r="150" ht="15.75" customHeight="1" s="55"/>
    <row r="151" ht="15.75" customHeight="1" s="55"/>
    <row r="152" ht="15.75" customHeight="1" s="55"/>
    <row r="153" ht="15.75" customHeight="1" s="55"/>
    <row r="154" ht="15.75" customHeight="1" s="55"/>
    <row r="155" ht="15.75" customHeight="1" s="55"/>
    <row r="156" ht="15.75" customHeight="1" s="55"/>
    <row r="157" ht="15.75" customHeight="1" s="55"/>
    <row r="158" ht="15.75" customHeight="1" s="55"/>
    <row r="159" ht="15.75" customHeight="1" s="55"/>
    <row r="160" ht="15.75" customHeight="1" s="55"/>
    <row r="161" ht="15.75" customHeight="1" s="55"/>
    <row r="162" ht="15.75" customHeight="1" s="55"/>
    <row r="163" ht="15.75" customHeight="1" s="55"/>
    <row r="164" ht="15.75" customHeight="1" s="55"/>
    <row r="165" ht="15.75" customHeight="1" s="55"/>
    <row r="166" ht="15.75" customHeight="1" s="55"/>
    <row r="167" ht="15.75" customHeight="1" s="55"/>
    <row r="168" ht="15.75" customHeight="1" s="55"/>
    <row r="169" ht="15.75" customHeight="1" s="55"/>
    <row r="170" ht="15.75" customHeight="1" s="55"/>
    <row r="171" ht="15.75" customHeight="1" s="55"/>
    <row r="172" ht="15.75" customHeight="1" s="55"/>
    <row r="173" ht="15.75" customHeight="1" s="55"/>
    <row r="174" ht="15.75" customHeight="1" s="55"/>
    <row r="175" ht="15.75" customHeight="1" s="55"/>
    <row r="176" ht="15.75" customHeight="1" s="55"/>
    <row r="177" ht="15.75" customHeight="1" s="55"/>
    <row r="178" ht="15.75" customHeight="1" s="55"/>
    <row r="179" ht="15.75" customHeight="1" s="55"/>
    <row r="180" ht="15.75" customHeight="1" s="55"/>
    <row r="181" ht="15.75" customHeight="1" s="55"/>
    <row r="182" ht="15.75" customHeight="1" s="55"/>
    <row r="183" ht="15.75" customHeight="1" s="55"/>
    <row r="184" ht="15.75" customHeight="1" s="55"/>
    <row r="185" ht="15.75" customHeight="1" s="55"/>
    <row r="186" ht="15.75" customHeight="1" s="55"/>
    <row r="187" ht="15.75" customHeight="1" s="55"/>
    <row r="188" ht="15.75" customHeight="1" s="55"/>
    <row r="189" ht="15.75" customHeight="1" s="55"/>
    <row r="190" ht="15.75" customHeight="1" s="55"/>
    <row r="191" ht="15.75" customHeight="1" s="55"/>
    <row r="192" ht="15.75" customHeight="1" s="55"/>
    <row r="193" ht="15.75" customHeight="1" s="55"/>
    <row r="194" ht="15.75" customHeight="1" s="55"/>
    <row r="195" ht="15.75" customHeight="1" s="55"/>
    <row r="196" ht="15.75" customHeight="1" s="55"/>
    <row r="197" ht="15.75" customHeight="1" s="55"/>
    <row r="198" ht="15.75" customHeight="1" s="55"/>
    <row r="199" ht="15.75" customHeight="1" s="55"/>
    <row r="200" ht="15.75" customHeight="1" s="55"/>
    <row r="201" ht="15.75" customHeight="1" s="55"/>
    <row r="202" ht="15.75" customHeight="1" s="55"/>
    <row r="203" ht="15.75" customHeight="1" s="55"/>
    <row r="204" ht="15.75" customHeight="1" s="55"/>
    <row r="205" ht="15.75" customHeight="1" s="55"/>
    <row r="206" ht="15.75" customHeight="1" s="55"/>
    <row r="207" ht="15.75" customHeight="1" s="55"/>
    <row r="208" ht="15.75" customHeight="1" s="55"/>
    <row r="209" ht="15.75" customHeight="1" s="55"/>
    <row r="210" ht="15.75" customHeight="1" s="55"/>
    <row r="211" ht="15.75" customHeight="1" s="55"/>
    <row r="212" ht="15.75" customHeight="1" s="55"/>
    <row r="213" ht="15.75" customHeight="1" s="55"/>
    <row r="214" ht="15.75" customHeight="1" s="55"/>
    <row r="215" ht="15.75" customHeight="1" s="55"/>
    <row r="216" ht="15.75" customHeight="1" s="55"/>
    <row r="217" ht="15.75" customHeight="1" s="55"/>
    <row r="218" ht="15.75" customHeight="1" s="55"/>
    <row r="219" ht="15.75" customHeight="1" s="55"/>
    <row r="220" ht="15.75" customHeight="1" s="55"/>
    <row r="221" ht="15.75" customHeight="1" s="55"/>
    <row r="222" ht="15.75" customHeight="1" s="55"/>
    <row r="223" ht="15.75" customHeight="1" s="55"/>
    <row r="224" ht="15.75" customHeight="1" s="55"/>
    <row r="225" ht="15.75" customHeight="1" s="55"/>
    <row r="226" ht="15.75" customHeight="1" s="55"/>
    <row r="227" ht="15.75" customHeight="1" s="55"/>
    <row r="228" ht="15.75" customHeight="1" s="55"/>
    <row r="229" ht="15.75" customHeight="1" s="55"/>
    <row r="230" ht="15.75" customHeight="1" s="55"/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mergeCells count="2">
    <mergeCell ref="A20:F20"/>
    <mergeCell ref="A1:F1"/>
  </mergeCells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2026-08-13T11:49:46Z</dcterms:created>
  <dcterms:modified xmlns:dcterms="http://purl.org/dc/terms/" xmlns:xsi="http://www.w3.org/2001/XMLSchema-instance" xsi:type="dcterms:W3CDTF">2026-09-23T14:44:57Z</dcterms:modified>
  <cp:lastModifiedBy>Lucas Santos</cp:lastModifiedBy>
  <cp:revision>0</cp:revision>
</cp:coreProperties>
</file>