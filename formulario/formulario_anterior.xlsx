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9930F91-5322-4BB2-8027-B9C8682689D2}" xr6:coauthVersionLast="47" xr6:coauthVersionMax="47" xr10:uidLastSave="{00000000-0000-0000-0000-000000000000}"/>
  <bookViews>
    <workbookView xWindow="-120" yWindow="-120" windowWidth="29040" windowHeight="15720" tabRatio="500" firstSheet="1" activeTab="7" xr2:uid="{00000000-000D-0000-FFFF-FFFF00000000}"/>
  </bookViews>
  <sheets>
    <sheet name="Avaliação" sheetId="1" r:id="rId1"/>
    <sheet name="Indicadores" sheetId="2" r:id="rId2"/>
    <sheet name="Treinamento" sheetId="3" r:id="rId3"/>
    <sheet name="Qualidade" sheetId="4" r:id="rId4"/>
    <sheet name="Resumo" sheetId="5" r:id="rId5"/>
    <sheet name="Critérios" sheetId="6" r:id="rId6"/>
    <sheet name="Modelo de Score" sheetId="7" r:id="rId7"/>
    <sheet name="Como usar" sheetId="8" r:id="rId8"/>
  </sheets>
  <definedNames>
    <definedName name="_xlnm._FilterDatabase" localSheetId="0" hidden="1">Avaliação!$A$1:$P$57</definedName>
    <definedName name="_xlnm._FilterDatabase" localSheetId="1" hidden="1">Indicadores!$A$1:$U$201</definedName>
    <definedName name="_xlnm._FilterDatabase" localSheetId="3" hidden="1">Qualidade!$A$1:$O$201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5" l="1"/>
  <c r="B6" i="5"/>
  <c r="B7" i="5"/>
  <c r="B8" i="5"/>
  <c r="B10" i="5"/>
  <c r="B11" i="5"/>
  <c r="B12" i="5"/>
  <c r="L52" i="4"/>
  <c r="L51" i="4"/>
  <c r="L50" i="4"/>
  <c r="L49" i="4"/>
  <c r="L48" i="4"/>
  <c r="L47" i="4"/>
  <c r="L46" i="4"/>
  <c r="L45" i="4"/>
  <c r="L44" i="4"/>
  <c r="L43" i="4"/>
  <c r="L42" i="4"/>
  <c r="L41" i="4"/>
  <c r="L40" i="4"/>
  <c r="L39" i="4"/>
  <c r="L38" i="4"/>
  <c r="L37" i="4"/>
  <c r="L36" i="4"/>
  <c r="L35" i="4"/>
  <c r="L34" i="4"/>
  <c r="L33" i="4"/>
  <c r="L32" i="4"/>
  <c r="L31" i="4"/>
  <c r="L30" i="4"/>
  <c r="L29" i="4"/>
  <c r="L28" i="4"/>
  <c r="L27" i="4"/>
  <c r="L26" i="4"/>
  <c r="L25" i="4"/>
  <c r="L24" i="4"/>
  <c r="L23" i="4"/>
  <c r="L22" i="4"/>
  <c r="L21" i="4"/>
  <c r="L20" i="4"/>
  <c r="L19" i="4"/>
  <c r="L18" i="4"/>
  <c r="L17" i="4"/>
  <c r="L16" i="4"/>
  <c r="L15" i="4"/>
  <c r="L14" i="4"/>
  <c r="L13" i="4"/>
  <c r="L12" i="4"/>
  <c r="L11" i="4"/>
  <c r="L10" i="4"/>
  <c r="L9" i="4"/>
  <c r="L8" i="4"/>
  <c r="L7" i="4"/>
  <c r="L6" i="4"/>
  <c r="L5" i="4"/>
  <c r="L4" i="4"/>
  <c r="L3" i="4"/>
  <c r="K52" i="4"/>
  <c r="K51" i="4"/>
  <c r="K50" i="4"/>
  <c r="K49" i="4"/>
  <c r="K48" i="4"/>
  <c r="K47" i="4"/>
  <c r="K46" i="4"/>
  <c r="K45" i="4"/>
  <c r="K44" i="4"/>
  <c r="M44" i="4" s="1"/>
  <c r="K43" i="4"/>
  <c r="K42" i="4"/>
  <c r="K41" i="4"/>
  <c r="K40" i="4"/>
  <c r="K39" i="4"/>
  <c r="K38" i="4"/>
  <c r="K37" i="4"/>
  <c r="K36" i="4"/>
  <c r="K35" i="4"/>
  <c r="K34" i="4"/>
  <c r="K33" i="4"/>
  <c r="K32" i="4"/>
  <c r="M32" i="4" s="1"/>
  <c r="K31" i="4"/>
  <c r="K30" i="4"/>
  <c r="K29" i="4"/>
  <c r="K28" i="4"/>
  <c r="K27" i="4"/>
  <c r="K26" i="4"/>
  <c r="K25" i="4"/>
  <c r="K24" i="4"/>
  <c r="K23" i="4"/>
  <c r="K22" i="4"/>
  <c r="K21" i="4"/>
  <c r="K20" i="4"/>
  <c r="M20" i="4" s="1"/>
  <c r="K19" i="4"/>
  <c r="K18" i="4"/>
  <c r="K17" i="4"/>
  <c r="K16" i="4"/>
  <c r="K15" i="4"/>
  <c r="K14" i="4"/>
  <c r="K13" i="4"/>
  <c r="K12" i="4"/>
  <c r="K11" i="4"/>
  <c r="K10" i="4"/>
  <c r="K9" i="4"/>
  <c r="K8" i="4"/>
  <c r="M8" i="4" s="1"/>
  <c r="K7" i="4"/>
  <c r="K6" i="4"/>
  <c r="K5" i="4"/>
  <c r="K4" i="4"/>
  <c r="K3" i="4"/>
  <c r="J52" i="4"/>
  <c r="M52" i="4" s="1"/>
  <c r="J51" i="4"/>
  <c r="M51" i="4" s="1"/>
  <c r="J50" i="4"/>
  <c r="M50" i="4" s="1"/>
  <c r="J49" i="4"/>
  <c r="J48" i="4"/>
  <c r="M48" i="4" s="1"/>
  <c r="J47" i="4"/>
  <c r="M47" i="4" s="1"/>
  <c r="J46" i="4"/>
  <c r="J45" i="4"/>
  <c r="M45" i="4" s="1"/>
  <c r="J44" i="4"/>
  <c r="J43" i="4"/>
  <c r="J42" i="4"/>
  <c r="J41" i="4"/>
  <c r="M41" i="4" s="1"/>
  <c r="J40" i="4"/>
  <c r="M40" i="4" s="1"/>
  <c r="J39" i="4"/>
  <c r="M39" i="4" s="1"/>
  <c r="J38" i="4"/>
  <c r="M38" i="4" s="1"/>
  <c r="J37" i="4"/>
  <c r="J36" i="4"/>
  <c r="M36" i="4" s="1"/>
  <c r="J35" i="4"/>
  <c r="M35" i="4" s="1"/>
  <c r="J34" i="4"/>
  <c r="J33" i="4"/>
  <c r="M33" i="4" s="1"/>
  <c r="J32" i="4"/>
  <c r="J31" i="4"/>
  <c r="J30" i="4"/>
  <c r="M30" i="4" s="1"/>
  <c r="J29" i="4"/>
  <c r="M29" i="4" s="1"/>
  <c r="J28" i="4"/>
  <c r="M28" i="4" s="1"/>
  <c r="J27" i="4"/>
  <c r="M27" i="4" s="1"/>
  <c r="J26" i="4"/>
  <c r="M26" i="4" s="1"/>
  <c r="J25" i="4"/>
  <c r="J24" i="4"/>
  <c r="M24" i="4" s="1"/>
  <c r="J23" i="4"/>
  <c r="M23" i="4" s="1"/>
  <c r="J22" i="4"/>
  <c r="J21" i="4"/>
  <c r="M21" i="4" s="1"/>
  <c r="J20" i="4"/>
  <c r="J19" i="4"/>
  <c r="J18" i="4"/>
  <c r="M18" i="4" s="1"/>
  <c r="J17" i="4"/>
  <c r="M17" i="4" s="1"/>
  <c r="J16" i="4"/>
  <c r="M16" i="4" s="1"/>
  <c r="J15" i="4"/>
  <c r="M15" i="4" s="1"/>
  <c r="J14" i="4"/>
  <c r="M14" i="4" s="1"/>
  <c r="J13" i="4"/>
  <c r="J12" i="4"/>
  <c r="M12" i="4" s="1"/>
  <c r="J11" i="4"/>
  <c r="M11" i="4" s="1"/>
  <c r="J10" i="4"/>
  <c r="J9" i="4"/>
  <c r="M9" i="4" s="1"/>
  <c r="J8" i="4"/>
  <c r="J7" i="4"/>
  <c r="J6" i="4"/>
  <c r="M6" i="4" s="1"/>
  <c r="J5" i="4"/>
  <c r="M5" i="4" s="1"/>
  <c r="J4" i="4"/>
  <c r="M4" i="4" s="1"/>
  <c r="J3" i="4"/>
  <c r="M3" i="4" s="1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L57" i="1"/>
  <c r="L56" i="1"/>
  <c r="L55" i="1"/>
  <c r="L54" i="1"/>
  <c r="L53" i="1"/>
  <c r="P53" i="1" s="1"/>
  <c r="L52" i="1"/>
  <c r="P52" i="1" s="1"/>
  <c r="L51" i="1"/>
  <c r="P51" i="1" s="1"/>
  <c r="L50" i="1"/>
  <c r="L49" i="1"/>
  <c r="L48" i="1"/>
  <c r="P48" i="1" s="1"/>
  <c r="L47" i="1"/>
  <c r="L46" i="1"/>
  <c r="L45" i="1"/>
  <c r="L44" i="1"/>
  <c r="L43" i="1"/>
  <c r="P43" i="1" s="1"/>
  <c r="L42" i="1"/>
  <c r="L41" i="1"/>
  <c r="P41" i="1" s="1"/>
  <c r="L40" i="1"/>
  <c r="P40" i="1" s="1"/>
  <c r="L39" i="1"/>
  <c r="P39" i="1" s="1"/>
  <c r="L38" i="1"/>
  <c r="L37" i="1"/>
  <c r="L36" i="1"/>
  <c r="P36" i="1" s="1"/>
  <c r="L35" i="1"/>
  <c r="L34" i="1"/>
  <c r="L33" i="1"/>
  <c r="L32" i="1"/>
  <c r="L31" i="1"/>
  <c r="P31" i="1" s="1"/>
  <c r="L30" i="1"/>
  <c r="L29" i="1"/>
  <c r="P29" i="1" s="1"/>
  <c r="L28" i="1"/>
  <c r="P28" i="1" s="1"/>
  <c r="L27" i="1"/>
  <c r="P27" i="1" s="1"/>
  <c r="L26" i="1"/>
  <c r="L25" i="1"/>
  <c r="L24" i="1"/>
  <c r="P24" i="1" s="1"/>
  <c r="L23" i="1"/>
  <c r="L22" i="1"/>
  <c r="L21" i="1"/>
  <c r="L20" i="1"/>
  <c r="L19" i="1"/>
  <c r="P19" i="1" s="1"/>
  <c r="L18" i="1"/>
  <c r="L17" i="1"/>
  <c r="P17" i="1" s="1"/>
  <c r="L16" i="1"/>
  <c r="P16" i="1" s="1"/>
  <c r="L15" i="1"/>
  <c r="P15" i="1" s="1"/>
  <c r="L14" i="1"/>
  <c r="L13" i="1"/>
  <c r="L12" i="1"/>
  <c r="P12" i="1" s="1"/>
  <c r="L11" i="1"/>
  <c r="L10" i="1"/>
  <c r="L9" i="1"/>
  <c r="L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E24" i="7"/>
  <c r="E23" i="7"/>
  <c r="E19" i="7"/>
  <c r="E18" i="7"/>
  <c r="E17" i="7"/>
  <c r="E13" i="7"/>
  <c r="E12" i="7"/>
  <c r="E11" i="7"/>
  <c r="E6" i="7"/>
  <c r="E5" i="7"/>
  <c r="E4" i="7"/>
  <c r="B46" i="5"/>
  <c r="B44" i="5"/>
  <c r="B43" i="5"/>
  <c r="B42" i="5"/>
  <c r="B41" i="5"/>
  <c r="B37" i="5"/>
  <c r="B36" i="5"/>
  <c r="B35" i="5"/>
  <c r="B33" i="5"/>
  <c r="B32" i="5"/>
  <c r="B31" i="5"/>
  <c r="B30" i="5"/>
  <c r="B26" i="5"/>
  <c r="B25" i="5"/>
  <c r="B24" i="5"/>
  <c r="B22" i="5"/>
  <c r="B21" i="5"/>
  <c r="B20" i="5"/>
  <c r="B19" i="5"/>
  <c r="N201" i="4"/>
  <c r="M201" i="4"/>
  <c r="L201" i="4"/>
  <c r="K201" i="4"/>
  <c r="J201" i="4"/>
  <c r="A201" i="4"/>
  <c r="N200" i="4"/>
  <c r="M200" i="4"/>
  <c r="L200" i="4"/>
  <c r="K200" i="4"/>
  <c r="J200" i="4"/>
  <c r="A200" i="4"/>
  <c r="N199" i="4"/>
  <c r="M199" i="4"/>
  <c r="L199" i="4"/>
  <c r="K199" i="4"/>
  <c r="J199" i="4"/>
  <c r="A199" i="4"/>
  <c r="N198" i="4"/>
  <c r="M198" i="4"/>
  <c r="L198" i="4"/>
  <c r="K198" i="4"/>
  <c r="J198" i="4"/>
  <c r="A198" i="4"/>
  <c r="N197" i="4"/>
  <c r="M197" i="4"/>
  <c r="L197" i="4"/>
  <c r="K197" i="4"/>
  <c r="J197" i="4"/>
  <c r="A197" i="4"/>
  <c r="N196" i="4"/>
  <c r="M196" i="4"/>
  <c r="L196" i="4"/>
  <c r="K196" i="4"/>
  <c r="J196" i="4"/>
  <c r="A196" i="4"/>
  <c r="N195" i="4"/>
  <c r="M195" i="4"/>
  <c r="L195" i="4"/>
  <c r="K195" i="4"/>
  <c r="J195" i="4"/>
  <c r="A195" i="4"/>
  <c r="N194" i="4"/>
  <c r="M194" i="4"/>
  <c r="L194" i="4"/>
  <c r="K194" i="4"/>
  <c r="J194" i="4"/>
  <c r="A194" i="4"/>
  <c r="N193" i="4"/>
  <c r="M193" i="4"/>
  <c r="L193" i="4"/>
  <c r="K193" i="4"/>
  <c r="J193" i="4"/>
  <c r="A193" i="4"/>
  <c r="N192" i="4"/>
  <c r="M192" i="4"/>
  <c r="L192" i="4"/>
  <c r="K192" i="4"/>
  <c r="J192" i="4"/>
  <c r="A192" i="4"/>
  <c r="N191" i="4"/>
  <c r="M191" i="4"/>
  <c r="L191" i="4"/>
  <c r="K191" i="4"/>
  <c r="J191" i="4"/>
  <c r="A191" i="4"/>
  <c r="N190" i="4"/>
  <c r="M190" i="4"/>
  <c r="L190" i="4"/>
  <c r="K190" i="4"/>
  <c r="J190" i="4"/>
  <c r="A190" i="4"/>
  <c r="N189" i="4"/>
  <c r="M189" i="4"/>
  <c r="L189" i="4"/>
  <c r="K189" i="4"/>
  <c r="J189" i="4"/>
  <c r="A189" i="4"/>
  <c r="N188" i="4"/>
  <c r="M188" i="4"/>
  <c r="L188" i="4"/>
  <c r="K188" i="4"/>
  <c r="J188" i="4"/>
  <c r="A188" i="4"/>
  <c r="N187" i="4"/>
  <c r="M187" i="4"/>
  <c r="L187" i="4"/>
  <c r="K187" i="4"/>
  <c r="J187" i="4"/>
  <c r="A187" i="4"/>
  <c r="N186" i="4"/>
  <c r="M186" i="4"/>
  <c r="L186" i="4"/>
  <c r="K186" i="4"/>
  <c r="J186" i="4"/>
  <c r="A186" i="4"/>
  <c r="N185" i="4"/>
  <c r="M185" i="4"/>
  <c r="L185" i="4"/>
  <c r="K185" i="4"/>
  <c r="J185" i="4"/>
  <c r="A185" i="4"/>
  <c r="N184" i="4"/>
  <c r="M184" i="4"/>
  <c r="L184" i="4"/>
  <c r="K184" i="4"/>
  <c r="J184" i="4"/>
  <c r="A184" i="4"/>
  <c r="N183" i="4"/>
  <c r="M183" i="4"/>
  <c r="L183" i="4"/>
  <c r="K183" i="4"/>
  <c r="J183" i="4"/>
  <c r="A183" i="4"/>
  <c r="N182" i="4"/>
  <c r="M182" i="4"/>
  <c r="L182" i="4"/>
  <c r="K182" i="4"/>
  <c r="J182" i="4"/>
  <c r="A182" i="4"/>
  <c r="N181" i="4"/>
  <c r="M181" i="4"/>
  <c r="L181" i="4"/>
  <c r="K181" i="4"/>
  <c r="J181" i="4"/>
  <c r="A181" i="4"/>
  <c r="N180" i="4"/>
  <c r="M180" i="4"/>
  <c r="L180" i="4"/>
  <c r="K180" i="4"/>
  <c r="J180" i="4"/>
  <c r="A180" i="4"/>
  <c r="N179" i="4"/>
  <c r="M179" i="4"/>
  <c r="L179" i="4"/>
  <c r="K179" i="4"/>
  <c r="J179" i="4"/>
  <c r="A179" i="4"/>
  <c r="N178" i="4"/>
  <c r="M178" i="4"/>
  <c r="L178" i="4"/>
  <c r="K178" i="4"/>
  <c r="J178" i="4"/>
  <c r="A178" i="4"/>
  <c r="N177" i="4"/>
  <c r="M177" i="4"/>
  <c r="L177" i="4"/>
  <c r="K177" i="4"/>
  <c r="J177" i="4"/>
  <c r="A177" i="4"/>
  <c r="N176" i="4"/>
  <c r="M176" i="4"/>
  <c r="L176" i="4"/>
  <c r="K176" i="4"/>
  <c r="J176" i="4"/>
  <c r="A176" i="4"/>
  <c r="N175" i="4"/>
  <c r="M175" i="4"/>
  <c r="L175" i="4"/>
  <c r="K175" i="4"/>
  <c r="J175" i="4"/>
  <c r="A175" i="4"/>
  <c r="N174" i="4"/>
  <c r="M174" i="4"/>
  <c r="L174" i="4"/>
  <c r="K174" i="4"/>
  <c r="J174" i="4"/>
  <c r="A174" i="4"/>
  <c r="N173" i="4"/>
  <c r="M173" i="4"/>
  <c r="L173" i="4"/>
  <c r="K173" i="4"/>
  <c r="J173" i="4"/>
  <c r="A173" i="4"/>
  <c r="N172" i="4"/>
  <c r="M172" i="4"/>
  <c r="L172" i="4"/>
  <c r="K172" i="4"/>
  <c r="J172" i="4"/>
  <c r="A172" i="4"/>
  <c r="N171" i="4"/>
  <c r="M171" i="4"/>
  <c r="L171" i="4"/>
  <c r="K171" i="4"/>
  <c r="J171" i="4"/>
  <c r="A171" i="4"/>
  <c r="N170" i="4"/>
  <c r="M170" i="4"/>
  <c r="L170" i="4"/>
  <c r="K170" i="4"/>
  <c r="J170" i="4"/>
  <c r="A170" i="4"/>
  <c r="N169" i="4"/>
  <c r="M169" i="4"/>
  <c r="L169" i="4"/>
  <c r="K169" i="4"/>
  <c r="J169" i="4"/>
  <c r="A169" i="4"/>
  <c r="N168" i="4"/>
  <c r="M168" i="4"/>
  <c r="L168" i="4"/>
  <c r="K168" i="4"/>
  <c r="J168" i="4"/>
  <c r="A168" i="4"/>
  <c r="N167" i="4"/>
  <c r="M167" i="4"/>
  <c r="L167" i="4"/>
  <c r="K167" i="4"/>
  <c r="J167" i="4"/>
  <c r="A167" i="4"/>
  <c r="N166" i="4"/>
  <c r="M166" i="4"/>
  <c r="L166" i="4"/>
  <c r="K166" i="4"/>
  <c r="J166" i="4"/>
  <c r="A166" i="4"/>
  <c r="N165" i="4"/>
  <c r="M165" i="4"/>
  <c r="L165" i="4"/>
  <c r="K165" i="4"/>
  <c r="J165" i="4"/>
  <c r="A165" i="4"/>
  <c r="N164" i="4"/>
  <c r="M164" i="4"/>
  <c r="L164" i="4"/>
  <c r="K164" i="4"/>
  <c r="J164" i="4"/>
  <c r="A164" i="4"/>
  <c r="N163" i="4"/>
  <c r="M163" i="4"/>
  <c r="L163" i="4"/>
  <c r="K163" i="4"/>
  <c r="J163" i="4"/>
  <c r="A163" i="4"/>
  <c r="N162" i="4"/>
  <c r="M162" i="4"/>
  <c r="L162" i="4"/>
  <c r="K162" i="4"/>
  <c r="J162" i="4"/>
  <c r="A162" i="4"/>
  <c r="N161" i="4"/>
  <c r="M161" i="4"/>
  <c r="L161" i="4"/>
  <c r="K161" i="4"/>
  <c r="J161" i="4"/>
  <c r="A161" i="4"/>
  <c r="N160" i="4"/>
  <c r="M160" i="4"/>
  <c r="L160" i="4"/>
  <c r="K160" i="4"/>
  <c r="J160" i="4"/>
  <c r="A160" i="4"/>
  <c r="N159" i="4"/>
  <c r="M159" i="4"/>
  <c r="L159" i="4"/>
  <c r="K159" i="4"/>
  <c r="J159" i="4"/>
  <c r="A159" i="4"/>
  <c r="N158" i="4"/>
  <c r="M158" i="4"/>
  <c r="L158" i="4"/>
  <c r="K158" i="4"/>
  <c r="J158" i="4"/>
  <c r="A158" i="4"/>
  <c r="N157" i="4"/>
  <c r="M157" i="4"/>
  <c r="L157" i="4"/>
  <c r="K157" i="4"/>
  <c r="J157" i="4"/>
  <c r="A157" i="4"/>
  <c r="N156" i="4"/>
  <c r="M156" i="4"/>
  <c r="L156" i="4"/>
  <c r="K156" i="4"/>
  <c r="J156" i="4"/>
  <c r="A156" i="4"/>
  <c r="N155" i="4"/>
  <c r="M155" i="4"/>
  <c r="L155" i="4"/>
  <c r="K155" i="4"/>
  <c r="J155" i="4"/>
  <c r="A155" i="4"/>
  <c r="N154" i="4"/>
  <c r="M154" i="4"/>
  <c r="L154" i="4"/>
  <c r="K154" i="4"/>
  <c r="J154" i="4"/>
  <c r="A154" i="4"/>
  <c r="N153" i="4"/>
  <c r="M153" i="4"/>
  <c r="L153" i="4"/>
  <c r="K153" i="4"/>
  <c r="J153" i="4"/>
  <c r="A153" i="4"/>
  <c r="N152" i="4"/>
  <c r="M152" i="4"/>
  <c r="L152" i="4"/>
  <c r="K152" i="4"/>
  <c r="J152" i="4"/>
  <c r="A152" i="4"/>
  <c r="N151" i="4"/>
  <c r="M151" i="4"/>
  <c r="L151" i="4"/>
  <c r="K151" i="4"/>
  <c r="J151" i="4"/>
  <c r="A151" i="4"/>
  <c r="N150" i="4"/>
  <c r="M150" i="4"/>
  <c r="L150" i="4"/>
  <c r="K150" i="4"/>
  <c r="J150" i="4"/>
  <c r="A150" i="4"/>
  <c r="N149" i="4"/>
  <c r="M149" i="4"/>
  <c r="L149" i="4"/>
  <c r="K149" i="4"/>
  <c r="J149" i="4"/>
  <c r="A149" i="4"/>
  <c r="N148" i="4"/>
  <c r="M148" i="4"/>
  <c r="L148" i="4"/>
  <c r="K148" i="4"/>
  <c r="J148" i="4"/>
  <c r="A148" i="4"/>
  <c r="N147" i="4"/>
  <c r="M147" i="4"/>
  <c r="L147" i="4"/>
  <c r="K147" i="4"/>
  <c r="J147" i="4"/>
  <c r="A147" i="4"/>
  <c r="N146" i="4"/>
  <c r="M146" i="4"/>
  <c r="L146" i="4"/>
  <c r="K146" i="4"/>
  <c r="J146" i="4"/>
  <c r="A146" i="4"/>
  <c r="N145" i="4"/>
  <c r="M145" i="4"/>
  <c r="L145" i="4"/>
  <c r="K145" i="4"/>
  <c r="J145" i="4"/>
  <c r="A145" i="4"/>
  <c r="N144" i="4"/>
  <c r="M144" i="4"/>
  <c r="L144" i="4"/>
  <c r="K144" i="4"/>
  <c r="J144" i="4"/>
  <c r="A144" i="4"/>
  <c r="N143" i="4"/>
  <c r="M143" i="4"/>
  <c r="L143" i="4"/>
  <c r="K143" i="4"/>
  <c r="J143" i="4"/>
  <c r="A143" i="4"/>
  <c r="N142" i="4"/>
  <c r="M142" i="4"/>
  <c r="L142" i="4"/>
  <c r="K142" i="4"/>
  <c r="J142" i="4"/>
  <c r="A142" i="4"/>
  <c r="N141" i="4"/>
  <c r="M141" i="4"/>
  <c r="L141" i="4"/>
  <c r="K141" i="4"/>
  <c r="J141" i="4"/>
  <c r="A141" i="4"/>
  <c r="N140" i="4"/>
  <c r="M140" i="4"/>
  <c r="L140" i="4"/>
  <c r="K140" i="4"/>
  <c r="J140" i="4"/>
  <c r="A140" i="4"/>
  <c r="N139" i="4"/>
  <c r="M139" i="4"/>
  <c r="L139" i="4"/>
  <c r="K139" i="4"/>
  <c r="J139" i="4"/>
  <c r="A139" i="4"/>
  <c r="N138" i="4"/>
  <c r="M138" i="4"/>
  <c r="L138" i="4"/>
  <c r="K138" i="4"/>
  <c r="J138" i="4"/>
  <c r="A138" i="4"/>
  <c r="N137" i="4"/>
  <c r="M137" i="4"/>
  <c r="L137" i="4"/>
  <c r="K137" i="4"/>
  <c r="J137" i="4"/>
  <c r="A137" i="4"/>
  <c r="N136" i="4"/>
  <c r="M136" i="4"/>
  <c r="L136" i="4"/>
  <c r="K136" i="4"/>
  <c r="J136" i="4"/>
  <c r="A136" i="4"/>
  <c r="N135" i="4"/>
  <c r="M135" i="4"/>
  <c r="L135" i="4"/>
  <c r="K135" i="4"/>
  <c r="J135" i="4"/>
  <c r="A135" i="4"/>
  <c r="N134" i="4"/>
  <c r="M134" i="4"/>
  <c r="L134" i="4"/>
  <c r="K134" i="4"/>
  <c r="J134" i="4"/>
  <c r="A134" i="4"/>
  <c r="N133" i="4"/>
  <c r="M133" i="4"/>
  <c r="L133" i="4"/>
  <c r="K133" i="4"/>
  <c r="J133" i="4"/>
  <c r="A133" i="4"/>
  <c r="N132" i="4"/>
  <c r="M132" i="4"/>
  <c r="L132" i="4"/>
  <c r="K132" i="4"/>
  <c r="J132" i="4"/>
  <c r="A132" i="4"/>
  <c r="N131" i="4"/>
  <c r="M131" i="4"/>
  <c r="L131" i="4"/>
  <c r="K131" i="4"/>
  <c r="J131" i="4"/>
  <c r="A131" i="4"/>
  <c r="N130" i="4"/>
  <c r="M130" i="4"/>
  <c r="L130" i="4"/>
  <c r="K130" i="4"/>
  <c r="J130" i="4"/>
  <c r="A130" i="4"/>
  <c r="N129" i="4"/>
  <c r="M129" i="4"/>
  <c r="L129" i="4"/>
  <c r="K129" i="4"/>
  <c r="J129" i="4"/>
  <c r="A129" i="4"/>
  <c r="N128" i="4"/>
  <c r="M128" i="4"/>
  <c r="L128" i="4"/>
  <c r="K128" i="4"/>
  <c r="J128" i="4"/>
  <c r="A128" i="4"/>
  <c r="N127" i="4"/>
  <c r="M127" i="4"/>
  <c r="L127" i="4"/>
  <c r="K127" i="4"/>
  <c r="J127" i="4"/>
  <c r="A127" i="4"/>
  <c r="N126" i="4"/>
  <c r="M126" i="4"/>
  <c r="L126" i="4"/>
  <c r="K126" i="4"/>
  <c r="J126" i="4"/>
  <c r="A126" i="4"/>
  <c r="N125" i="4"/>
  <c r="M125" i="4"/>
  <c r="L125" i="4"/>
  <c r="K125" i="4"/>
  <c r="J125" i="4"/>
  <c r="A125" i="4"/>
  <c r="N124" i="4"/>
  <c r="M124" i="4"/>
  <c r="L124" i="4"/>
  <c r="K124" i="4"/>
  <c r="J124" i="4"/>
  <c r="A124" i="4"/>
  <c r="N123" i="4"/>
  <c r="M123" i="4"/>
  <c r="L123" i="4"/>
  <c r="K123" i="4"/>
  <c r="J123" i="4"/>
  <c r="A123" i="4"/>
  <c r="N122" i="4"/>
  <c r="M122" i="4"/>
  <c r="L122" i="4"/>
  <c r="K122" i="4"/>
  <c r="J122" i="4"/>
  <c r="A122" i="4"/>
  <c r="N121" i="4"/>
  <c r="M121" i="4"/>
  <c r="L121" i="4"/>
  <c r="K121" i="4"/>
  <c r="J121" i="4"/>
  <c r="A121" i="4"/>
  <c r="N120" i="4"/>
  <c r="M120" i="4"/>
  <c r="L120" i="4"/>
  <c r="K120" i="4"/>
  <c r="J120" i="4"/>
  <c r="A120" i="4"/>
  <c r="N119" i="4"/>
  <c r="M119" i="4"/>
  <c r="L119" i="4"/>
  <c r="K119" i="4"/>
  <c r="J119" i="4"/>
  <c r="A119" i="4"/>
  <c r="N118" i="4"/>
  <c r="M118" i="4"/>
  <c r="L118" i="4"/>
  <c r="K118" i="4"/>
  <c r="J118" i="4"/>
  <c r="A118" i="4"/>
  <c r="N117" i="4"/>
  <c r="M117" i="4"/>
  <c r="L117" i="4"/>
  <c r="K117" i="4"/>
  <c r="J117" i="4"/>
  <c r="A117" i="4"/>
  <c r="N116" i="4"/>
  <c r="M116" i="4"/>
  <c r="L116" i="4"/>
  <c r="K116" i="4"/>
  <c r="J116" i="4"/>
  <c r="A116" i="4"/>
  <c r="N115" i="4"/>
  <c r="M115" i="4"/>
  <c r="L115" i="4"/>
  <c r="K115" i="4"/>
  <c r="J115" i="4"/>
  <c r="A115" i="4"/>
  <c r="N114" i="4"/>
  <c r="M114" i="4"/>
  <c r="L114" i="4"/>
  <c r="K114" i="4"/>
  <c r="J114" i="4"/>
  <c r="A114" i="4"/>
  <c r="N113" i="4"/>
  <c r="M113" i="4"/>
  <c r="L113" i="4"/>
  <c r="K113" i="4"/>
  <c r="J113" i="4"/>
  <c r="A113" i="4"/>
  <c r="N112" i="4"/>
  <c r="M112" i="4"/>
  <c r="L112" i="4"/>
  <c r="K112" i="4"/>
  <c r="J112" i="4"/>
  <c r="A112" i="4"/>
  <c r="N111" i="4"/>
  <c r="M111" i="4"/>
  <c r="L111" i="4"/>
  <c r="K111" i="4"/>
  <c r="J111" i="4"/>
  <c r="A111" i="4"/>
  <c r="N110" i="4"/>
  <c r="M110" i="4"/>
  <c r="L110" i="4"/>
  <c r="K110" i="4"/>
  <c r="J110" i="4"/>
  <c r="A110" i="4"/>
  <c r="N109" i="4"/>
  <c r="M109" i="4"/>
  <c r="L109" i="4"/>
  <c r="K109" i="4"/>
  <c r="J109" i="4"/>
  <c r="A109" i="4"/>
  <c r="N108" i="4"/>
  <c r="M108" i="4"/>
  <c r="L108" i="4"/>
  <c r="K108" i="4"/>
  <c r="J108" i="4"/>
  <c r="A108" i="4"/>
  <c r="N107" i="4"/>
  <c r="M107" i="4"/>
  <c r="L107" i="4"/>
  <c r="K107" i="4"/>
  <c r="J107" i="4"/>
  <c r="A107" i="4"/>
  <c r="N106" i="4"/>
  <c r="M106" i="4"/>
  <c r="L106" i="4"/>
  <c r="K106" i="4"/>
  <c r="J106" i="4"/>
  <c r="A106" i="4"/>
  <c r="N105" i="4"/>
  <c r="M105" i="4"/>
  <c r="L105" i="4"/>
  <c r="K105" i="4"/>
  <c r="J105" i="4"/>
  <c r="A105" i="4"/>
  <c r="N104" i="4"/>
  <c r="M104" i="4"/>
  <c r="L104" i="4"/>
  <c r="K104" i="4"/>
  <c r="J104" i="4"/>
  <c r="A104" i="4"/>
  <c r="N103" i="4"/>
  <c r="M103" i="4"/>
  <c r="L103" i="4"/>
  <c r="K103" i="4"/>
  <c r="J103" i="4"/>
  <c r="A103" i="4"/>
  <c r="N102" i="4"/>
  <c r="M102" i="4"/>
  <c r="L102" i="4"/>
  <c r="K102" i="4"/>
  <c r="J102" i="4"/>
  <c r="A102" i="4"/>
  <c r="N101" i="4"/>
  <c r="M101" i="4"/>
  <c r="L101" i="4"/>
  <c r="K101" i="4"/>
  <c r="J101" i="4"/>
  <c r="A101" i="4"/>
  <c r="N100" i="4"/>
  <c r="M100" i="4"/>
  <c r="L100" i="4"/>
  <c r="K100" i="4"/>
  <c r="J100" i="4"/>
  <c r="A100" i="4"/>
  <c r="N99" i="4"/>
  <c r="M99" i="4"/>
  <c r="L99" i="4"/>
  <c r="K99" i="4"/>
  <c r="J99" i="4"/>
  <c r="A99" i="4"/>
  <c r="N98" i="4"/>
  <c r="M98" i="4"/>
  <c r="L98" i="4"/>
  <c r="K98" i="4"/>
  <c r="J98" i="4"/>
  <c r="A98" i="4"/>
  <c r="N97" i="4"/>
  <c r="M97" i="4"/>
  <c r="L97" i="4"/>
  <c r="K97" i="4"/>
  <c r="J97" i="4"/>
  <c r="A97" i="4"/>
  <c r="N96" i="4"/>
  <c r="M96" i="4"/>
  <c r="L96" i="4"/>
  <c r="K96" i="4"/>
  <c r="J96" i="4"/>
  <c r="A96" i="4"/>
  <c r="N95" i="4"/>
  <c r="M95" i="4"/>
  <c r="L95" i="4"/>
  <c r="K95" i="4"/>
  <c r="J95" i="4"/>
  <c r="A95" i="4"/>
  <c r="N94" i="4"/>
  <c r="M94" i="4"/>
  <c r="L94" i="4"/>
  <c r="K94" i="4"/>
  <c r="J94" i="4"/>
  <c r="A94" i="4"/>
  <c r="N93" i="4"/>
  <c r="M93" i="4"/>
  <c r="L93" i="4"/>
  <c r="K93" i="4"/>
  <c r="J93" i="4"/>
  <c r="A93" i="4"/>
  <c r="N92" i="4"/>
  <c r="M92" i="4"/>
  <c r="L92" i="4"/>
  <c r="K92" i="4"/>
  <c r="J92" i="4"/>
  <c r="A92" i="4"/>
  <c r="N91" i="4"/>
  <c r="M91" i="4"/>
  <c r="L91" i="4"/>
  <c r="K91" i="4"/>
  <c r="J91" i="4"/>
  <c r="A91" i="4"/>
  <c r="N90" i="4"/>
  <c r="M90" i="4"/>
  <c r="L90" i="4"/>
  <c r="K90" i="4"/>
  <c r="J90" i="4"/>
  <c r="A90" i="4"/>
  <c r="N89" i="4"/>
  <c r="M89" i="4"/>
  <c r="L89" i="4"/>
  <c r="K89" i="4"/>
  <c r="J89" i="4"/>
  <c r="A89" i="4"/>
  <c r="N88" i="4"/>
  <c r="M88" i="4"/>
  <c r="L88" i="4"/>
  <c r="K88" i="4"/>
  <c r="J88" i="4"/>
  <c r="A88" i="4"/>
  <c r="N87" i="4"/>
  <c r="M87" i="4"/>
  <c r="L87" i="4"/>
  <c r="K87" i="4"/>
  <c r="J87" i="4"/>
  <c r="A87" i="4"/>
  <c r="N86" i="4"/>
  <c r="M86" i="4"/>
  <c r="L86" i="4"/>
  <c r="K86" i="4"/>
  <c r="J86" i="4"/>
  <c r="A86" i="4"/>
  <c r="N85" i="4"/>
  <c r="M85" i="4"/>
  <c r="L85" i="4"/>
  <c r="K85" i="4"/>
  <c r="J85" i="4"/>
  <c r="A85" i="4"/>
  <c r="N84" i="4"/>
  <c r="M84" i="4"/>
  <c r="L84" i="4"/>
  <c r="K84" i="4"/>
  <c r="J84" i="4"/>
  <c r="A84" i="4"/>
  <c r="N83" i="4"/>
  <c r="M83" i="4"/>
  <c r="L83" i="4"/>
  <c r="K83" i="4"/>
  <c r="J83" i="4"/>
  <c r="A83" i="4"/>
  <c r="N82" i="4"/>
  <c r="M82" i="4"/>
  <c r="L82" i="4"/>
  <c r="K82" i="4"/>
  <c r="J82" i="4"/>
  <c r="A82" i="4"/>
  <c r="N81" i="4"/>
  <c r="M81" i="4"/>
  <c r="L81" i="4"/>
  <c r="K81" i="4"/>
  <c r="J81" i="4"/>
  <c r="A81" i="4"/>
  <c r="N80" i="4"/>
  <c r="M80" i="4"/>
  <c r="L80" i="4"/>
  <c r="K80" i="4"/>
  <c r="J80" i="4"/>
  <c r="A80" i="4"/>
  <c r="N79" i="4"/>
  <c r="M79" i="4"/>
  <c r="L79" i="4"/>
  <c r="K79" i="4"/>
  <c r="J79" i="4"/>
  <c r="A79" i="4"/>
  <c r="N78" i="4"/>
  <c r="M78" i="4"/>
  <c r="L78" i="4"/>
  <c r="K78" i="4"/>
  <c r="J78" i="4"/>
  <c r="A78" i="4"/>
  <c r="N77" i="4"/>
  <c r="M77" i="4"/>
  <c r="L77" i="4"/>
  <c r="K77" i="4"/>
  <c r="J77" i="4"/>
  <c r="A77" i="4"/>
  <c r="N76" i="4"/>
  <c r="M76" i="4"/>
  <c r="L76" i="4"/>
  <c r="K76" i="4"/>
  <c r="J76" i="4"/>
  <c r="A76" i="4"/>
  <c r="N75" i="4"/>
  <c r="M75" i="4"/>
  <c r="L75" i="4"/>
  <c r="K75" i="4"/>
  <c r="J75" i="4"/>
  <c r="A75" i="4"/>
  <c r="N74" i="4"/>
  <c r="M74" i="4"/>
  <c r="L74" i="4"/>
  <c r="K74" i="4"/>
  <c r="J74" i="4"/>
  <c r="A74" i="4"/>
  <c r="N73" i="4"/>
  <c r="M73" i="4"/>
  <c r="L73" i="4"/>
  <c r="K73" i="4"/>
  <c r="J73" i="4"/>
  <c r="A73" i="4"/>
  <c r="N72" i="4"/>
  <c r="M72" i="4"/>
  <c r="L72" i="4"/>
  <c r="K72" i="4"/>
  <c r="J72" i="4"/>
  <c r="A72" i="4"/>
  <c r="N71" i="4"/>
  <c r="M71" i="4"/>
  <c r="L71" i="4"/>
  <c r="K71" i="4"/>
  <c r="J71" i="4"/>
  <c r="A71" i="4"/>
  <c r="N70" i="4"/>
  <c r="M70" i="4"/>
  <c r="L70" i="4"/>
  <c r="K70" i="4"/>
  <c r="J70" i="4"/>
  <c r="A70" i="4"/>
  <c r="N69" i="4"/>
  <c r="M69" i="4"/>
  <c r="L69" i="4"/>
  <c r="K69" i="4"/>
  <c r="J69" i="4"/>
  <c r="A69" i="4"/>
  <c r="N68" i="4"/>
  <c r="M68" i="4"/>
  <c r="L68" i="4"/>
  <c r="K68" i="4"/>
  <c r="J68" i="4"/>
  <c r="A68" i="4"/>
  <c r="N67" i="4"/>
  <c r="M67" i="4"/>
  <c r="L67" i="4"/>
  <c r="K67" i="4"/>
  <c r="J67" i="4"/>
  <c r="A67" i="4"/>
  <c r="N66" i="4"/>
  <c r="M66" i="4"/>
  <c r="L66" i="4"/>
  <c r="K66" i="4"/>
  <c r="J66" i="4"/>
  <c r="A66" i="4"/>
  <c r="N65" i="4"/>
  <c r="M65" i="4"/>
  <c r="L65" i="4"/>
  <c r="K65" i="4"/>
  <c r="J65" i="4"/>
  <c r="A65" i="4"/>
  <c r="N64" i="4"/>
  <c r="M64" i="4"/>
  <c r="L64" i="4"/>
  <c r="K64" i="4"/>
  <c r="J64" i="4"/>
  <c r="A64" i="4"/>
  <c r="N63" i="4"/>
  <c r="M63" i="4"/>
  <c r="L63" i="4"/>
  <c r="K63" i="4"/>
  <c r="J63" i="4"/>
  <c r="A63" i="4"/>
  <c r="N62" i="4"/>
  <c r="M62" i="4"/>
  <c r="L62" i="4"/>
  <c r="K62" i="4"/>
  <c r="J62" i="4"/>
  <c r="A62" i="4"/>
  <c r="N61" i="4"/>
  <c r="M61" i="4"/>
  <c r="L61" i="4"/>
  <c r="K61" i="4"/>
  <c r="J61" i="4"/>
  <c r="A61" i="4"/>
  <c r="N60" i="4"/>
  <c r="M60" i="4"/>
  <c r="L60" i="4"/>
  <c r="K60" i="4"/>
  <c r="J60" i="4"/>
  <c r="A60" i="4"/>
  <c r="N59" i="4"/>
  <c r="M59" i="4"/>
  <c r="L59" i="4"/>
  <c r="K59" i="4"/>
  <c r="J59" i="4"/>
  <c r="A59" i="4"/>
  <c r="N58" i="4"/>
  <c r="M58" i="4"/>
  <c r="L58" i="4"/>
  <c r="K58" i="4"/>
  <c r="J58" i="4"/>
  <c r="A58" i="4"/>
  <c r="N57" i="4"/>
  <c r="M57" i="4"/>
  <c r="L57" i="4"/>
  <c r="K57" i="4"/>
  <c r="J57" i="4"/>
  <c r="A57" i="4"/>
  <c r="N56" i="4"/>
  <c r="M56" i="4"/>
  <c r="L56" i="4"/>
  <c r="K56" i="4"/>
  <c r="J56" i="4"/>
  <c r="A56" i="4"/>
  <c r="N55" i="4"/>
  <c r="M55" i="4"/>
  <c r="L55" i="4"/>
  <c r="K55" i="4"/>
  <c r="J55" i="4"/>
  <c r="A55" i="4"/>
  <c r="N54" i="4"/>
  <c r="M54" i="4"/>
  <c r="L54" i="4"/>
  <c r="K54" i="4"/>
  <c r="J54" i="4"/>
  <c r="A54" i="4"/>
  <c r="N53" i="4"/>
  <c r="M53" i="4"/>
  <c r="L53" i="4"/>
  <c r="K53" i="4"/>
  <c r="J53" i="4"/>
  <c r="A53" i="4"/>
  <c r="L2" i="4"/>
  <c r="M2" i="4" s="1"/>
  <c r="K2" i="4"/>
  <c r="J2" i="4"/>
  <c r="A2" i="4"/>
  <c r="P201" i="3"/>
  <c r="O201" i="3"/>
  <c r="N201" i="3"/>
  <c r="M201" i="3"/>
  <c r="L201" i="3"/>
  <c r="K201" i="3"/>
  <c r="A201" i="3"/>
  <c r="P200" i="3"/>
  <c r="O200" i="3"/>
  <c r="N200" i="3"/>
  <c r="M200" i="3"/>
  <c r="L200" i="3"/>
  <c r="K200" i="3"/>
  <c r="A200" i="3"/>
  <c r="P199" i="3"/>
  <c r="O199" i="3"/>
  <c r="N199" i="3"/>
  <c r="M199" i="3"/>
  <c r="L199" i="3"/>
  <c r="K199" i="3"/>
  <c r="A199" i="3"/>
  <c r="P198" i="3"/>
  <c r="O198" i="3"/>
  <c r="N198" i="3"/>
  <c r="M198" i="3"/>
  <c r="L198" i="3"/>
  <c r="K198" i="3"/>
  <c r="A198" i="3"/>
  <c r="P197" i="3"/>
  <c r="O197" i="3"/>
  <c r="N197" i="3"/>
  <c r="M197" i="3"/>
  <c r="L197" i="3"/>
  <c r="K197" i="3"/>
  <c r="A197" i="3"/>
  <c r="P196" i="3"/>
  <c r="O196" i="3"/>
  <c r="N196" i="3"/>
  <c r="M196" i="3"/>
  <c r="L196" i="3"/>
  <c r="K196" i="3"/>
  <c r="A196" i="3"/>
  <c r="P195" i="3"/>
  <c r="O195" i="3"/>
  <c r="N195" i="3"/>
  <c r="M195" i="3"/>
  <c r="L195" i="3"/>
  <c r="K195" i="3"/>
  <c r="A195" i="3"/>
  <c r="P194" i="3"/>
  <c r="O194" i="3"/>
  <c r="N194" i="3"/>
  <c r="M194" i="3"/>
  <c r="L194" i="3"/>
  <c r="K194" i="3"/>
  <c r="A194" i="3"/>
  <c r="P193" i="3"/>
  <c r="O193" i="3"/>
  <c r="N193" i="3"/>
  <c r="M193" i="3"/>
  <c r="L193" i="3"/>
  <c r="K193" i="3"/>
  <c r="A193" i="3"/>
  <c r="P192" i="3"/>
  <c r="O192" i="3"/>
  <c r="N192" i="3"/>
  <c r="M192" i="3"/>
  <c r="L192" i="3"/>
  <c r="K192" i="3"/>
  <c r="A192" i="3"/>
  <c r="P191" i="3"/>
  <c r="O191" i="3"/>
  <c r="N191" i="3"/>
  <c r="M191" i="3"/>
  <c r="L191" i="3"/>
  <c r="K191" i="3"/>
  <c r="A191" i="3"/>
  <c r="P190" i="3"/>
  <c r="O190" i="3"/>
  <c r="N190" i="3"/>
  <c r="M190" i="3"/>
  <c r="L190" i="3"/>
  <c r="K190" i="3"/>
  <c r="A190" i="3"/>
  <c r="P189" i="3"/>
  <c r="O189" i="3"/>
  <c r="N189" i="3"/>
  <c r="M189" i="3"/>
  <c r="L189" i="3"/>
  <c r="K189" i="3"/>
  <c r="A189" i="3"/>
  <c r="P188" i="3"/>
  <c r="O188" i="3"/>
  <c r="N188" i="3"/>
  <c r="M188" i="3"/>
  <c r="L188" i="3"/>
  <c r="K188" i="3"/>
  <c r="A188" i="3"/>
  <c r="P187" i="3"/>
  <c r="O187" i="3"/>
  <c r="N187" i="3"/>
  <c r="M187" i="3"/>
  <c r="L187" i="3"/>
  <c r="K187" i="3"/>
  <c r="A187" i="3"/>
  <c r="P186" i="3"/>
  <c r="O186" i="3"/>
  <c r="N186" i="3"/>
  <c r="M186" i="3"/>
  <c r="L186" i="3"/>
  <c r="K186" i="3"/>
  <c r="A186" i="3"/>
  <c r="P185" i="3"/>
  <c r="O185" i="3"/>
  <c r="N185" i="3"/>
  <c r="M185" i="3"/>
  <c r="L185" i="3"/>
  <c r="K185" i="3"/>
  <c r="A185" i="3"/>
  <c r="P184" i="3"/>
  <c r="O184" i="3"/>
  <c r="N184" i="3"/>
  <c r="M184" i="3"/>
  <c r="L184" i="3"/>
  <c r="K184" i="3"/>
  <c r="A184" i="3"/>
  <c r="P183" i="3"/>
  <c r="O183" i="3"/>
  <c r="N183" i="3"/>
  <c r="M183" i="3"/>
  <c r="L183" i="3"/>
  <c r="K183" i="3"/>
  <c r="A183" i="3"/>
  <c r="P182" i="3"/>
  <c r="O182" i="3"/>
  <c r="N182" i="3"/>
  <c r="M182" i="3"/>
  <c r="L182" i="3"/>
  <c r="K182" i="3"/>
  <c r="A182" i="3"/>
  <c r="P181" i="3"/>
  <c r="O181" i="3"/>
  <c r="N181" i="3"/>
  <c r="M181" i="3"/>
  <c r="L181" i="3"/>
  <c r="K181" i="3"/>
  <c r="A181" i="3"/>
  <c r="P180" i="3"/>
  <c r="O180" i="3"/>
  <c r="N180" i="3"/>
  <c r="M180" i="3"/>
  <c r="L180" i="3"/>
  <c r="K180" i="3"/>
  <c r="A180" i="3"/>
  <c r="P179" i="3"/>
  <c r="O179" i="3"/>
  <c r="N179" i="3"/>
  <c r="M179" i="3"/>
  <c r="L179" i="3"/>
  <c r="K179" i="3"/>
  <c r="A179" i="3"/>
  <c r="P178" i="3"/>
  <c r="O178" i="3"/>
  <c r="N178" i="3"/>
  <c r="M178" i="3"/>
  <c r="L178" i="3"/>
  <c r="K178" i="3"/>
  <c r="A178" i="3"/>
  <c r="P177" i="3"/>
  <c r="O177" i="3"/>
  <c r="N177" i="3"/>
  <c r="M177" i="3"/>
  <c r="L177" i="3"/>
  <c r="K177" i="3"/>
  <c r="A177" i="3"/>
  <c r="P176" i="3"/>
  <c r="O176" i="3"/>
  <c r="N176" i="3"/>
  <c r="M176" i="3"/>
  <c r="L176" i="3"/>
  <c r="K176" i="3"/>
  <c r="A176" i="3"/>
  <c r="P175" i="3"/>
  <c r="O175" i="3"/>
  <c r="N175" i="3"/>
  <c r="M175" i="3"/>
  <c r="L175" i="3"/>
  <c r="K175" i="3"/>
  <c r="A175" i="3"/>
  <c r="P174" i="3"/>
  <c r="O174" i="3"/>
  <c r="N174" i="3"/>
  <c r="M174" i="3"/>
  <c r="L174" i="3"/>
  <c r="K174" i="3"/>
  <c r="A174" i="3"/>
  <c r="P173" i="3"/>
  <c r="O173" i="3"/>
  <c r="N173" i="3"/>
  <c r="M173" i="3"/>
  <c r="L173" i="3"/>
  <c r="K173" i="3"/>
  <c r="A173" i="3"/>
  <c r="P172" i="3"/>
  <c r="O172" i="3"/>
  <c r="N172" i="3"/>
  <c r="M172" i="3"/>
  <c r="L172" i="3"/>
  <c r="K172" i="3"/>
  <c r="A172" i="3"/>
  <c r="P171" i="3"/>
  <c r="O171" i="3"/>
  <c r="N171" i="3"/>
  <c r="M171" i="3"/>
  <c r="L171" i="3"/>
  <c r="K171" i="3"/>
  <c r="A171" i="3"/>
  <c r="P170" i="3"/>
  <c r="O170" i="3"/>
  <c r="N170" i="3"/>
  <c r="M170" i="3"/>
  <c r="L170" i="3"/>
  <c r="K170" i="3"/>
  <c r="A170" i="3"/>
  <c r="P169" i="3"/>
  <c r="O169" i="3"/>
  <c r="N169" i="3"/>
  <c r="M169" i="3"/>
  <c r="L169" i="3"/>
  <c r="K169" i="3"/>
  <c r="A169" i="3"/>
  <c r="P168" i="3"/>
  <c r="O168" i="3"/>
  <c r="N168" i="3"/>
  <c r="M168" i="3"/>
  <c r="L168" i="3"/>
  <c r="K168" i="3"/>
  <c r="A168" i="3"/>
  <c r="P167" i="3"/>
  <c r="O167" i="3"/>
  <c r="N167" i="3"/>
  <c r="M167" i="3"/>
  <c r="L167" i="3"/>
  <c r="K167" i="3"/>
  <c r="A167" i="3"/>
  <c r="P166" i="3"/>
  <c r="O166" i="3"/>
  <c r="N166" i="3"/>
  <c r="M166" i="3"/>
  <c r="L166" i="3"/>
  <c r="K166" i="3"/>
  <c r="A166" i="3"/>
  <c r="P165" i="3"/>
  <c r="O165" i="3"/>
  <c r="N165" i="3"/>
  <c r="M165" i="3"/>
  <c r="L165" i="3"/>
  <c r="K165" i="3"/>
  <c r="A165" i="3"/>
  <c r="P164" i="3"/>
  <c r="O164" i="3"/>
  <c r="N164" i="3"/>
  <c r="M164" i="3"/>
  <c r="L164" i="3"/>
  <c r="K164" i="3"/>
  <c r="A164" i="3"/>
  <c r="P163" i="3"/>
  <c r="O163" i="3"/>
  <c r="N163" i="3"/>
  <c r="M163" i="3"/>
  <c r="L163" i="3"/>
  <c r="K163" i="3"/>
  <c r="A163" i="3"/>
  <c r="P162" i="3"/>
  <c r="O162" i="3"/>
  <c r="N162" i="3"/>
  <c r="M162" i="3"/>
  <c r="L162" i="3"/>
  <c r="K162" i="3"/>
  <c r="A162" i="3"/>
  <c r="P161" i="3"/>
  <c r="O161" i="3"/>
  <c r="N161" i="3"/>
  <c r="M161" i="3"/>
  <c r="L161" i="3"/>
  <c r="K161" i="3"/>
  <c r="A161" i="3"/>
  <c r="P160" i="3"/>
  <c r="O160" i="3"/>
  <c r="N160" i="3"/>
  <c r="M160" i="3"/>
  <c r="L160" i="3"/>
  <c r="K160" i="3"/>
  <c r="A160" i="3"/>
  <c r="P159" i="3"/>
  <c r="O159" i="3"/>
  <c r="N159" i="3"/>
  <c r="M159" i="3"/>
  <c r="L159" i="3"/>
  <c r="K159" i="3"/>
  <c r="A159" i="3"/>
  <c r="P158" i="3"/>
  <c r="O158" i="3"/>
  <c r="N158" i="3"/>
  <c r="M158" i="3"/>
  <c r="L158" i="3"/>
  <c r="K158" i="3"/>
  <c r="A158" i="3"/>
  <c r="P157" i="3"/>
  <c r="O157" i="3"/>
  <c r="N157" i="3"/>
  <c r="M157" i="3"/>
  <c r="L157" i="3"/>
  <c r="K157" i="3"/>
  <c r="A157" i="3"/>
  <c r="P156" i="3"/>
  <c r="O156" i="3"/>
  <c r="N156" i="3"/>
  <c r="M156" i="3"/>
  <c r="L156" i="3"/>
  <c r="K156" i="3"/>
  <c r="A156" i="3"/>
  <c r="P155" i="3"/>
  <c r="O155" i="3"/>
  <c r="N155" i="3"/>
  <c r="M155" i="3"/>
  <c r="L155" i="3"/>
  <c r="K155" i="3"/>
  <c r="A155" i="3"/>
  <c r="P154" i="3"/>
  <c r="O154" i="3"/>
  <c r="N154" i="3"/>
  <c r="M154" i="3"/>
  <c r="L154" i="3"/>
  <c r="K154" i="3"/>
  <c r="A154" i="3"/>
  <c r="P153" i="3"/>
  <c r="O153" i="3"/>
  <c r="N153" i="3"/>
  <c r="M153" i="3"/>
  <c r="L153" i="3"/>
  <c r="K153" i="3"/>
  <c r="A153" i="3"/>
  <c r="P152" i="3"/>
  <c r="O152" i="3"/>
  <c r="N152" i="3"/>
  <c r="M152" i="3"/>
  <c r="L152" i="3"/>
  <c r="K152" i="3"/>
  <c r="A152" i="3"/>
  <c r="P151" i="3"/>
  <c r="O151" i="3"/>
  <c r="N151" i="3"/>
  <c r="M151" i="3"/>
  <c r="L151" i="3"/>
  <c r="K151" i="3"/>
  <c r="A151" i="3"/>
  <c r="P150" i="3"/>
  <c r="O150" i="3"/>
  <c r="N150" i="3"/>
  <c r="M150" i="3"/>
  <c r="L150" i="3"/>
  <c r="K150" i="3"/>
  <c r="A150" i="3"/>
  <c r="P149" i="3"/>
  <c r="O149" i="3"/>
  <c r="N149" i="3"/>
  <c r="M149" i="3"/>
  <c r="L149" i="3"/>
  <c r="K149" i="3"/>
  <c r="A149" i="3"/>
  <c r="P148" i="3"/>
  <c r="O148" i="3"/>
  <c r="N148" i="3"/>
  <c r="M148" i="3"/>
  <c r="L148" i="3"/>
  <c r="K148" i="3"/>
  <c r="A148" i="3"/>
  <c r="P147" i="3"/>
  <c r="O147" i="3"/>
  <c r="N147" i="3"/>
  <c r="M147" i="3"/>
  <c r="L147" i="3"/>
  <c r="K147" i="3"/>
  <c r="A147" i="3"/>
  <c r="P146" i="3"/>
  <c r="O146" i="3"/>
  <c r="N146" i="3"/>
  <c r="M146" i="3"/>
  <c r="L146" i="3"/>
  <c r="K146" i="3"/>
  <c r="A146" i="3"/>
  <c r="P145" i="3"/>
  <c r="O145" i="3"/>
  <c r="N145" i="3"/>
  <c r="M145" i="3"/>
  <c r="L145" i="3"/>
  <c r="K145" i="3"/>
  <c r="A145" i="3"/>
  <c r="P144" i="3"/>
  <c r="O144" i="3"/>
  <c r="N144" i="3"/>
  <c r="M144" i="3"/>
  <c r="L144" i="3"/>
  <c r="K144" i="3"/>
  <c r="A144" i="3"/>
  <c r="P143" i="3"/>
  <c r="O143" i="3"/>
  <c r="N143" i="3"/>
  <c r="M143" i="3"/>
  <c r="L143" i="3"/>
  <c r="K143" i="3"/>
  <c r="A143" i="3"/>
  <c r="P142" i="3"/>
  <c r="O142" i="3"/>
  <c r="N142" i="3"/>
  <c r="M142" i="3"/>
  <c r="L142" i="3"/>
  <c r="K142" i="3"/>
  <c r="A142" i="3"/>
  <c r="P141" i="3"/>
  <c r="O141" i="3"/>
  <c r="N141" i="3"/>
  <c r="M141" i="3"/>
  <c r="L141" i="3"/>
  <c r="K141" i="3"/>
  <c r="A141" i="3"/>
  <c r="P140" i="3"/>
  <c r="O140" i="3"/>
  <c r="N140" i="3"/>
  <c r="M140" i="3"/>
  <c r="L140" i="3"/>
  <c r="K140" i="3"/>
  <c r="A140" i="3"/>
  <c r="P139" i="3"/>
  <c r="O139" i="3"/>
  <c r="N139" i="3"/>
  <c r="M139" i="3"/>
  <c r="L139" i="3"/>
  <c r="K139" i="3"/>
  <c r="A139" i="3"/>
  <c r="P138" i="3"/>
  <c r="O138" i="3"/>
  <c r="N138" i="3"/>
  <c r="M138" i="3"/>
  <c r="L138" i="3"/>
  <c r="K138" i="3"/>
  <c r="A138" i="3"/>
  <c r="P137" i="3"/>
  <c r="O137" i="3"/>
  <c r="N137" i="3"/>
  <c r="M137" i="3"/>
  <c r="L137" i="3"/>
  <c r="K137" i="3"/>
  <c r="A137" i="3"/>
  <c r="P136" i="3"/>
  <c r="O136" i="3"/>
  <c r="N136" i="3"/>
  <c r="M136" i="3"/>
  <c r="L136" i="3"/>
  <c r="K136" i="3"/>
  <c r="A136" i="3"/>
  <c r="P135" i="3"/>
  <c r="O135" i="3"/>
  <c r="N135" i="3"/>
  <c r="M135" i="3"/>
  <c r="L135" i="3"/>
  <c r="K135" i="3"/>
  <c r="A135" i="3"/>
  <c r="P134" i="3"/>
  <c r="O134" i="3"/>
  <c r="N134" i="3"/>
  <c r="M134" i="3"/>
  <c r="L134" i="3"/>
  <c r="K134" i="3"/>
  <c r="A134" i="3"/>
  <c r="P133" i="3"/>
  <c r="O133" i="3"/>
  <c r="N133" i="3"/>
  <c r="M133" i="3"/>
  <c r="L133" i="3"/>
  <c r="K133" i="3"/>
  <c r="A133" i="3"/>
  <c r="P132" i="3"/>
  <c r="O132" i="3"/>
  <c r="N132" i="3"/>
  <c r="M132" i="3"/>
  <c r="L132" i="3"/>
  <c r="K132" i="3"/>
  <c r="A132" i="3"/>
  <c r="P131" i="3"/>
  <c r="O131" i="3"/>
  <c r="N131" i="3"/>
  <c r="M131" i="3"/>
  <c r="L131" i="3"/>
  <c r="K131" i="3"/>
  <c r="A131" i="3"/>
  <c r="P130" i="3"/>
  <c r="O130" i="3"/>
  <c r="N130" i="3"/>
  <c r="M130" i="3"/>
  <c r="L130" i="3"/>
  <c r="K130" i="3"/>
  <c r="A130" i="3"/>
  <c r="P129" i="3"/>
  <c r="O129" i="3"/>
  <c r="N129" i="3"/>
  <c r="M129" i="3"/>
  <c r="L129" i="3"/>
  <c r="K129" i="3"/>
  <c r="A129" i="3"/>
  <c r="P128" i="3"/>
  <c r="O128" i="3"/>
  <c r="N128" i="3"/>
  <c r="M128" i="3"/>
  <c r="L128" i="3"/>
  <c r="K128" i="3"/>
  <c r="A128" i="3"/>
  <c r="P127" i="3"/>
  <c r="O127" i="3"/>
  <c r="N127" i="3"/>
  <c r="M127" i="3"/>
  <c r="L127" i="3"/>
  <c r="K127" i="3"/>
  <c r="A127" i="3"/>
  <c r="P126" i="3"/>
  <c r="O126" i="3"/>
  <c r="N126" i="3"/>
  <c r="M126" i="3"/>
  <c r="L126" i="3"/>
  <c r="K126" i="3"/>
  <c r="A126" i="3"/>
  <c r="P125" i="3"/>
  <c r="O125" i="3"/>
  <c r="N125" i="3"/>
  <c r="M125" i="3"/>
  <c r="L125" i="3"/>
  <c r="K125" i="3"/>
  <c r="A125" i="3"/>
  <c r="P124" i="3"/>
  <c r="O124" i="3"/>
  <c r="N124" i="3"/>
  <c r="M124" i="3"/>
  <c r="L124" i="3"/>
  <c r="K124" i="3"/>
  <c r="A124" i="3"/>
  <c r="P123" i="3"/>
  <c r="O123" i="3"/>
  <c r="N123" i="3"/>
  <c r="M123" i="3"/>
  <c r="L123" i="3"/>
  <c r="K123" i="3"/>
  <c r="A123" i="3"/>
  <c r="P122" i="3"/>
  <c r="O122" i="3"/>
  <c r="N122" i="3"/>
  <c r="M122" i="3"/>
  <c r="L122" i="3"/>
  <c r="K122" i="3"/>
  <c r="A122" i="3"/>
  <c r="P121" i="3"/>
  <c r="O121" i="3"/>
  <c r="N121" i="3"/>
  <c r="M121" i="3"/>
  <c r="L121" i="3"/>
  <c r="K121" i="3"/>
  <c r="A121" i="3"/>
  <c r="P120" i="3"/>
  <c r="O120" i="3"/>
  <c r="N120" i="3"/>
  <c r="M120" i="3"/>
  <c r="L120" i="3"/>
  <c r="K120" i="3"/>
  <c r="A120" i="3"/>
  <c r="P119" i="3"/>
  <c r="O119" i="3"/>
  <c r="N119" i="3"/>
  <c r="M119" i="3"/>
  <c r="L119" i="3"/>
  <c r="K119" i="3"/>
  <c r="A119" i="3"/>
  <c r="P118" i="3"/>
  <c r="O118" i="3"/>
  <c r="N118" i="3"/>
  <c r="M118" i="3"/>
  <c r="L118" i="3"/>
  <c r="K118" i="3"/>
  <c r="A118" i="3"/>
  <c r="P117" i="3"/>
  <c r="O117" i="3"/>
  <c r="N117" i="3"/>
  <c r="M117" i="3"/>
  <c r="L117" i="3"/>
  <c r="K117" i="3"/>
  <c r="A117" i="3"/>
  <c r="P116" i="3"/>
  <c r="O116" i="3"/>
  <c r="N116" i="3"/>
  <c r="M116" i="3"/>
  <c r="L116" i="3"/>
  <c r="K116" i="3"/>
  <c r="A116" i="3"/>
  <c r="P115" i="3"/>
  <c r="O115" i="3"/>
  <c r="N115" i="3"/>
  <c r="M115" i="3"/>
  <c r="L115" i="3"/>
  <c r="K115" i="3"/>
  <c r="A115" i="3"/>
  <c r="P114" i="3"/>
  <c r="O114" i="3"/>
  <c r="N114" i="3"/>
  <c r="M114" i="3"/>
  <c r="L114" i="3"/>
  <c r="K114" i="3"/>
  <c r="A114" i="3"/>
  <c r="P113" i="3"/>
  <c r="O113" i="3"/>
  <c r="N113" i="3"/>
  <c r="M113" i="3"/>
  <c r="L113" i="3"/>
  <c r="K113" i="3"/>
  <c r="A113" i="3"/>
  <c r="P112" i="3"/>
  <c r="O112" i="3"/>
  <c r="N112" i="3"/>
  <c r="M112" i="3"/>
  <c r="L112" i="3"/>
  <c r="K112" i="3"/>
  <c r="A112" i="3"/>
  <c r="P111" i="3"/>
  <c r="O111" i="3"/>
  <c r="N111" i="3"/>
  <c r="M111" i="3"/>
  <c r="L111" i="3"/>
  <c r="K111" i="3"/>
  <c r="A111" i="3"/>
  <c r="P110" i="3"/>
  <c r="O110" i="3"/>
  <c r="N110" i="3"/>
  <c r="M110" i="3"/>
  <c r="L110" i="3"/>
  <c r="K110" i="3"/>
  <c r="A110" i="3"/>
  <c r="P109" i="3"/>
  <c r="O109" i="3"/>
  <c r="N109" i="3"/>
  <c r="M109" i="3"/>
  <c r="L109" i="3"/>
  <c r="K109" i="3"/>
  <c r="A109" i="3"/>
  <c r="P108" i="3"/>
  <c r="O108" i="3"/>
  <c r="N108" i="3"/>
  <c r="M108" i="3"/>
  <c r="L108" i="3"/>
  <c r="K108" i="3"/>
  <c r="A108" i="3"/>
  <c r="P107" i="3"/>
  <c r="O107" i="3"/>
  <c r="N107" i="3"/>
  <c r="M107" i="3"/>
  <c r="L107" i="3"/>
  <c r="K107" i="3"/>
  <c r="A107" i="3"/>
  <c r="P106" i="3"/>
  <c r="O106" i="3"/>
  <c r="N106" i="3"/>
  <c r="M106" i="3"/>
  <c r="L106" i="3"/>
  <c r="K106" i="3"/>
  <c r="A106" i="3"/>
  <c r="P105" i="3"/>
  <c r="O105" i="3"/>
  <c r="N105" i="3"/>
  <c r="M105" i="3"/>
  <c r="L105" i="3"/>
  <c r="K105" i="3"/>
  <c r="A105" i="3"/>
  <c r="P104" i="3"/>
  <c r="O104" i="3"/>
  <c r="N104" i="3"/>
  <c r="M104" i="3"/>
  <c r="L104" i="3"/>
  <c r="K104" i="3"/>
  <c r="A104" i="3"/>
  <c r="P103" i="3"/>
  <c r="O103" i="3"/>
  <c r="N103" i="3"/>
  <c r="M103" i="3"/>
  <c r="L103" i="3"/>
  <c r="K103" i="3"/>
  <c r="A103" i="3"/>
  <c r="P102" i="3"/>
  <c r="O102" i="3"/>
  <c r="N102" i="3"/>
  <c r="M102" i="3"/>
  <c r="L102" i="3"/>
  <c r="K102" i="3"/>
  <c r="A102" i="3"/>
  <c r="P101" i="3"/>
  <c r="O101" i="3"/>
  <c r="N101" i="3"/>
  <c r="M101" i="3"/>
  <c r="L101" i="3"/>
  <c r="K101" i="3"/>
  <c r="A101" i="3"/>
  <c r="P100" i="3"/>
  <c r="O100" i="3"/>
  <c r="N100" i="3"/>
  <c r="M100" i="3"/>
  <c r="L100" i="3"/>
  <c r="K100" i="3"/>
  <c r="A100" i="3"/>
  <c r="P99" i="3"/>
  <c r="O99" i="3"/>
  <c r="N99" i="3"/>
  <c r="M99" i="3"/>
  <c r="L99" i="3"/>
  <c r="K99" i="3"/>
  <c r="A99" i="3"/>
  <c r="P98" i="3"/>
  <c r="O98" i="3"/>
  <c r="N98" i="3"/>
  <c r="M98" i="3"/>
  <c r="L98" i="3"/>
  <c r="K98" i="3"/>
  <c r="A98" i="3"/>
  <c r="P97" i="3"/>
  <c r="O97" i="3"/>
  <c r="N97" i="3"/>
  <c r="M97" i="3"/>
  <c r="L97" i="3"/>
  <c r="K97" i="3"/>
  <c r="A97" i="3"/>
  <c r="P96" i="3"/>
  <c r="O96" i="3"/>
  <c r="N96" i="3"/>
  <c r="M96" i="3"/>
  <c r="L96" i="3"/>
  <c r="K96" i="3"/>
  <c r="A96" i="3"/>
  <c r="P95" i="3"/>
  <c r="O95" i="3"/>
  <c r="N95" i="3"/>
  <c r="M95" i="3"/>
  <c r="L95" i="3"/>
  <c r="K95" i="3"/>
  <c r="A95" i="3"/>
  <c r="P94" i="3"/>
  <c r="O94" i="3"/>
  <c r="N94" i="3"/>
  <c r="M94" i="3"/>
  <c r="L94" i="3"/>
  <c r="K94" i="3"/>
  <c r="A94" i="3"/>
  <c r="P93" i="3"/>
  <c r="O93" i="3"/>
  <c r="N93" i="3"/>
  <c r="M93" i="3"/>
  <c r="L93" i="3"/>
  <c r="K93" i="3"/>
  <c r="A93" i="3"/>
  <c r="P92" i="3"/>
  <c r="O92" i="3"/>
  <c r="N92" i="3"/>
  <c r="M92" i="3"/>
  <c r="L92" i="3"/>
  <c r="K92" i="3"/>
  <c r="A92" i="3"/>
  <c r="P91" i="3"/>
  <c r="O91" i="3"/>
  <c r="N91" i="3"/>
  <c r="M91" i="3"/>
  <c r="L91" i="3"/>
  <c r="K91" i="3"/>
  <c r="A91" i="3"/>
  <c r="P90" i="3"/>
  <c r="O90" i="3"/>
  <c r="N90" i="3"/>
  <c r="M90" i="3"/>
  <c r="L90" i="3"/>
  <c r="K90" i="3"/>
  <c r="A90" i="3"/>
  <c r="P89" i="3"/>
  <c r="O89" i="3"/>
  <c r="N89" i="3"/>
  <c r="M89" i="3"/>
  <c r="L89" i="3"/>
  <c r="K89" i="3"/>
  <c r="A89" i="3"/>
  <c r="P88" i="3"/>
  <c r="O88" i="3"/>
  <c r="N88" i="3"/>
  <c r="M88" i="3"/>
  <c r="L88" i="3"/>
  <c r="K88" i="3"/>
  <c r="A88" i="3"/>
  <c r="P87" i="3"/>
  <c r="O87" i="3"/>
  <c r="N87" i="3"/>
  <c r="M87" i="3"/>
  <c r="L87" i="3"/>
  <c r="K87" i="3"/>
  <c r="A87" i="3"/>
  <c r="P86" i="3"/>
  <c r="O86" i="3"/>
  <c r="N86" i="3"/>
  <c r="M86" i="3"/>
  <c r="L86" i="3"/>
  <c r="K86" i="3"/>
  <c r="A86" i="3"/>
  <c r="P85" i="3"/>
  <c r="O85" i="3"/>
  <c r="N85" i="3"/>
  <c r="M85" i="3"/>
  <c r="L85" i="3"/>
  <c r="K85" i="3"/>
  <c r="A85" i="3"/>
  <c r="P84" i="3"/>
  <c r="O84" i="3"/>
  <c r="N84" i="3"/>
  <c r="M84" i="3"/>
  <c r="L84" i="3"/>
  <c r="K84" i="3"/>
  <c r="A84" i="3"/>
  <c r="P83" i="3"/>
  <c r="O83" i="3"/>
  <c r="N83" i="3"/>
  <c r="M83" i="3"/>
  <c r="L83" i="3"/>
  <c r="K83" i="3"/>
  <c r="A83" i="3"/>
  <c r="P82" i="3"/>
  <c r="O82" i="3"/>
  <c r="N82" i="3"/>
  <c r="M82" i="3"/>
  <c r="L82" i="3"/>
  <c r="K82" i="3"/>
  <c r="A82" i="3"/>
  <c r="P81" i="3"/>
  <c r="O81" i="3"/>
  <c r="N81" i="3"/>
  <c r="M81" i="3"/>
  <c r="L81" i="3"/>
  <c r="K81" i="3"/>
  <c r="A81" i="3"/>
  <c r="P80" i="3"/>
  <c r="O80" i="3"/>
  <c r="N80" i="3"/>
  <c r="M80" i="3"/>
  <c r="L80" i="3"/>
  <c r="K80" i="3"/>
  <c r="A80" i="3"/>
  <c r="P79" i="3"/>
  <c r="O79" i="3"/>
  <c r="N79" i="3"/>
  <c r="M79" i="3"/>
  <c r="L79" i="3"/>
  <c r="K79" i="3"/>
  <c r="A79" i="3"/>
  <c r="P78" i="3"/>
  <c r="O78" i="3"/>
  <c r="N78" i="3"/>
  <c r="M78" i="3"/>
  <c r="L78" i="3"/>
  <c r="K78" i="3"/>
  <c r="A78" i="3"/>
  <c r="P77" i="3"/>
  <c r="O77" i="3"/>
  <c r="N77" i="3"/>
  <c r="M77" i="3"/>
  <c r="L77" i="3"/>
  <c r="K77" i="3"/>
  <c r="A77" i="3"/>
  <c r="P76" i="3"/>
  <c r="O76" i="3"/>
  <c r="N76" i="3"/>
  <c r="M76" i="3"/>
  <c r="L76" i="3"/>
  <c r="K76" i="3"/>
  <c r="A76" i="3"/>
  <c r="P75" i="3"/>
  <c r="O75" i="3"/>
  <c r="N75" i="3"/>
  <c r="M75" i="3"/>
  <c r="L75" i="3"/>
  <c r="K75" i="3"/>
  <c r="A75" i="3"/>
  <c r="P74" i="3"/>
  <c r="O74" i="3"/>
  <c r="N74" i="3"/>
  <c r="M74" i="3"/>
  <c r="L74" i="3"/>
  <c r="K74" i="3"/>
  <c r="A74" i="3"/>
  <c r="P73" i="3"/>
  <c r="O73" i="3"/>
  <c r="N73" i="3"/>
  <c r="M73" i="3"/>
  <c r="L73" i="3"/>
  <c r="K73" i="3"/>
  <c r="A73" i="3"/>
  <c r="P72" i="3"/>
  <c r="O72" i="3"/>
  <c r="N72" i="3"/>
  <c r="M72" i="3"/>
  <c r="L72" i="3"/>
  <c r="K72" i="3"/>
  <c r="A72" i="3"/>
  <c r="P71" i="3"/>
  <c r="O71" i="3"/>
  <c r="N71" i="3"/>
  <c r="M71" i="3"/>
  <c r="L71" i="3"/>
  <c r="K71" i="3"/>
  <c r="A71" i="3"/>
  <c r="P70" i="3"/>
  <c r="O70" i="3"/>
  <c r="N70" i="3"/>
  <c r="M70" i="3"/>
  <c r="L70" i="3"/>
  <c r="K70" i="3"/>
  <c r="A70" i="3"/>
  <c r="P69" i="3"/>
  <c r="O69" i="3"/>
  <c r="N69" i="3"/>
  <c r="M69" i="3"/>
  <c r="L69" i="3"/>
  <c r="K69" i="3"/>
  <c r="A69" i="3"/>
  <c r="P68" i="3"/>
  <c r="O68" i="3"/>
  <c r="N68" i="3"/>
  <c r="M68" i="3"/>
  <c r="L68" i="3"/>
  <c r="K68" i="3"/>
  <c r="A68" i="3"/>
  <c r="P67" i="3"/>
  <c r="O67" i="3"/>
  <c r="N67" i="3"/>
  <c r="M67" i="3"/>
  <c r="L67" i="3"/>
  <c r="K67" i="3"/>
  <c r="A67" i="3"/>
  <c r="P66" i="3"/>
  <c r="O66" i="3"/>
  <c r="N66" i="3"/>
  <c r="M66" i="3"/>
  <c r="L66" i="3"/>
  <c r="K66" i="3"/>
  <c r="A66" i="3"/>
  <c r="P65" i="3"/>
  <c r="O65" i="3"/>
  <c r="N65" i="3"/>
  <c r="M65" i="3"/>
  <c r="L65" i="3"/>
  <c r="K65" i="3"/>
  <c r="A65" i="3"/>
  <c r="P64" i="3"/>
  <c r="O64" i="3"/>
  <c r="N64" i="3"/>
  <c r="M64" i="3"/>
  <c r="L64" i="3"/>
  <c r="K64" i="3"/>
  <c r="A64" i="3"/>
  <c r="P63" i="3"/>
  <c r="O63" i="3"/>
  <c r="N63" i="3"/>
  <c r="M63" i="3"/>
  <c r="L63" i="3"/>
  <c r="K63" i="3"/>
  <c r="A63" i="3"/>
  <c r="P62" i="3"/>
  <c r="O62" i="3"/>
  <c r="N62" i="3"/>
  <c r="M62" i="3"/>
  <c r="L62" i="3"/>
  <c r="K62" i="3"/>
  <c r="A62" i="3"/>
  <c r="P61" i="3"/>
  <c r="O61" i="3"/>
  <c r="N61" i="3"/>
  <c r="M61" i="3"/>
  <c r="L61" i="3"/>
  <c r="K61" i="3"/>
  <c r="A61" i="3"/>
  <c r="P60" i="3"/>
  <c r="O60" i="3"/>
  <c r="N60" i="3"/>
  <c r="M60" i="3"/>
  <c r="L60" i="3"/>
  <c r="K60" i="3"/>
  <c r="A60" i="3"/>
  <c r="P59" i="3"/>
  <c r="O59" i="3"/>
  <c r="N59" i="3"/>
  <c r="M59" i="3"/>
  <c r="L59" i="3"/>
  <c r="K59" i="3"/>
  <c r="A59" i="3"/>
  <c r="P58" i="3"/>
  <c r="O58" i="3"/>
  <c r="N58" i="3"/>
  <c r="M58" i="3"/>
  <c r="L58" i="3"/>
  <c r="K58" i="3"/>
  <c r="A58" i="3"/>
  <c r="P57" i="3"/>
  <c r="O57" i="3"/>
  <c r="N57" i="3"/>
  <c r="M57" i="3"/>
  <c r="L57" i="3"/>
  <c r="K57" i="3"/>
  <c r="A57" i="3"/>
  <c r="P56" i="3"/>
  <c r="O56" i="3"/>
  <c r="N56" i="3"/>
  <c r="M56" i="3"/>
  <c r="L56" i="3"/>
  <c r="K56" i="3"/>
  <c r="A56" i="3"/>
  <c r="P55" i="3"/>
  <c r="O55" i="3"/>
  <c r="N55" i="3"/>
  <c r="M55" i="3"/>
  <c r="L55" i="3"/>
  <c r="K55" i="3"/>
  <c r="A55" i="3"/>
  <c r="P54" i="3"/>
  <c r="O54" i="3"/>
  <c r="N54" i="3"/>
  <c r="M54" i="3"/>
  <c r="L54" i="3"/>
  <c r="K54" i="3"/>
  <c r="A54" i="3"/>
  <c r="P53" i="3"/>
  <c r="O53" i="3"/>
  <c r="N53" i="3"/>
  <c r="M53" i="3"/>
  <c r="L53" i="3"/>
  <c r="K53" i="3"/>
  <c r="A53" i="3"/>
  <c r="N52" i="3"/>
  <c r="M52" i="3"/>
  <c r="L52" i="3"/>
  <c r="K52" i="3"/>
  <c r="O52" i="3" s="1"/>
  <c r="A52" i="3"/>
  <c r="N51" i="3"/>
  <c r="M51" i="3"/>
  <c r="L51" i="3"/>
  <c r="K51" i="3"/>
  <c r="O51" i="3" s="1"/>
  <c r="A51" i="3"/>
  <c r="N50" i="3"/>
  <c r="M50" i="3"/>
  <c r="L50" i="3"/>
  <c r="K50" i="3"/>
  <c r="O50" i="3" s="1"/>
  <c r="A50" i="3"/>
  <c r="N49" i="3"/>
  <c r="M49" i="3"/>
  <c r="L49" i="3"/>
  <c r="K49" i="3"/>
  <c r="O49" i="3" s="1"/>
  <c r="A49" i="3"/>
  <c r="O48" i="3"/>
  <c r="N48" i="3"/>
  <c r="M48" i="3"/>
  <c r="L48" i="3"/>
  <c r="K48" i="3"/>
  <c r="A48" i="3"/>
  <c r="O47" i="3"/>
  <c r="N47" i="3"/>
  <c r="M47" i="3"/>
  <c r="L47" i="3"/>
  <c r="K47" i="3"/>
  <c r="A47" i="3"/>
  <c r="N46" i="3"/>
  <c r="M46" i="3"/>
  <c r="L46" i="3"/>
  <c r="K46" i="3"/>
  <c r="O46" i="3" s="1"/>
  <c r="A46" i="3"/>
  <c r="N45" i="3"/>
  <c r="M45" i="3"/>
  <c r="L45" i="3"/>
  <c r="O45" i="3" s="1"/>
  <c r="K45" i="3"/>
  <c r="A45" i="3"/>
  <c r="N44" i="3"/>
  <c r="M44" i="3"/>
  <c r="L44" i="3"/>
  <c r="K44" i="3"/>
  <c r="O44" i="3" s="1"/>
  <c r="A44" i="3"/>
  <c r="N43" i="3"/>
  <c r="M43" i="3"/>
  <c r="L43" i="3"/>
  <c r="K43" i="3"/>
  <c r="O43" i="3" s="1"/>
  <c r="A43" i="3"/>
  <c r="N42" i="3"/>
  <c r="M42" i="3"/>
  <c r="L42" i="3"/>
  <c r="O42" i="3" s="1"/>
  <c r="K42" i="3"/>
  <c r="A42" i="3"/>
  <c r="N41" i="3"/>
  <c r="M41" i="3"/>
  <c r="L41" i="3"/>
  <c r="K41" i="3"/>
  <c r="O41" i="3" s="1"/>
  <c r="A41" i="3"/>
  <c r="N40" i="3"/>
  <c r="M40" i="3"/>
  <c r="L40" i="3"/>
  <c r="K40" i="3"/>
  <c r="O40" i="3" s="1"/>
  <c r="A40" i="3"/>
  <c r="N39" i="3"/>
  <c r="M39" i="3"/>
  <c r="L39" i="3"/>
  <c r="K39" i="3"/>
  <c r="O39" i="3" s="1"/>
  <c r="A39" i="3"/>
  <c r="N38" i="3"/>
  <c r="M38" i="3"/>
  <c r="L38" i="3"/>
  <c r="K38" i="3"/>
  <c r="O38" i="3" s="1"/>
  <c r="A38" i="3"/>
  <c r="N37" i="3"/>
  <c r="M37" i="3"/>
  <c r="L37" i="3"/>
  <c r="K37" i="3"/>
  <c r="O37" i="3" s="1"/>
  <c r="A37" i="3"/>
  <c r="O36" i="3"/>
  <c r="N36" i="3"/>
  <c r="M36" i="3"/>
  <c r="L36" i="3"/>
  <c r="K36" i="3"/>
  <c r="A36" i="3"/>
  <c r="O35" i="3"/>
  <c r="N35" i="3"/>
  <c r="M35" i="3"/>
  <c r="L35" i="3"/>
  <c r="K35" i="3"/>
  <c r="A35" i="3"/>
  <c r="N34" i="3"/>
  <c r="M34" i="3"/>
  <c r="L34" i="3"/>
  <c r="K34" i="3"/>
  <c r="O34" i="3" s="1"/>
  <c r="A34" i="3"/>
  <c r="N33" i="3"/>
  <c r="M33" i="3"/>
  <c r="L33" i="3"/>
  <c r="O33" i="3" s="1"/>
  <c r="K33" i="3"/>
  <c r="A33" i="3"/>
  <c r="N32" i="3"/>
  <c r="M32" i="3"/>
  <c r="L32" i="3"/>
  <c r="K32" i="3"/>
  <c r="O32" i="3" s="1"/>
  <c r="A32" i="3"/>
  <c r="N31" i="3"/>
  <c r="M31" i="3"/>
  <c r="L31" i="3"/>
  <c r="K31" i="3"/>
  <c r="O31" i="3" s="1"/>
  <c r="A31" i="3"/>
  <c r="N30" i="3"/>
  <c r="M30" i="3"/>
  <c r="L30" i="3"/>
  <c r="O30" i="3" s="1"/>
  <c r="K30" i="3"/>
  <c r="A30" i="3"/>
  <c r="N29" i="3"/>
  <c r="M29" i="3"/>
  <c r="L29" i="3"/>
  <c r="K29" i="3"/>
  <c r="O29" i="3" s="1"/>
  <c r="A29" i="3"/>
  <c r="N28" i="3"/>
  <c r="M28" i="3"/>
  <c r="L28" i="3"/>
  <c r="K28" i="3"/>
  <c r="O28" i="3" s="1"/>
  <c r="A28" i="3"/>
  <c r="O27" i="3"/>
  <c r="N27" i="3"/>
  <c r="M27" i="3"/>
  <c r="L27" i="3"/>
  <c r="K27" i="3"/>
  <c r="A27" i="3"/>
  <c r="N26" i="3"/>
  <c r="M26" i="3"/>
  <c r="L26" i="3"/>
  <c r="K26" i="3"/>
  <c r="O26" i="3" s="1"/>
  <c r="A26" i="3"/>
  <c r="N25" i="3"/>
  <c r="M25" i="3"/>
  <c r="L25" i="3"/>
  <c r="K25" i="3"/>
  <c r="O25" i="3" s="1"/>
  <c r="A25" i="3"/>
  <c r="O24" i="3"/>
  <c r="N24" i="3"/>
  <c r="M24" i="3"/>
  <c r="L24" i="3"/>
  <c r="K24" i="3"/>
  <c r="A24" i="3"/>
  <c r="N23" i="3"/>
  <c r="M23" i="3"/>
  <c r="O23" i="3" s="1"/>
  <c r="L23" i="3"/>
  <c r="K23" i="3"/>
  <c r="A23" i="3"/>
  <c r="N22" i="3"/>
  <c r="O22" i="3" s="1"/>
  <c r="M22" i="3"/>
  <c r="L22" i="3"/>
  <c r="K22" i="3"/>
  <c r="A22" i="3"/>
  <c r="N21" i="3"/>
  <c r="M21" i="3"/>
  <c r="L21" i="3"/>
  <c r="O21" i="3" s="1"/>
  <c r="K21" i="3"/>
  <c r="A21" i="3"/>
  <c r="N20" i="3"/>
  <c r="M20" i="3"/>
  <c r="L20" i="3"/>
  <c r="K20" i="3"/>
  <c r="O20" i="3" s="1"/>
  <c r="A20" i="3"/>
  <c r="N19" i="3"/>
  <c r="M19" i="3"/>
  <c r="L19" i="3"/>
  <c r="K19" i="3"/>
  <c r="O19" i="3" s="1"/>
  <c r="A19" i="3"/>
  <c r="N18" i="3"/>
  <c r="M18" i="3"/>
  <c r="L18" i="3"/>
  <c r="O18" i="3" s="1"/>
  <c r="K18" i="3"/>
  <c r="A18" i="3"/>
  <c r="N17" i="3"/>
  <c r="M17" i="3"/>
  <c r="L17" i="3"/>
  <c r="K17" i="3"/>
  <c r="O17" i="3" s="1"/>
  <c r="A17" i="3"/>
  <c r="N16" i="3"/>
  <c r="M16" i="3"/>
  <c r="L16" i="3"/>
  <c r="K16" i="3"/>
  <c r="O16" i="3" s="1"/>
  <c r="A16" i="3"/>
  <c r="O15" i="3"/>
  <c r="N15" i="3"/>
  <c r="M15" i="3"/>
  <c r="L15" i="3"/>
  <c r="K15" i="3"/>
  <c r="A15" i="3"/>
  <c r="N14" i="3"/>
  <c r="M14" i="3"/>
  <c r="L14" i="3"/>
  <c r="K14" i="3"/>
  <c r="O14" i="3" s="1"/>
  <c r="A14" i="3"/>
  <c r="N13" i="3"/>
  <c r="M13" i="3"/>
  <c r="L13" i="3"/>
  <c r="K13" i="3"/>
  <c r="O13" i="3" s="1"/>
  <c r="A13" i="3"/>
  <c r="O12" i="3"/>
  <c r="N12" i="3"/>
  <c r="M12" i="3"/>
  <c r="L12" i="3"/>
  <c r="K12" i="3"/>
  <c r="A12" i="3"/>
  <c r="N11" i="3"/>
  <c r="M11" i="3"/>
  <c r="O11" i="3" s="1"/>
  <c r="L11" i="3"/>
  <c r="K11" i="3"/>
  <c r="A11" i="3"/>
  <c r="N10" i="3"/>
  <c r="O10" i="3" s="1"/>
  <c r="M10" i="3"/>
  <c r="L10" i="3"/>
  <c r="K10" i="3"/>
  <c r="A10" i="3"/>
  <c r="N9" i="3"/>
  <c r="M9" i="3"/>
  <c r="L9" i="3"/>
  <c r="O9" i="3" s="1"/>
  <c r="K9" i="3"/>
  <c r="A9" i="3"/>
  <c r="N8" i="3"/>
  <c r="M8" i="3"/>
  <c r="L8" i="3"/>
  <c r="K8" i="3"/>
  <c r="O8" i="3" s="1"/>
  <c r="A8" i="3"/>
  <c r="N7" i="3"/>
  <c r="M7" i="3"/>
  <c r="L7" i="3"/>
  <c r="K7" i="3"/>
  <c r="O7" i="3" s="1"/>
  <c r="A7" i="3"/>
  <c r="N6" i="3"/>
  <c r="M6" i="3"/>
  <c r="L6" i="3"/>
  <c r="O6" i="3" s="1"/>
  <c r="K6" i="3"/>
  <c r="A6" i="3"/>
  <c r="N5" i="3"/>
  <c r="M5" i="3"/>
  <c r="L5" i="3"/>
  <c r="K5" i="3"/>
  <c r="O5" i="3" s="1"/>
  <c r="A5" i="3"/>
  <c r="N4" i="3"/>
  <c r="M4" i="3"/>
  <c r="L4" i="3"/>
  <c r="K4" i="3"/>
  <c r="O4" i="3" s="1"/>
  <c r="A4" i="3"/>
  <c r="O3" i="3"/>
  <c r="N3" i="3"/>
  <c r="M3" i="3"/>
  <c r="L3" i="3"/>
  <c r="K3" i="3"/>
  <c r="A3" i="3"/>
  <c r="N2" i="3"/>
  <c r="M2" i="3"/>
  <c r="L2" i="3"/>
  <c r="K2" i="3"/>
  <c r="A2" i="3"/>
  <c r="P201" i="2"/>
  <c r="O201" i="2"/>
  <c r="N201" i="2"/>
  <c r="M201" i="2"/>
  <c r="L201" i="2"/>
  <c r="K201" i="2"/>
  <c r="A201" i="2"/>
  <c r="P200" i="2"/>
  <c r="O200" i="2"/>
  <c r="N200" i="2"/>
  <c r="M200" i="2"/>
  <c r="L200" i="2"/>
  <c r="K200" i="2"/>
  <c r="A200" i="2"/>
  <c r="P199" i="2"/>
  <c r="O199" i="2"/>
  <c r="N199" i="2"/>
  <c r="M199" i="2"/>
  <c r="L199" i="2"/>
  <c r="K199" i="2"/>
  <c r="A199" i="2"/>
  <c r="P198" i="2"/>
  <c r="O198" i="2"/>
  <c r="N198" i="2"/>
  <c r="M198" i="2"/>
  <c r="L198" i="2"/>
  <c r="K198" i="2"/>
  <c r="A198" i="2"/>
  <c r="P197" i="2"/>
  <c r="O197" i="2"/>
  <c r="N197" i="2"/>
  <c r="M197" i="2"/>
  <c r="L197" i="2"/>
  <c r="K197" i="2"/>
  <c r="A197" i="2"/>
  <c r="P196" i="2"/>
  <c r="O196" i="2"/>
  <c r="N196" i="2"/>
  <c r="M196" i="2"/>
  <c r="L196" i="2"/>
  <c r="K196" i="2"/>
  <c r="A196" i="2"/>
  <c r="P195" i="2"/>
  <c r="O195" i="2"/>
  <c r="N195" i="2"/>
  <c r="M195" i="2"/>
  <c r="L195" i="2"/>
  <c r="K195" i="2"/>
  <c r="A195" i="2"/>
  <c r="P194" i="2"/>
  <c r="O194" i="2"/>
  <c r="N194" i="2"/>
  <c r="M194" i="2"/>
  <c r="L194" i="2"/>
  <c r="K194" i="2"/>
  <c r="A194" i="2"/>
  <c r="P193" i="2"/>
  <c r="O193" i="2"/>
  <c r="N193" i="2"/>
  <c r="M193" i="2"/>
  <c r="L193" i="2"/>
  <c r="K193" i="2"/>
  <c r="A193" i="2"/>
  <c r="P192" i="2"/>
  <c r="O192" i="2"/>
  <c r="N192" i="2"/>
  <c r="M192" i="2"/>
  <c r="L192" i="2"/>
  <c r="K192" i="2"/>
  <c r="A192" i="2"/>
  <c r="P191" i="2"/>
  <c r="O191" i="2"/>
  <c r="N191" i="2"/>
  <c r="M191" i="2"/>
  <c r="L191" i="2"/>
  <c r="K191" i="2"/>
  <c r="A191" i="2"/>
  <c r="P190" i="2"/>
  <c r="O190" i="2"/>
  <c r="N190" i="2"/>
  <c r="M190" i="2"/>
  <c r="L190" i="2"/>
  <c r="K190" i="2"/>
  <c r="A190" i="2"/>
  <c r="P189" i="2"/>
  <c r="O189" i="2"/>
  <c r="N189" i="2"/>
  <c r="M189" i="2"/>
  <c r="L189" i="2"/>
  <c r="K189" i="2"/>
  <c r="A189" i="2"/>
  <c r="P188" i="2"/>
  <c r="O188" i="2"/>
  <c r="N188" i="2"/>
  <c r="M188" i="2"/>
  <c r="L188" i="2"/>
  <c r="K188" i="2"/>
  <c r="A188" i="2"/>
  <c r="P187" i="2"/>
  <c r="O187" i="2"/>
  <c r="N187" i="2"/>
  <c r="M187" i="2"/>
  <c r="L187" i="2"/>
  <c r="K187" i="2"/>
  <c r="A187" i="2"/>
  <c r="P186" i="2"/>
  <c r="O186" i="2"/>
  <c r="N186" i="2"/>
  <c r="M186" i="2"/>
  <c r="L186" i="2"/>
  <c r="K186" i="2"/>
  <c r="A186" i="2"/>
  <c r="P185" i="2"/>
  <c r="O185" i="2"/>
  <c r="N185" i="2"/>
  <c r="M185" i="2"/>
  <c r="L185" i="2"/>
  <c r="K185" i="2"/>
  <c r="A185" i="2"/>
  <c r="P184" i="2"/>
  <c r="O184" i="2"/>
  <c r="N184" i="2"/>
  <c r="M184" i="2"/>
  <c r="L184" i="2"/>
  <c r="K184" i="2"/>
  <c r="A184" i="2"/>
  <c r="P183" i="2"/>
  <c r="O183" i="2"/>
  <c r="N183" i="2"/>
  <c r="M183" i="2"/>
  <c r="L183" i="2"/>
  <c r="K183" i="2"/>
  <c r="A183" i="2"/>
  <c r="P182" i="2"/>
  <c r="O182" i="2"/>
  <c r="N182" i="2"/>
  <c r="M182" i="2"/>
  <c r="L182" i="2"/>
  <c r="K182" i="2"/>
  <c r="A182" i="2"/>
  <c r="P181" i="2"/>
  <c r="O181" i="2"/>
  <c r="N181" i="2"/>
  <c r="M181" i="2"/>
  <c r="L181" i="2"/>
  <c r="K181" i="2"/>
  <c r="A181" i="2"/>
  <c r="P180" i="2"/>
  <c r="O180" i="2"/>
  <c r="N180" i="2"/>
  <c r="M180" i="2"/>
  <c r="L180" i="2"/>
  <c r="K180" i="2"/>
  <c r="A180" i="2"/>
  <c r="P179" i="2"/>
  <c r="O179" i="2"/>
  <c r="N179" i="2"/>
  <c r="M179" i="2"/>
  <c r="L179" i="2"/>
  <c r="K179" i="2"/>
  <c r="A179" i="2"/>
  <c r="P178" i="2"/>
  <c r="O178" i="2"/>
  <c r="N178" i="2"/>
  <c r="M178" i="2"/>
  <c r="L178" i="2"/>
  <c r="K178" i="2"/>
  <c r="A178" i="2"/>
  <c r="P177" i="2"/>
  <c r="O177" i="2"/>
  <c r="N177" i="2"/>
  <c r="M177" i="2"/>
  <c r="L177" i="2"/>
  <c r="K177" i="2"/>
  <c r="A177" i="2"/>
  <c r="P176" i="2"/>
  <c r="O176" i="2"/>
  <c r="N176" i="2"/>
  <c r="M176" i="2"/>
  <c r="L176" i="2"/>
  <c r="K176" i="2"/>
  <c r="A176" i="2"/>
  <c r="P175" i="2"/>
  <c r="O175" i="2"/>
  <c r="N175" i="2"/>
  <c r="M175" i="2"/>
  <c r="L175" i="2"/>
  <c r="K175" i="2"/>
  <c r="A175" i="2"/>
  <c r="P174" i="2"/>
  <c r="O174" i="2"/>
  <c r="N174" i="2"/>
  <c r="M174" i="2"/>
  <c r="L174" i="2"/>
  <c r="K174" i="2"/>
  <c r="A174" i="2"/>
  <c r="P173" i="2"/>
  <c r="O173" i="2"/>
  <c r="N173" i="2"/>
  <c r="M173" i="2"/>
  <c r="L173" i="2"/>
  <c r="K173" i="2"/>
  <c r="A173" i="2"/>
  <c r="P172" i="2"/>
  <c r="O172" i="2"/>
  <c r="N172" i="2"/>
  <c r="M172" i="2"/>
  <c r="L172" i="2"/>
  <c r="K172" i="2"/>
  <c r="A172" i="2"/>
  <c r="P171" i="2"/>
  <c r="O171" i="2"/>
  <c r="N171" i="2"/>
  <c r="M171" i="2"/>
  <c r="L171" i="2"/>
  <c r="K171" i="2"/>
  <c r="A171" i="2"/>
  <c r="P170" i="2"/>
  <c r="O170" i="2"/>
  <c r="N170" i="2"/>
  <c r="M170" i="2"/>
  <c r="L170" i="2"/>
  <c r="K170" i="2"/>
  <c r="A170" i="2"/>
  <c r="P169" i="2"/>
  <c r="O169" i="2"/>
  <c r="N169" i="2"/>
  <c r="M169" i="2"/>
  <c r="L169" i="2"/>
  <c r="K169" i="2"/>
  <c r="A169" i="2"/>
  <c r="P168" i="2"/>
  <c r="O168" i="2"/>
  <c r="N168" i="2"/>
  <c r="M168" i="2"/>
  <c r="L168" i="2"/>
  <c r="K168" i="2"/>
  <c r="A168" i="2"/>
  <c r="P167" i="2"/>
  <c r="O167" i="2"/>
  <c r="N167" i="2"/>
  <c r="M167" i="2"/>
  <c r="L167" i="2"/>
  <c r="K167" i="2"/>
  <c r="A167" i="2"/>
  <c r="P166" i="2"/>
  <c r="O166" i="2"/>
  <c r="N166" i="2"/>
  <c r="M166" i="2"/>
  <c r="L166" i="2"/>
  <c r="K166" i="2"/>
  <c r="A166" i="2"/>
  <c r="P165" i="2"/>
  <c r="O165" i="2"/>
  <c r="N165" i="2"/>
  <c r="M165" i="2"/>
  <c r="L165" i="2"/>
  <c r="K165" i="2"/>
  <c r="A165" i="2"/>
  <c r="P164" i="2"/>
  <c r="O164" i="2"/>
  <c r="N164" i="2"/>
  <c r="M164" i="2"/>
  <c r="L164" i="2"/>
  <c r="K164" i="2"/>
  <c r="A164" i="2"/>
  <c r="P163" i="2"/>
  <c r="O163" i="2"/>
  <c r="N163" i="2"/>
  <c r="M163" i="2"/>
  <c r="L163" i="2"/>
  <c r="K163" i="2"/>
  <c r="A163" i="2"/>
  <c r="P162" i="2"/>
  <c r="O162" i="2"/>
  <c r="N162" i="2"/>
  <c r="M162" i="2"/>
  <c r="L162" i="2"/>
  <c r="K162" i="2"/>
  <c r="A162" i="2"/>
  <c r="P161" i="2"/>
  <c r="O161" i="2"/>
  <c r="N161" i="2"/>
  <c r="M161" i="2"/>
  <c r="L161" i="2"/>
  <c r="K161" i="2"/>
  <c r="A161" i="2"/>
  <c r="P160" i="2"/>
  <c r="O160" i="2"/>
  <c r="N160" i="2"/>
  <c r="M160" i="2"/>
  <c r="L160" i="2"/>
  <c r="K160" i="2"/>
  <c r="A160" i="2"/>
  <c r="P159" i="2"/>
  <c r="O159" i="2"/>
  <c r="N159" i="2"/>
  <c r="M159" i="2"/>
  <c r="L159" i="2"/>
  <c r="K159" i="2"/>
  <c r="A159" i="2"/>
  <c r="P158" i="2"/>
  <c r="O158" i="2"/>
  <c r="N158" i="2"/>
  <c r="M158" i="2"/>
  <c r="L158" i="2"/>
  <c r="K158" i="2"/>
  <c r="A158" i="2"/>
  <c r="P157" i="2"/>
  <c r="O157" i="2"/>
  <c r="N157" i="2"/>
  <c r="M157" i="2"/>
  <c r="L157" i="2"/>
  <c r="K157" i="2"/>
  <c r="A157" i="2"/>
  <c r="P156" i="2"/>
  <c r="O156" i="2"/>
  <c r="N156" i="2"/>
  <c r="M156" i="2"/>
  <c r="L156" i="2"/>
  <c r="K156" i="2"/>
  <c r="A156" i="2"/>
  <c r="P155" i="2"/>
  <c r="O155" i="2"/>
  <c r="N155" i="2"/>
  <c r="M155" i="2"/>
  <c r="L155" i="2"/>
  <c r="K155" i="2"/>
  <c r="A155" i="2"/>
  <c r="P154" i="2"/>
  <c r="O154" i="2"/>
  <c r="N154" i="2"/>
  <c r="M154" i="2"/>
  <c r="L154" i="2"/>
  <c r="K154" i="2"/>
  <c r="A154" i="2"/>
  <c r="P153" i="2"/>
  <c r="O153" i="2"/>
  <c r="N153" i="2"/>
  <c r="M153" i="2"/>
  <c r="L153" i="2"/>
  <c r="K153" i="2"/>
  <c r="A153" i="2"/>
  <c r="P152" i="2"/>
  <c r="O152" i="2"/>
  <c r="N152" i="2"/>
  <c r="M152" i="2"/>
  <c r="L152" i="2"/>
  <c r="K152" i="2"/>
  <c r="A152" i="2"/>
  <c r="P151" i="2"/>
  <c r="O151" i="2"/>
  <c r="N151" i="2"/>
  <c r="M151" i="2"/>
  <c r="L151" i="2"/>
  <c r="K151" i="2"/>
  <c r="A151" i="2"/>
  <c r="P150" i="2"/>
  <c r="O150" i="2"/>
  <c r="N150" i="2"/>
  <c r="M150" i="2"/>
  <c r="L150" i="2"/>
  <c r="K150" i="2"/>
  <c r="A150" i="2"/>
  <c r="P149" i="2"/>
  <c r="O149" i="2"/>
  <c r="N149" i="2"/>
  <c r="M149" i="2"/>
  <c r="L149" i="2"/>
  <c r="K149" i="2"/>
  <c r="A149" i="2"/>
  <c r="P148" i="2"/>
  <c r="O148" i="2"/>
  <c r="N148" i="2"/>
  <c r="M148" i="2"/>
  <c r="L148" i="2"/>
  <c r="K148" i="2"/>
  <c r="A148" i="2"/>
  <c r="P147" i="2"/>
  <c r="O147" i="2"/>
  <c r="N147" i="2"/>
  <c r="M147" i="2"/>
  <c r="L147" i="2"/>
  <c r="K147" i="2"/>
  <c r="A147" i="2"/>
  <c r="P146" i="2"/>
  <c r="O146" i="2"/>
  <c r="N146" i="2"/>
  <c r="M146" i="2"/>
  <c r="L146" i="2"/>
  <c r="K146" i="2"/>
  <c r="A146" i="2"/>
  <c r="P145" i="2"/>
  <c r="O145" i="2"/>
  <c r="N145" i="2"/>
  <c r="M145" i="2"/>
  <c r="L145" i="2"/>
  <c r="K145" i="2"/>
  <c r="A145" i="2"/>
  <c r="P144" i="2"/>
  <c r="O144" i="2"/>
  <c r="N144" i="2"/>
  <c r="M144" i="2"/>
  <c r="L144" i="2"/>
  <c r="K144" i="2"/>
  <c r="A144" i="2"/>
  <c r="P143" i="2"/>
  <c r="O143" i="2"/>
  <c r="N143" i="2"/>
  <c r="M143" i="2"/>
  <c r="L143" i="2"/>
  <c r="K143" i="2"/>
  <c r="A143" i="2"/>
  <c r="P142" i="2"/>
  <c r="O142" i="2"/>
  <c r="N142" i="2"/>
  <c r="M142" i="2"/>
  <c r="L142" i="2"/>
  <c r="K142" i="2"/>
  <c r="A142" i="2"/>
  <c r="P141" i="2"/>
  <c r="O141" i="2"/>
  <c r="N141" i="2"/>
  <c r="M141" i="2"/>
  <c r="L141" i="2"/>
  <c r="K141" i="2"/>
  <c r="A141" i="2"/>
  <c r="P140" i="2"/>
  <c r="O140" i="2"/>
  <c r="N140" i="2"/>
  <c r="M140" i="2"/>
  <c r="L140" i="2"/>
  <c r="K140" i="2"/>
  <c r="A140" i="2"/>
  <c r="P139" i="2"/>
  <c r="O139" i="2"/>
  <c r="N139" i="2"/>
  <c r="M139" i="2"/>
  <c r="L139" i="2"/>
  <c r="K139" i="2"/>
  <c r="A139" i="2"/>
  <c r="P138" i="2"/>
  <c r="O138" i="2"/>
  <c r="N138" i="2"/>
  <c r="M138" i="2"/>
  <c r="L138" i="2"/>
  <c r="K138" i="2"/>
  <c r="A138" i="2"/>
  <c r="P137" i="2"/>
  <c r="O137" i="2"/>
  <c r="N137" i="2"/>
  <c r="M137" i="2"/>
  <c r="L137" i="2"/>
  <c r="K137" i="2"/>
  <c r="A137" i="2"/>
  <c r="P136" i="2"/>
  <c r="O136" i="2"/>
  <c r="N136" i="2"/>
  <c r="M136" i="2"/>
  <c r="L136" i="2"/>
  <c r="K136" i="2"/>
  <c r="A136" i="2"/>
  <c r="P135" i="2"/>
  <c r="O135" i="2"/>
  <c r="N135" i="2"/>
  <c r="M135" i="2"/>
  <c r="L135" i="2"/>
  <c r="K135" i="2"/>
  <c r="A135" i="2"/>
  <c r="P134" i="2"/>
  <c r="O134" i="2"/>
  <c r="N134" i="2"/>
  <c r="M134" i="2"/>
  <c r="L134" i="2"/>
  <c r="K134" i="2"/>
  <c r="A134" i="2"/>
  <c r="P133" i="2"/>
  <c r="O133" i="2"/>
  <c r="N133" i="2"/>
  <c r="M133" i="2"/>
  <c r="L133" i="2"/>
  <c r="K133" i="2"/>
  <c r="A133" i="2"/>
  <c r="P132" i="2"/>
  <c r="O132" i="2"/>
  <c r="N132" i="2"/>
  <c r="M132" i="2"/>
  <c r="L132" i="2"/>
  <c r="K132" i="2"/>
  <c r="A132" i="2"/>
  <c r="P131" i="2"/>
  <c r="O131" i="2"/>
  <c r="N131" i="2"/>
  <c r="M131" i="2"/>
  <c r="L131" i="2"/>
  <c r="K131" i="2"/>
  <c r="A131" i="2"/>
  <c r="P130" i="2"/>
  <c r="O130" i="2"/>
  <c r="N130" i="2"/>
  <c r="M130" i="2"/>
  <c r="L130" i="2"/>
  <c r="K130" i="2"/>
  <c r="A130" i="2"/>
  <c r="P129" i="2"/>
  <c r="O129" i="2"/>
  <c r="N129" i="2"/>
  <c r="M129" i="2"/>
  <c r="L129" i="2"/>
  <c r="K129" i="2"/>
  <c r="A129" i="2"/>
  <c r="P128" i="2"/>
  <c r="O128" i="2"/>
  <c r="N128" i="2"/>
  <c r="M128" i="2"/>
  <c r="L128" i="2"/>
  <c r="K128" i="2"/>
  <c r="A128" i="2"/>
  <c r="P127" i="2"/>
  <c r="O127" i="2"/>
  <c r="N127" i="2"/>
  <c r="M127" i="2"/>
  <c r="L127" i="2"/>
  <c r="K127" i="2"/>
  <c r="A127" i="2"/>
  <c r="P126" i="2"/>
  <c r="O126" i="2"/>
  <c r="N126" i="2"/>
  <c r="M126" i="2"/>
  <c r="L126" i="2"/>
  <c r="K126" i="2"/>
  <c r="A126" i="2"/>
  <c r="P125" i="2"/>
  <c r="O125" i="2"/>
  <c r="N125" i="2"/>
  <c r="M125" i="2"/>
  <c r="L125" i="2"/>
  <c r="K125" i="2"/>
  <c r="A125" i="2"/>
  <c r="P124" i="2"/>
  <c r="O124" i="2"/>
  <c r="N124" i="2"/>
  <c r="M124" i="2"/>
  <c r="L124" i="2"/>
  <c r="K124" i="2"/>
  <c r="A124" i="2"/>
  <c r="P123" i="2"/>
  <c r="O123" i="2"/>
  <c r="N123" i="2"/>
  <c r="M123" i="2"/>
  <c r="L123" i="2"/>
  <c r="K123" i="2"/>
  <c r="A123" i="2"/>
  <c r="P122" i="2"/>
  <c r="O122" i="2"/>
  <c r="N122" i="2"/>
  <c r="M122" i="2"/>
  <c r="L122" i="2"/>
  <c r="K122" i="2"/>
  <c r="A122" i="2"/>
  <c r="P121" i="2"/>
  <c r="O121" i="2"/>
  <c r="N121" i="2"/>
  <c r="M121" i="2"/>
  <c r="L121" i="2"/>
  <c r="K121" i="2"/>
  <c r="A121" i="2"/>
  <c r="P120" i="2"/>
  <c r="O120" i="2"/>
  <c r="N120" i="2"/>
  <c r="M120" i="2"/>
  <c r="L120" i="2"/>
  <c r="K120" i="2"/>
  <c r="A120" i="2"/>
  <c r="P119" i="2"/>
  <c r="O119" i="2"/>
  <c r="N119" i="2"/>
  <c r="M119" i="2"/>
  <c r="L119" i="2"/>
  <c r="K119" i="2"/>
  <c r="A119" i="2"/>
  <c r="P118" i="2"/>
  <c r="O118" i="2"/>
  <c r="N118" i="2"/>
  <c r="M118" i="2"/>
  <c r="L118" i="2"/>
  <c r="K118" i="2"/>
  <c r="A118" i="2"/>
  <c r="P117" i="2"/>
  <c r="O117" i="2"/>
  <c r="N117" i="2"/>
  <c r="M117" i="2"/>
  <c r="L117" i="2"/>
  <c r="K117" i="2"/>
  <c r="A117" i="2"/>
  <c r="P116" i="2"/>
  <c r="O116" i="2"/>
  <c r="N116" i="2"/>
  <c r="M116" i="2"/>
  <c r="L116" i="2"/>
  <c r="K116" i="2"/>
  <c r="A116" i="2"/>
  <c r="P115" i="2"/>
  <c r="O115" i="2"/>
  <c r="N115" i="2"/>
  <c r="M115" i="2"/>
  <c r="L115" i="2"/>
  <c r="K115" i="2"/>
  <c r="A115" i="2"/>
  <c r="P114" i="2"/>
  <c r="O114" i="2"/>
  <c r="N114" i="2"/>
  <c r="M114" i="2"/>
  <c r="L114" i="2"/>
  <c r="K114" i="2"/>
  <c r="A114" i="2"/>
  <c r="P113" i="2"/>
  <c r="O113" i="2"/>
  <c r="N113" i="2"/>
  <c r="M113" i="2"/>
  <c r="L113" i="2"/>
  <c r="K113" i="2"/>
  <c r="A113" i="2"/>
  <c r="P112" i="2"/>
  <c r="O112" i="2"/>
  <c r="N112" i="2"/>
  <c r="M112" i="2"/>
  <c r="L112" i="2"/>
  <c r="K112" i="2"/>
  <c r="A112" i="2"/>
  <c r="P111" i="2"/>
  <c r="O111" i="2"/>
  <c r="N111" i="2"/>
  <c r="M111" i="2"/>
  <c r="L111" i="2"/>
  <c r="K111" i="2"/>
  <c r="A111" i="2"/>
  <c r="P110" i="2"/>
  <c r="O110" i="2"/>
  <c r="N110" i="2"/>
  <c r="M110" i="2"/>
  <c r="L110" i="2"/>
  <c r="K110" i="2"/>
  <c r="A110" i="2"/>
  <c r="P109" i="2"/>
  <c r="O109" i="2"/>
  <c r="N109" i="2"/>
  <c r="M109" i="2"/>
  <c r="L109" i="2"/>
  <c r="K109" i="2"/>
  <c r="A109" i="2"/>
  <c r="P108" i="2"/>
  <c r="O108" i="2"/>
  <c r="N108" i="2"/>
  <c r="M108" i="2"/>
  <c r="L108" i="2"/>
  <c r="K108" i="2"/>
  <c r="A108" i="2"/>
  <c r="P107" i="2"/>
  <c r="O107" i="2"/>
  <c r="N107" i="2"/>
  <c r="M107" i="2"/>
  <c r="L107" i="2"/>
  <c r="K107" i="2"/>
  <c r="A107" i="2"/>
  <c r="P106" i="2"/>
  <c r="O106" i="2"/>
  <c r="N106" i="2"/>
  <c r="M106" i="2"/>
  <c r="L106" i="2"/>
  <c r="K106" i="2"/>
  <c r="A106" i="2"/>
  <c r="P105" i="2"/>
  <c r="O105" i="2"/>
  <c r="N105" i="2"/>
  <c r="M105" i="2"/>
  <c r="L105" i="2"/>
  <c r="K105" i="2"/>
  <c r="A105" i="2"/>
  <c r="P104" i="2"/>
  <c r="O104" i="2"/>
  <c r="N104" i="2"/>
  <c r="M104" i="2"/>
  <c r="L104" i="2"/>
  <c r="K104" i="2"/>
  <c r="A104" i="2"/>
  <c r="P103" i="2"/>
  <c r="O103" i="2"/>
  <c r="N103" i="2"/>
  <c r="M103" i="2"/>
  <c r="L103" i="2"/>
  <c r="K103" i="2"/>
  <c r="A103" i="2"/>
  <c r="P102" i="2"/>
  <c r="O102" i="2"/>
  <c r="N102" i="2"/>
  <c r="M102" i="2"/>
  <c r="L102" i="2"/>
  <c r="K102" i="2"/>
  <c r="A102" i="2"/>
  <c r="P101" i="2"/>
  <c r="O101" i="2"/>
  <c r="N101" i="2"/>
  <c r="M101" i="2"/>
  <c r="L101" i="2"/>
  <c r="K101" i="2"/>
  <c r="A101" i="2"/>
  <c r="P100" i="2"/>
  <c r="O100" i="2"/>
  <c r="N100" i="2"/>
  <c r="M100" i="2"/>
  <c r="L100" i="2"/>
  <c r="K100" i="2"/>
  <c r="A100" i="2"/>
  <c r="P99" i="2"/>
  <c r="O99" i="2"/>
  <c r="N99" i="2"/>
  <c r="M99" i="2"/>
  <c r="L99" i="2"/>
  <c r="K99" i="2"/>
  <c r="A99" i="2"/>
  <c r="P98" i="2"/>
  <c r="O98" i="2"/>
  <c r="N98" i="2"/>
  <c r="M98" i="2"/>
  <c r="L98" i="2"/>
  <c r="K98" i="2"/>
  <c r="A98" i="2"/>
  <c r="P97" i="2"/>
  <c r="O97" i="2"/>
  <c r="N97" i="2"/>
  <c r="M97" i="2"/>
  <c r="L97" i="2"/>
  <c r="K97" i="2"/>
  <c r="A97" i="2"/>
  <c r="P96" i="2"/>
  <c r="O96" i="2"/>
  <c r="N96" i="2"/>
  <c r="M96" i="2"/>
  <c r="L96" i="2"/>
  <c r="K96" i="2"/>
  <c r="A96" i="2"/>
  <c r="P95" i="2"/>
  <c r="O95" i="2"/>
  <c r="N95" i="2"/>
  <c r="M95" i="2"/>
  <c r="L95" i="2"/>
  <c r="K95" i="2"/>
  <c r="A95" i="2"/>
  <c r="P94" i="2"/>
  <c r="O94" i="2"/>
  <c r="N94" i="2"/>
  <c r="M94" i="2"/>
  <c r="L94" i="2"/>
  <c r="K94" i="2"/>
  <c r="A94" i="2"/>
  <c r="P93" i="2"/>
  <c r="O93" i="2"/>
  <c r="N93" i="2"/>
  <c r="M93" i="2"/>
  <c r="L93" i="2"/>
  <c r="K93" i="2"/>
  <c r="A93" i="2"/>
  <c r="P92" i="2"/>
  <c r="O92" i="2"/>
  <c r="N92" i="2"/>
  <c r="M92" i="2"/>
  <c r="L92" i="2"/>
  <c r="K92" i="2"/>
  <c r="A92" i="2"/>
  <c r="P91" i="2"/>
  <c r="O91" i="2"/>
  <c r="N91" i="2"/>
  <c r="M91" i="2"/>
  <c r="L91" i="2"/>
  <c r="K91" i="2"/>
  <c r="A91" i="2"/>
  <c r="P90" i="2"/>
  <c r="O90" i="2"/>
  <c r="N90" i="2"/>
  <c r="M90" i="2"/>
  <c r="L90" i="2"/>
  <c r="K90" i="2"/>
  <c r="A90" i="2"/>
  <c r="P89" i="2"/>
  <c r="O89" i="2"/>
  <c r="N89" i="2"/>
  <c r="M89" i="2"/>
  <c r="L89" i="2"/>
  <c r="K89" i="2"/>
  <c r="A89" i="2"/>
  <c r="P88" i="2"/>
  <c r="O88" i="2"/>
  <c r="N88" i="2"/>
  <c r="M88" i="2"/>
  <c r="L88" i="2"/>
  <c r="K88" i="2"/>
  <c r="A88" i="2"/>
  <c r="P87" i="2"/>
  <c r="O87" i="2"/>
  <c r="N87" i="2"/>
  <c r="M87" i="2"/>
  <c r="L87" i="2"/>
  <c r="K87" i="2"/>
  <c r="A87" i="2"/>
  <c r="P86" i="2"/>
  <c r="O86" i="2"/>
  <c r="N86" i="2"/>
  <c r="M86" i="2"/>
  <c r="L86" i="2"/>
  <c r="K86" i="2"/>
  <c r="A86" i="2"/>
  <c r="P85" i="2"/>
  <c r="O85" i="2"/>
  <c r="N85" i="2"/>
  <c r="M85" i="2"/>
  <c r="L85" i="2"/>
  <c r="K85" i="2"/>
  <c r="A85" i="2"/>
  <c r="P84" i="2"/>
  <c r="O84" i="2"/>
  <c r="N84" i="2"/>
  <c r="M84" i="2"/>
  <c r="L84" i="2"/>
  <c r="K84" i="2"/>
  <c r="A84" i="2"/>
  <c r="P83" i="2"/>
  <c r="O83" i="2"/>
  <c r="N83" i="2"/>
  <c r="M83" i="2"/>
  <c r="L83" i="2"/>
  <c r="K83" i="2"/>
  <c r="A83" i="2"/>
  <c r="P82" i="2"/>
  <c r="O82" i="2"/>
  <c r="N82" i="2"/>
  <c r="M82" i="2"/>
  <c r="L82" i="2"/>
  <c r="K82" i="2"/>
  <c r="A82" i="2"/>
  <c r="P81" i="2"/>
  <c r="O81" i="2"/>
  <c r="N81" i="2"/>
  <c r="M81" i="2"/>
  <c r="L81" i="2"/>
  <c r="K81" i="2"/>
  <c r="A81" i="2"/>
  <c r="P80" i="2"/>
  <c r="O80" i="2"/>
  <c r="N80" i="2"/>
  <c r="M80" i="2"/>
  <c r="L80" i="2"/>
  <c r="K80" i="2"/>
  <c r="A80" i="2"/>
  <c r="P79" i="2"/>
  <c r="O79" i="2"/>
  <c r="N79" i="2"/>
  <c r="M79" i="2"/>
  <c r="L79" i="2"/>
  <c r="K79" i="2"/>
  <c r="A79" i="2"/>
  <c r="P78" i="2"/>
  <c r="O78" i="2"/>
  <c r="N78" i="2"/>
  <c r="M78" i="2"/>
  <c r="L78" i="2"/>
  <c r="K78" i="2"/>
  <c r="A78" i="2"/>
  <c r="P77" i="2"/>
  <c r="O77" i="2"/>
  <c r="N77" i="2"/>
  <c r="M77" i="2"/>
  <c r="L77" i="2"/>
  <c r="K77" i="2"/>
  <c r="A77" i="2"/>
  <c r="P76" i="2"/>
  <c r="O76" i="2"/>
  <c r="N76" i="2"/>
  <c r="M76" i="2"/>
  <c r="L76" i="2"/>
  <c r="K76" i="2"/>
  <c r="A76" i="2"/>
  <c r="P75" i="2"/>
  <c r="O75" i="2"/>
  <c r="N75" i="2"/>
  <c r="M75" i="2"/>
  <c r="L75" i="2"/>
  <c r="K75" i="2"/>
  <c r="A75" i="2"/>
  <c r="P74" i="2"/>
  <c r="O74" i="2"/>
  <c r="N74" i="2"/>
  <c r="M74" i="2"/>
  <c r="L74" i="2"/>
  <c r="K74" i="2"/>
  <c r="A74" i="2"/>
  <c r="P73" i="2"/>
  <c r="O73" i="2"/>
  <c r="N73" i="2"/>
  <c r="M73" i="2"/>
  <c r="L73" i="2"/>
  <c r="K73" i="2"/>
  <c r="A73" i="2"/>
  <c r="P72" i="2"/>
  <c r="O72" i="2"/>
  <c r="N72" i="2"/>
  <c r="M72" i="2"/>
  <c r="L72" i="2"/>
  <c r="K72" i="2"/>
  <c r="A72" i="2"/>
  <c r="P71" i="2"/>
  <c r="O71" i="2"/>
  <c r="N71" i="2"/>
  <c r="M71" i="2"/>
  <c r="L71" i="2"/>
  <c r="K71" i="2"/>
  <c r="A71" i="2"/>
  <c r="P70" i="2"/>
  <c r="O70" i="2"/>
  <c r="N70" i="2"/>
  <c r="M70" i="2"/>
  <c r="L70" i="2"/>
  <c r="K70" i="2"/>
  <c r="A70" i="2"/>
  <c r="P69" i="2"/>
  <c r="O69" i="2"/>
  <c r="N69" i="2"/>
  <c r="M69" i="2"/>
  <c r="L69" i="2"/>
  <c r="K69" i="2"/>
  <c r="A69" i="2"/>
  <c r="P68" i="2"/>
  <c r="O68" i="2"/>
  <c r="N68" i="2"/>
  <c r="M68" i="2"/>
  <c r="L68" i="2"/>
  <c r="K68" i="2"/>
  <c r="A68" i="2"/>
  <c r="P67" i="2"/>
  <c r="O67" i="2"/>
  <c r="N67" i="2"/>
  <c r="M67" i="2"/>
  <c r="L67" i="2"/>
  <c r="K67" i="2"/>
  <c r="A67" i="2"/>
  <c r="P66" i="2"/>
  <c r="O66" i="2"/>
  <c r="N66" i="2"/>
  <c r="M66" i="2"/>
  <c r="L66" i="2"/>
  <c r="K66" i="2"/>
  <c r="A66" i="2"/>
  <c r="P65" i="2"/>
  <c r="O65" i="2"/>
  <c r="N65" i="2"/>
  <c r="M65" i="2"/>
  <c r="L65" i="2"/>
  <c r="K65" i="2"/>
  <c r="A65" i="2"/>
  <c r="P64" i="2"/>
  <c r="O64" i="2"/>
  <c r="N64" i="2"/>
  <c r="M64" i="2"/>
  <c r="L64" i="2"/>
  <c r="K64" i="2"/>
  <c r="A64" i="2"/>
  <c r="P63" i="2"/>
  <c r="O63" i="2"/>
  <c r="N63" i="2"/>
  <c r="M63" i="2"/>
  <c r="L63" i="2"/>
  <c r="K63" i="2"/>
  <c r="A63" i="2"/>
  <c r="P62" i="2"/>
  <c r="O62" i="2"/>
  <c r="N62" i="2"/>
  <c r="M62" i="2"/>
  <c r="L62" i="2"/>
  <c r="K62" i="2"/>
  <c r="A62" i="2"/>
  <c r="P61" i="2"/>
  <c r="O61" i="2"/>
  <c r="N61" i="2"/>
  <c r="M61" i="2"/>
  <c r="L61" i="2"/>
  <c r="K61" i="2"/>
  <c r="A61" i="2"/>
  <c r="P60" i="2"/>
  <c r="O60" i="2"/>
  <c r="N60" i="2"/>
  <c r="M60" i="2"/>
  <c r="L60" i="2"/>
  <c r="K60" i="2"/>
  <c r="A60" i="2"/>
  <c r="P59" i="2"/>
  <c r="O59" i="2"/>
  <c r="N59" i="2"/>
  <c r="M59" i="2"/>
  <c r="L59" i="2"/>
  <c r="K59" i="2"/>
  <c r="A59" i="2"/>
  <c r="P58" i="2"/>
  <c r="O58" i="2"/>
  <c r="N58" i="2"/>
  <c r="M58" i="2"/>
  <c r="L58" i="2"/>
  <c r="K58" i="2"/>
  <c r="A58" i="2"/>
  <c r="P57" i="2"/>
  <c r="O57" i="2"/>
  <c r="N57" i="2"/>
  <c r="M57" i="2"/>
  <c r="L57" i="2"/>
  <c r="K57" i="2"/>
  <c r="A57" i="2"/>
  <c r="P56" i="2"/>
  <c r="O56" i="2"/>
  <c r="N56" i="2"/>
  <c r="M56" i="2"/>
  <c r="L56" i="2"/>
  <c r="K56" i="2"/>
  <c r="A56" i="2"/>
  <c r="P55" i="2"/>
  <c r="O55" i="2"/>
  <c r="N55" i="2"/>
  <c r="M55" i="2"/>
  <c r="L55" i="2"/>
  <c r="K55" i="2"/>
  <c r="A55" i="2"/>
  <c r="P54" i="2"/>
  <c r="O54" i="2"/>
  <c r="N54" i="2"/>
  <c r="M54" i="2"/>
  <c r="L54" i="2"/>
  <c r="K54" i="2"/>
  <c r="A54" i="2"/>
  <c r="P53" i="2"/>
  <c r="O53" i="2"/>
  <c r="N53" i="2"/>
  <c r="M53" i="2"/>
  <c r="L53" i="2"/>
  <c r="K53" i="2"/>
  <c r="A53" i="2"/>
  <c r="N52" i="2"/>
  <c r="M52" i="2"/>
  <c r="L52" i="2"/>
  <c r="K52" i="2"/>
  <c r="O52" i="2" s="1"/>
  <c r="A52" i="2"/>
  <c r="N51" i="2"/>
  <c r="M51" i="2"/>
  <c r="L51" i="2"/>
  <c r="K51" i="2"/>
  <c r="A51" i="2"/>
  <c r="N50" i="2"/>
  <c r="M50" i="2"/>
  <c r="L50" i="2"/>
  <c r="K50" i="2"/>
  <c r="A50" i="2"/>
  <c r="N49" i="2"/>
  <c r="M49" i="2"/>
  <c r="L49" i="2"/>
  <c r="K49" i="2"/>
  <c r="A49" i="2"/>
  <c r="N48" i="2"/>
  <c r="M48" i="2"/>
  <c r="L48" i="2"/>
  <c r="K48" i="2"/>
  <c r="A48" i="2"/>
  <c r="N47" i="2"/>
  <c r="M47" i="2"/>
  <c r="L47" i="2"/>
  <c r="K47" i="2"/>
  <c r="A47" i="2"/>
  <c r="N46" i="2"/>
  <c r="M46" i="2"/>
  <c r="L46" i="2"/>
  <c r="K46" i="2"/>
  <c r="A46" i="2"/>
  <c r="N45" i="2"/>
  <c r="M45" i="2"/>
  <c r="L45" i="2"/>
  <c r="K45" i="2"/>
  <c r="O45" i="2" s="1"/>
  <c r="A45" i="2"/>
  <c r="N44" i="2"/>
  <c r="M44" i="2"/>
  <c r="L44" i="2"/>
  <c r="K44" i="2"/>
  <c r="A44" i="2"/>
  <c r="N43" i="2"/>
  <c r="M43" i="2"/>
  <c r="L43" i="2"/>
  <c r="K43" i="2"/>
  <c r="A43" i="2"/>
  <c r="N42" i="2"/>
  <c r="M42" i="2"/>
  <c r="L42" i="2"/>
  <c r="K42" i="2"/>
  <c r="A42" i="2"/>
  <c r="N41" i="2"/>
  <c r="M41" i="2"/>
  <c r="L41" i="2"/>
  <c r="K41" i="2"/>
  <c r="A41" i="2"/>
  <c r="N40" i="2"/>
  <c r="M40" i="2"/>
  <c r="L40" i="2"/>
  <c r="K40" i="2"/>
  <c r="A40" i="2"/>
  <c r="N39" i="2"/>
  <c r="M39" i="2"/>
  <c r="L39" i="2"/>
  <c r="K39" i="2"/>
  <c r="A39" i="2"/>
  <c r="N38" i="2"/>
  <c r="M38" i="2"/>
  <c r="L38" i="2"/>
  <c r="K38" i="2"/>
  <c r="A38" i="2"/>
  <c r="N37" i="2"/>
  <c r="M37" i="2"/>
  <c r="L37" i="2"/>
  <c r="K37" i="2"/>
  <c r="A37" i="2"/>
  <c r="N36" i="2"/>
  <c r="M36" i="2"/>
  <c r="L36" i="2"/>
  <c r="K36" i="2"/>
  <c r="A36" i="2"/>
  <c r="N35" i="2"/>
  <c r="M35" i="2"/>
  <c r="L35" i="2"/>
  <c r="K35" i="2"/>
  <c r="A35" i="2"/>
  <c r="N34" i="2"/>
  <c r="M34" i="2"/>
  <c r="L34" i="2"/>
  <c r="K34" i="2"/>
  <c r="A34" i="2"/>
  <c r="N33" i="2"/>
  <c r="M33" i="2"/>
  <c r="L33" i="2"/>
  <c r="K33" i="2"/>
  <c r="A33" i="2"/>
  <c r="N32" i="2"/>
  <c r="M32" i="2"/>
  <c r="L32" i="2"/>
  <c r="K32" i="2"/>
  <c r="A32" i="2"/>
  <c r="N31" i="2"/>
  <c r="M31" i="2"/>
  <c r="L31" i="2"/>
  <c r="K31" i="2"/>
  <c r="O31" i="2" s="1"/>
  <c r="A31" i="2"/>
  <c r="N30" i="2"/>
  <c r="M30" i="2"/>
  <c r="L30" i="2"/>
  <c r="K30" i="2"/>
  <c r="A30" i="2"/>
  <c r="N29" i="2"/>
  <c r="M29" i="2"/>
  <c r="L29" i="2"/>
  <c r="K29" i="2"/>
  <c r="A29" i="2"/>
  <c r="N28" i="2"/>
  <c r="M28" i="2"/>
  <c r="L28" i="2"/>
  <c r="K28" i="2"/>
  <c r="A28" i="2"/>
  <c r="N27" i="2"/>
  <c r="M27" i="2"/>
  <c r="L27" i="2"/>
  <c r="K27" i="2"/>
  <c r="A27" i="2"/>
  <c r="N26" i="2"/>
  <c r="M26" i="2"/>
  <c r="L26" i="2"/>
  <c r="K26" i="2"/>
  <c r="A26" i="2"/>
  <c r="N25" i="2"/>
  <c r="M25" i="2"/>
  <c r="L25" i="2"/>
  <c r="K25" i="2"/>
  <c r="A25" i="2"/>
  <c r="N24" i="2"/>
  <c r="M24" i="2"/>
  <c r="L24" i="2"/>
  <c r="K24" i="2"/>
  <c r="A24" i="2"/>
  <c r="N23" i="2"/>
  <c r="M23" i="2"/>
  <c r="L23" i="2"/>
  <c r="K23" i="2"/>
  <c r="A23" i="2"/>
  <c r="N22" i="2"/>
  <c r="M22" i="2"/>
  <c r="L22" i="2"/>
  <c r="K22" i="2"/>
  <c r="A22" i="2"/>
  <c r="N21" i="2"/>
  <c r="M21" i="2"/>
  <c r="L21" i="2"/>
  <c r="K21" i="2"/>
  <c r="A21" i="2"/>
  <c r="N20" i="2"/>
  <c r="M20" i="2"/>
  <c r="L20" i="2"/>
  <c r="K20" i="2"/>
  <c r="A20" i="2"/>
  <c r="N19" i="2"/>
  <c r="M19" i="2"/>
  <c r="L19" i="2"/>
  <c r="K19" i="2"/>
  <c r="O19" i="2" s="1"/>
  <c r="A19" i="2"/>
  <c r="N18" i="2"/>
  <c r="M18" i="2"/>
  <c r="L18" i="2"/>
  <c r="K18" i="2"/>
  <c r="A18" i="2"/>
  <c r="N17" i="2"/>
  <c r="M17" i="2"/>
  <c r="L17" i="2"/>
  <c r="K17" i="2"/>
  <c r="A17" i="2"/>
  <c r="N16" i="2"/>
  <c r="M16" i="2"/>
  <c r="L16" i="2"/>
  <c r="K16" i="2"/>
  <c r="A16" i="2"/>
  <c r="N15" i="2"/>
  <c r="M15" i="2"/>
  <c r="L15" i="2"/>
  <c r="K15" i="2"/>
  <c r="A15" i="2"/>
  <c r="N14" i="2"/>
  <c r="M14" i="2"/>
  <c r="L14" i="2"/>
  <c r="K14" i="2"/>
  <c r="A14" i="2"/>
  <c r="N13" i="2"/>
  <c r="M13" i="2"/>
  <c r="L13" i="2"/>
  <c r="K13" i="2"/>
  <c r="A13" i="2"/>
  <c r="N12" i="2"/>
  <c r="M12" i="2"/>
  <c r="L12" i="2"/>
  <c r="K12" i="2"/>
  <c r="A12" i="2"/>
  <c r="N11" i="2"/>
  <c r="M11" i="2"/>
  <c r="L11" i="2"/>
  <c r="K11" i="2"/>
  <c r="A11" i="2"/>
  <c r="N10" i="2"/>
  <c r="M10" i="2"/>
  <c r="L10" i="2"/>
  <c r="K10" i="2"/>
  <c r="A10" i="2"/>
  <c r="N9" i="2"/>
  <c r="M9" i="2"/>
  <c r="L9" i="2"/>
  <c r="K9" i="2"/>
  <c r="A9" i="2"/>
  <c r="N8" i="2"/>
  <c r="M8" i="2"/>
  <c r="L8" i="2"/>
  <c r="K8" i="2"/>
  <c r="A8" i="2"/>
  <c r="N7" i="2"/>
  <c r="M7" i="2"/>
  <c r="L7" i="2"/>
  <c r="K7" i="2"/>
  <c r="A7" i="2"/>
  <c r="N6" i="2"/>
  <c r="M6" i="2"/>
  <c r="L6" i="2"/>
  <c r="K6" i="2"/>
  <c r="A6" i="2"/>
  <c r="N5" i="2"/>
  <c r="M5" i="2"/>
  <c r="L5" i="2"/>
  <c r="K5" i="2"/>
  <c r="A5" i="2"/>
  <c r="N4" i="2"/>
  <c r="M4" i="2"/>
  <c r="L4" i="2"/>
  <c r="K4" i="2"/>
  <c r="A4" i="2"/>
  <c r="N3" i="2"/>
  <c r="M3" i="2"/>
  <c r="L3" i="2"/>
  <c r="K3" i="2"/>
  <c r="A3" i="2"/>
  <c r="N2" i="2"/>
  <c r="M2" i="2"/>
  <c r="L2" i="2"/>
  <c r="K2" i="2"/>
  <c r="A2" i="2"/>
  <c r="O7" i="1"/>
  <c r="N7" i="1"/>
  <c r="M7" i="1"/>
  <c r="L7" i="1"/>
  <c r="A7" i="1"/>
  <c r="O6" i="1"/>
  <c r="N6" i="1"/>
  <c r="M6" i="1"/>
  <c r="L6" i="1"/>
  <c r="A6" i="1"/>
  <c r="O5" i="1"/>
  <c r="N5" i="1"/>
  <c r="M5" i="1"/>
  <c r="L5" i="1"/>
  <c r="A5" i="1"/>
  <c r="O4" i="1"/>
  <c r="N4" i="1"/>
  <c r="M4" i="1"/>
  <c r="L4" i="1"/>
  <c r="A4" i="1"/>
  <c r="O3" i="1"/>
  <c r="N3" i="1"/>
  <c r="M3" i="1"/>
  <c r="L3" i="1"/>
  <c r="A3" i="1"/>
  <c r="O2" i="1"/>
  <c r="N2" i="1"/>
  <c r="M2" i="1"/>
  <c r="L2" i="1"/>
  <c r="A2" i="1"/>
  <c r="M13" i="4" l="1"/>
  <c r="M25" i="4"/>
  <c r="M37" i="4"/>
  <c r="M49" i="4"/>
  <c r="M10" i="4"/>
  <c r="M22" i="4"/>
  <c r="M34" i="4"/>
  <c r="M46" i="4"/>
  <c r="N46" i="4" s="1"/>
  <c r="M42" i="4"/>
  <c r="N42" i="4" s="1"/>
  <c r="M7" i="4"/>
  <c r="N37" i="4" s="1"/>
  <c r="M19" i="4"/>
  <c r="N31" i="4" s="1"/>
  <c r="M31" i="4"/>
  <c r="M43" i="4"/>
  <c r="O3" i="2"/>
  <c r="O5" i="2"/>
  <c r="O15" i="2"/>
  <c r="O27" i="2"/>
  <c r="O29" i="2"/>
  <c r="O39" i="2"/>
  <c r="O51" i="2"/>
  <c r="O20" i="2"/>
  <c r="O44" i="2"/>
  <c r="O50" i="2"/>
  <c r="O10" i="2"/>
  <c r="O13" i="2"/>
  <c r="P19" i="2" s="1"/>
  <c r="O37" i="2"/>
  <c r="O18" i="2"/>
  <c r="N47" i="4"/>
  <c r="N35" i="4"/>
  <c r="N23" i="4"/>
  <c r="N11" i="4"/>
  <c r="N41" i="4"/>
  <c r="N29" i="4"/>
  <c r="N17" i="4"/>
  <c r="N5" i="4"/>
  <c r="N19" i="4"/>
  <c r="N45" i="4"/>
  <c r="N44" i="4"/>
  <c r="N14" i="4"/>
  <c r="N26" i="4"/>
  <c r="N38" i="4"/>
  <c r="N50" i="4"/>
  <c r="N3" i="4"/>
  <c r="N15" i="4"/>
  <c r="N27" i="4"/>
  <c r="N39" i="4"/>
  <c r="N51" i="4"/>
  <c r="N40" i="4"/>
  <c r="N52" i="4"/>
  <c r="N8" i="4"/>
  <c r="N20" i="4"/>
  <c r="N32" i="4"/>
  <c r="N9" i="4"/>
  <c r="N21" i="4"/>
  <c r="N33" i="4"/>
  <c r="O2" i="2"/>
  <c r="P16" i="2" s="1"/>
  <c r="O7" i="2"/>
  <c r="P13" i="2" s="1"/>
  <c r="O14" i="2"/>
  <c r="O33" i="2"/>
  <c r="O40" i="2"/>
  <c r="O47" i="2"/>
  <c r="O12" i="2"/>
  <c r="O26" i="2"/>
  <c r="P26" i="2" s="1"/>
  <c r="O24" i="2"/>
  <c r="P6" i="2" s="1"/>
  <c r="O38" i="2"/>
  <c r="O43" i="2"/>
  <c r="O36" i="2"/>
  <c r="O8" i="2"/>
  <c r="P32" i="2" s="1"/>
  <c r="O17" i="2"/>
  <c r="O48" i="2"/>
  <c r="O6" i="2"/>
  <c r="P12" i="2" s="1"/>
  <c r="O22" i="2"/>
  <c r="O25" i="2"/>
  <c r="O32" i="2"/>
  <c r="O41" i="2"/>
  <c r="O4" i="2"/>
  <c r="P40" i="2" s="1"/>
  <c r="O11" i="2"/>
  <c r="O30" i="2"/>
  <c r="O46" i="2"/>
  <c r="O49" i="2"/>
  <c r="O9" i="2"/>
  <c r="P21" i="2" s="1"/>
  <c r="O16" i="2"/>
  <c r="O34" i="2"/>
  <c r="O23" i="2"/>
  <c r="O42" i="2"/>
  <c r="O21" i="2"/>
  <c r="P33" i="2" s="1"/>
  <c r="O28" i="2"/>
  <c r="O35" i="2"/>
  <c r="P44" i="3"/>
  <c r="P8" i="3"/>
  <c r="P32" i="3"/>
  <c r="P20" i="3"/>
  <c r="P50" i="3"/>
  <c r="P38" i="3"/>
  <c r="P26" i="3"/>
  <c r="P14" i="3"/>
  <c r="P51" i="3"/>
  <c r="P48" i="3"/>
  <c r="P36" i="3"/>
  <c r="P24" i="3"/>
  <c r="P12" i="3"/>
  <c r="P42" i="3"/>
  <c r="P30" i="3"/>
  <c r="P18" i="3"/>
  <c r="P6" i="3"/>
  <c r="P46" i="3"/>
  <c r="P34" i="3"/>
  <c r="P22" i="3"/>
  <c r="P10" i="3"/>
  <c r="P16" i="3"/>
  <c r="P4" i="3"/>
  <c r="P40" i="3"/>
  <c r="P28" i="3"/>
  <c r="P52" i="3"/>
  <c r="P49" i="3"/>
  <c r="P37" i="3"/>
  <c r="P25" i="3"/>
  <c r="P13" i="3"/>
  <c r="P43" i="3"/>
  <c r="P31" i="3"/>
  <c r="P19" i="3"/>
  <c r="P7" i="3"/>
  <c r="P41" i="3"/>
  <c r="P5" i="3"/>
  <c r="P35" i="3"/>
  <c r="P11" i="3"/>
  <c r="P47" i="3"/>
  <c r="P23" i="3"/>
  <c r="P29" i="3"/>
  <c r="P17" i="3"/>
  <c r="P9" i="3"/>
  <c r="P21" i="3"/>
  <c r="P33" i="3"/>
  <c r="P45" i="3"/>
  <c r="P3" i="3"/>
  <c r="P15" i="3"/>
  <c r="P27" i="3"/>
  <c r="P39" i="3"/>
  <c r="F20" i="7"/>
  <c r="P37" i="2"/>
  <c r="P27" i="2"/>
  <c r="P51" i="2"/>
  <c r="P55" i="1"/>
  <c r="P8" i="1"/>
  <c r="P20" i="1"/>
  <c r="P32" i="1"/>
  <c r="P44" i="1"/>
  <c r="P56" i="1"/>
  <c r="P18" i="1"/>
  <c r="Q42" i="1" s="1"/>
  <c r="P30" i="1"/>
  <c r="P42" i="1"/>
  <c r="Q30" i="1" s="1"/>
  <c r="P54" i="1"/>
  <c r="Q24" i="1" s="1"/>
  <c r="P9" i="1"/>
  <c r="Q9" i="1" s="1"/>
  <c r="P21" i="1"/>
  <c r="P33" i="1"/>
  <c r="P45" i="1"/>
  <c r="P57" i="1"/>
  <c r="P10" i="1"/>
  <c r="Q28" i="1" s="1"/>
  <c r="P22" i="1"/>
  <c r="P34" i="1"/>
  <c r="P46" i="1"/>
  <c r="P11" i="1"/>
  <c r="Q47" i="1" s="1"/>
  <c r="P23" i="1"/>
  <c r="Q35" i="1" s="1"/>
  <c r="P35" i="1"/>
  <c r="P47" i="1"/>
  <c r="P13" i="1"/>
  <c r="P25" i="1"/>
  <c r="Q49" i="1" s="1"/>
  <c r="P37" i="1"/>
  <c r="P49" i="1"/>
  <c r="P14" i="1"/>
  <c r="P26" i="1"/>
  <c r="P38" i="1"/>
  <c r="P50" i="1"/>
  <c r="Q34" i="1"/>
  <c r="Q22" i="1"/>
  <c r="Q40" i="1"/>
  <c r="Q15" i="1"/>
  <c r="Q11" i="1"/>
  <c r="Q23" i="1"/>
  <c r="Q12" i="1"/>
  <c r="Q48" i="1"/>
  <c r="Q36" i="1"/>
  <c r="Q54" i="1"/>
  <c r="Q18" i="1"/>
  <c r="Q43" i="1"/>
  <c r="Q31" i="1"/>
  <c r="P6" i="1"/>
  <c r="F8" i="7"/>
  <c r="F25" i="7"/>
  <c r="N2" i="4"/>
  <c r="P3" i="1"/>
  <c r="P4" i="1"/>
  <c r="F14" i="7"/>
  <c r="O2" i="3"/>
  <c r="P2" i="1"/>
  <c r="P7" i="1"/>
  <c r="P5" i="1"/>
  <c r="B34" i="5"/>
  <c r="B51" i="5" s="1"/>
  <c r="P2" i="3"/>
  <c r="B29" i="5"/>
  <c r="N7" i="4" l="1"/>
  <c r="N43" i="4"/>
  <c r="N24" i="4"/>
  <c r="N36" i="4"/>
  <c r="N48" i="4"/>
  <c r="N28" i="4"/>
  <c r="N16" i="4"/>
  <c r="N22" i="4"/>
  <c r="N4" i="4"/>
  <c r="N49" i="4"/>
  <c r="N6" i="4"/>
  <c r="N12" i="4"/>
  <c r="N34" i="4"/>
  <c r="N10" i="4"/>
  <c r="N25" i="4"/>
  <c r="N18" i="4"/>
  <c r="N13" i="4"/>
  <c r="N30" i="4"/>
  <c r="B40" i="5"/>
  <c r="P25" i="2"/>
  <c r="P49" i="2"/>
  <c r="P31" i="2"/>
  <c r="P42" i="2"/>
  <c r="P43" i="2"/>
  <c r="P7" i="2"/>
  <c r="P39" i="2"/>
  <c r="P38" i="2"/>
  <c r="B23" i="5"/>
  <c r="B50" i="5" s="1"/>
  <c r="P15" i="2"/>
  <c r="P4" i="2"/>
  <c r="P2" i="2"/>
  <c r="P3" i="2"/>
  <c r="P29" i="2"/>
  <c r="P50" i="2"/>
  <c r="P52" i="2"/>
  <c r="P28" i="2"/>
  <c r="P24" i="2"/>
  <c r="P36" i="2"/>
  <c r="P20" i="2"/>
  <c r="P5" i="2"/>
  <c r="P10" i="2"/>
  <c r="P48" i="2"/>
  <c r="P23" i="2"/>
  <c r="P9" i="2"/>
  <c r="P47" i="2"/>
  <c r="P22" i="2"/>
  <c r="P18" i="2"/>
  <c r="P17" i="2"/>
  <c r="P11" i="2"/>
  <c r="P14" i="2"/>
  <c r="P35" i="2"/>
  <c r="P34" i="2"/>
  <c r="P30" i="2"/>
  <c r="P44" i="2"/>
  <c r="P46" i="2"/>
  <c r="P41" i="2"/>
  <c r="P8" i="2"/>
  <c r="P45" i="2"/>
  <c r="B18" i="5"/>
  <c r="Q19" i="1"/>
  <c r="Q39" i="1"/>
  <c r="Q52" i="1"/>
  <c r="Q51" i="1"/>
  <c r="Q21" i="1"/>
  <c r="Q13" i="1"/>
  <c r="Q17" i="1"/>
  <c r="Q33" i="1"/>
  <c r="Q10" i="1"/>
  <c r="Q29" i="1"/>
  <c r="Q45" i="1"/>
  <c r="Q46" i="1"/>
  <c r="Q25" i="1"/>
  <c r="Q37" i="1"/>
  <c r="Q41" i="1"/>
  <c r="Q57" i="1"/>
  <c r="Q55" i="1"/>
  <c r="Q53" i="1"/>
  <c r="Q27" i="1"/>
  <c r="Q16" i="1"/>
  <c r="B4" i="5"/>
  <c r="Q4" i="1"/>
  <c r="Q3" i="1"/>
  <c r="Q2" i="1"/>
  <c r="Q8" i="1"/>
  <c r="Q56" i="1"/>
  <c r="Q44" i="1"/>
  <c r="Q32" i="1"/>
  <c r="Q20" i="1"/>
  <c r="B9" i="5"/>
  <c r="B49" i="5" s="1"/>
  <c r="Q50" i="1"/>
  <c r="Q38" i="1"/>
  <c r="Q26" i="1"/>
  <c r="Q14" i="1"/>
  <c r="Q5" i="1"/>
  <c r="Q7" i="1"/>
  <c r="Q6" i="1"/>
  <c r="B45" i="5"/>
  <c r="B52" i="5" s="1"/>
  <c r="B54" i="5" l="1"/>
</calcChain>
</file>

<file path=xl/sharedStrings.xml><?xml version="1.0" encoding="utf-8"?>
<sst xmlns="http://schemas.openxmlformats.org/spreadsheetml/2006/main" count="2475" uniqueCount="315">
  <si>
    <t>ID Avaliação</t>
  </si>
  <si>
    <t>Data da avaliação</t>
  </si>
  <si>
    <t>Operação</t>
  </si>
  <si>
    <t>Processo avaliado</t>
  </si>
  <si>
    <t>Nome_Documento</t>
  </si>
  <si>
    <t>Quantidade</t>
  </si>
  <si>
    <t>Existe?</t>
  </si>
  <si>
    <t>Está atualizado?</t>
  </si>
  <si>
    <t>Última atualização</t>
  </si>
  <si>
    <t>Padronizado?</t>
  </si>
  <si>
    <t>Coforme?</t>
  </si>
  <si>
    <t>Existência</t>
  </si>
  <si>
    <t>Atualização</t>
  </si>
  <si>
    <t xml:space="preserve"> Padrão</t>
  </si>
  <si>
    <t>Conformidade</t>
  </si>
  <si>
    <t>Documentação</t>
  </si>
  <si>
    <t>Geral</t>
  </si>
  <si>
    <t>Observação</t>
  </si>
  <si>
    <t>Plano de Ação</t>
  </si>
  <si>
    <t>Responsável</t>
  </si>
  <si>
    <t>Prazo</t>
  </si>
  <si>
    <t>Status da Ação</t>
  </si>
  <si>
    <t>PROCESSOS</t>
  </si>
  <si>
    <t>Política</t>
  </si>
  <si>
    <t>Politica da informação Documentada</t>
  </si>
  <si>
    <t>SIM</t>
  </si>
  <si>
    <t>Não Conformidade Grave</t>
  </si>
  <si>
    <t>Procedimento Operacional</t>
  </si>
  <si>
    <t>ORIENTAR QUANTO A TRATATIVA DE SOLICITAÇÕES À AREA DE PROCESSOS COMPARTILHADO</t>
  </si>
  <si>
    <t>ORIENTAR QUANTO A APROVAÇÃO DE DOCUMENTOS EM DBM</t>
  </si>
  <si>
    <t>NÃO</t>
  </si>
  <si>
    <t xml:space="preserve">Qualidade </t>
  </si>
  <si>
    <t>Nome_Indicador</t>
  </si>
  <si>
    <t>Existe indicador?</t>
  </si>
  <si>
    <t>Como é atualizado?</t>
  </si>
  <si>
    <t>No padrão?</t>
  </si>
  <si>
    <t>Conforme?</t>
  </si>
  <si>
    <t>Padrão</t>
  </si>
  <si>
    <t>Score Indicadores</t>
  </si>
  <si>
    <t>Exemplo (apagar)</t>
  </si>
  <si>
    <t>Admissão</t>
  </si>
  <si>
    <t>Taxa de Absenteísmo</t>
  </si>
  <si>
    <t>Automático</t>
  </si>
  <si>
    <t>Linha de exemplo - substitua pelos dados reais</t>
  </si>
  <si>
    <t>Nome_Treinamento</t>
  </si>
  <si>
    <t>Treinamento está coerente aos documentos?</t>
  </si>
  <si>
    <t>Treinamento foi aplicado?</t>
  </si>
  <si>
    <t>Houve atualização?</t>
  </si>
  <si>
    <t>Coerência</t>
  </si>
  <si>
    <t>Aplicação</t>
  </si>
  <si>
    <t>Score Treinamento</t>
  </si>
  <si>
    <t>Treinamento - Admissão</t>
  </si>
  <si>
    <t>Não Conformidade</t>
  </si>
  <si>
    <t>Processo Monitorado</t>
  </si>
  <si>
    <t>Foram feitas monitorias de qualidade?</t>
  </si>
  <si>
    <t>Como são feitas as monitorias?</t>
  </si>
  <si>
    <t>Abrangência</t>
  </si>
  <si>
    <t>Score Qualidade</t>
  </si>
  <si>
    <t>Amostral</t>
  </si>
  <si>
    <t>RESUMO DA AVALIAÇÃO</t>
  </si>
  <si>
    <t>Indicador</t>
  </si>
  <si>
    <t>Resultado</t>
  </si>
  <si>
    <t>Faixa do Score</t>
  </si>
  <si>
    <t>Interpretação</t>
  </si>
  <si>
    <t>Documentações avaliadas</t>
  </si>
  <si>
    <t>0–25</t>
  </si>
  <si>
    <t>Baixissíma maturidade documental</t>
  </si>
  <si>
    <t>Documentações existentes</t>
  </si>
  <si>
    <t>26-35</t>
  </si>
  <si>
    <t>Baixa maturidade documental</t>
  </si>
  <si>
    <t>Documentações atualizadas</t>
  </si>
  <si>
    <t>36-75</t>
  </si>
  <si>
    <t>Maturidade intermediária</t>
  </si>
  <si>
    <t>Documentações no padrão</t>
  </si>
  <si>
    <t>76-85</t>
  </si>
  <si>
    <t>Boa maturidade documental</t>
  </si>
  <si>
    <t>Documentação Em Conformidade</t>
  </si>
  <si>
    <t>86-100</t>
  </si>
  <si>
    <t>Excelente maturidade documental</t>
  </si>
  <si>
    <t>Score médio de documentação</t>
  </si>
  <si>
    <t>% de existência</t>
  </si>
  <si>
    <t>% atualizado</t>
  </si>
  <si>
    <t>Observação metodológica</t>
  </si>
  <si>
    <t>% no padrão</t>
  </si>
  <si>
    <t>O Score Documentação é calculado por documentação e considera igualmente Existência, Atualização e Padrão. A volumetria (Quantidade) fica registrada para permitir análises posteriores de cobertura e ponderação.</t>
  </si>
  <si>
    <t>INDICADORES</t>
  </si>
  <si>
    <t>Indicadores avaliados</t>
  </si>
  <si>
    <t>Indicadores existentes</t>
  </si>
  <si>
    <t>Indicadores atualizados (automático ou manual)</t>
  </si>
  <si>
    <t>Indicadores no padrão</t>
  </si>
  <si>
    <t>Indicadores em conformidade</t>
  </si>
  <si>
    <t>Score médio de Indicadores</t>
  </si>
  <si>
    <t>% atualizado (automático/manual)</t>
  </si>
  <si>
    <t>TREINAMENTO</t>
  </si>
  <si>
    <t>Treinamentos avaliados</t>
  </si>
  <si>
    <t>Treinamentos coerentes aos documentos</t>
  </si>
  <si>
    <t>Treinamentos aplicados</t>
  </si>
  <si>
    <t>Treinamentos atualizados</t>
  </si>
  <si>
    <t>Treinamentos em conformidade</t>
  </si>
  <si>
    <t>Score médio de Treinamento</t>
  </si>
  <si>
    <t>% coerente aos documentos</t>
  </si>
  <si>
    <t>% aplicado</t>
  </si>
  <si>
    <t>QUALIDADE</t>
  </si>
  <si>
    <t>Processos avaliados (monitorias)</t>
  </si>
  <si>
    <t>Processos com monitoria realizada</t>
  </si>
  <si>
    <t>Monitorias integrais</t>
  </si>
  <si>
    <t>Monitorias amostrais</t>
  </si>
  <si>
    <t>Processos em conformidade</t>
  </si>
  <si>
    <t>Score médio de Qualidade</t>
  </si>
  <si>
    <t>% de monitorias realizadas</t>
  </si>
  <si>
    <t>SCORE GERAL DE MATURIDADE (Documentação + Indicadores + Treinamento + Qualidade)</t>
  </si>
  <si>
    <t>Score Documentação</t>
  </si>
  <si>
    <t>SCORE GERAL DE MATURIDADE</t>
  </si>
  <si>
    <t>CRITÉRIOS E REGRAS DE PREENCHIMENTO</t>
  </si>
  <si>
    <t>Campo</t>
  </si>
  <si>
    <t>O que registrar</t>
  </si>
  <si>
    <t>Tipo</t>
  </si>
  <si>
    <t>Obrigatório?</t>
  </si>
  <si>
    <t>Regra</t>
  </si>
  <si>
    <t>Exemplo</t>
  </si>
  <si>
    <t>Data em que a análise foi realizada.</t>
  </si>
  <si>
    <t>Data</t>
  </si>
  <si>
    <t>Sim</t>
  </si>
  <si>
    <t>Usar dd/mm/aaaa.</t>
  </si>
  <si>
    <t>11/08/2026</t>
  </si>
  <si>
    <t>Nome da operação analisada.</t>
  </si>
  <si>
    <t>Texto</t>
  </si>
  <si>
    <t>Padronizar nomenclatura.</t>
  </si>
  <si>
    <t>Operação A</t>
  </si>
  <si>
    <t>Processo ao qual a documentação pertence.</t>
  </si>
  <si>
    <t>Um processo pode ter vários documentos.</t>
  </si>
  <si>
    <t>Nome do documento analisado.</t>
  </si>
  <si>
    <t>Uma linha por documento.</t>
  </si>
  <si>
    <t>POP - Admissão</t>
  </si>
  <si>
    <t>Quantidade/volumetria relacionada ao processo ou documentação.</t>
  </si>
  <si>
    <t>Número</t>
  </si>
  <si>
    <t>Use para análises de cobertura e ponderação futura.</t>
  </si>
  <si>
    <t>3</t>
  </si>
  <si>
    <t>Se existe documentação suficiente para a necessidade avaliada.</t>
  </si>
  <si>
    <t>SIM/NÃO</t>
  </si>
  <si>
    <t>SIM = existe; NÃO = não existe.</t>
  </si>
  <si>
    <t>Se a documentação está vigente/atualizada.</t>
  </si>
  <si>
    <t>Avaliar conforme periodicidade ou necessidade definida.</t>
  </si>
  <si>
    <t>Data da última revisão/atualização conhecida.</t>
  </si>
  <si>
    <t>Quando houver</t>
  </si>
  <si>
    <t>Se não houver registro, deixar em branco e avaliar Atualização.</t>
  </si>
  <si>
    <t>05/06/2026</t>
  </si>
  <si>
    <t>Se atende ao padrão documental definido pela empresa.</t>
  </si>
  <si>
    <t>Considerar template, identificação, aprovação, versionamento etc.</t>
  </si>
  <si>
    <t>Resultado automático.</t>
  </si>
  <si>
    <t>Fórmula</t>
  </si>
  <si>
    <t>Média de Existência, Atualização e Padrão × 100.</t>
  </si>
  <si>
    <t>67</t>
  </si>
  <si>
    <t>Não Conformidade Grave, Não Conformidade Pontual , Conformidade</t>
  </si>
  <si>
    <t>Texto livre para definir especificidades</t>
  </si>
  <si>
    <t>Nome do indicador avaliado.</t>
  </si>
  <si>
    <t>Um indicador por linha.</t>
  </si>
  <si>
    <t>Se existe indicador formalizado para o processo/área avaliada.</t>
  </si>
  <si>
    <t>Forma como o indicador é atualizado.</t>
  </si>
  <si>
    <t>Lista</t>
  </si>
  <si>
    <t>Automático = atualização via sistema/BI; Manual = planilha/atualização manual; Não atualizado = sem rotina de atualização.</t>
  </si>
  <si>
    <t>Se o indicador segue o padrão definido (meta, periodicidade, dono, fórmula documentada).</t>
  </si>
  <si>
    <t>Considerar meta, periodicidade e responsável definidos.</t>
  </si>
  <si>
    <t>Média de Existência, Atualização, Padrão e Conformidade × 100.</t>
  </si>
  <si>
    <t>75</t>
  </si>
  <si>
    <t>Nome do treinamento avaliado.</t>
  </si>
  <si>
    <t>Um treinamento por linha.</t>
  </si>
  <si>
    <t>Se o conteúdo do treinamento reflete o que está documentado (POP/Política).</t>
  </si>
  <si>
    <t>Comparar treinamento vigente com a documentação vigente.</t>
  </si>
  <si>
    <t>Se o treinamento foi de fato aplicado ao time.</t>
  </si>
  <si>
    <t>Considerar evidência de aplicação (lista de presença, LMS etc.).</t>
  </si>
  <si>
    <t>Se o treinamento foi atualizado após a última mudança no processo/documento.</t>
  </si>
  <si>
    <t>SIM = atualizado após última mudança; NÃO = desatualizado.</t>
  </si>
  <si>
    <t>Média de Coerência, Aplicação, Atualização e Conformidade × 100.</t>
  </si>
  <si>
    <t>Nome do processo objeto da monitoria de qualidade.</t>
  </si>
  <si>
    <t>Uma linha por processo monitorado.</t>
  </si>
  <si>
    <t>Se existe rotina de monitoria de qualidade para o processo.</t>
  </si>
  <si>
    <t>SIM = existe monitoria; NÃO = não existe.</t>
  </si>
  <si>
    <t>Abrangência da monitoria realizada.</t>
  </si>
  <si>
    <t>Integral = 100% dos casos; Amostral = por amostragem; Não realizada = sem monitoria.</t>
  </si>
  <si>
    <t>Média de Existência, Abrangência e Conformidade × 100.</t>
  </si>
  <si>
    <t>MODELO DE SCORE — BASE PARA EVOLUÇÃO DA MATURIDADE</t>
  </si>
  <si>
    <t>Dimensão</t>
  </si>
  <si>
    <t>Pontuação atual</t>
  </si>
  <si>
    <t>Peso sugerido</t>
  </si>
  <si>
    <t>Score ponderado</t>
  </si>
  <si>
    <t>Fonte</t>
  </si>
  <si>
    <t>Existe documentação?</t>
  </si>
  <si>
    <t>1 = SIM / 0 = NÃO</t>
  </si>
  <si>
    <t>Avaliação</t>
  </si>
  <si>
    <t>Pode ser refinado para medir cobertura do processo.</t>
  </si>
  <si>
    <t>Pode incorporar faixas por idade da revisão.</t>
  </si>
  <si>
    <t>Está no padrão?</t>
  </si>
  <si>
    <t>Pode evoluir para checklist de conformidade.</t>
  </si>
  <si>
    <t>Volumetria</t>
  </si>
  <si>
    <t>Valor registrado</t>
  </si>
  <si>
    <t>Não entra no score inicial; recomenda-se usar depois como peso de criticidade/cobertura.</t>
  </si>
  <si>
    <t>Score consolidado</t>
  </si>
  <si>
    <t>INDICADORES — PESO 1/4 DO SCORE GERAL</t>
  </si>
  <si>
    <t>Indicador formalizado para o processo/área.</t>
  </si>
  <si>
    <t>1=Automático / 0,5=Manual / 0=Não atualizado</t>
  </si>
  <si>
    <t>Automação da atualização eleva a maturidade.</t>
  </si>
  <si>
    <t>Meta, periodicidade e dono definidos.</t>
  </si>
  <si>
    <t>TREINAMENTO — PESO 1/4 DO SCORE GERAL</t>
  </si>
  <si>
    <t>Treinamento coerente aos documentos?</t>
  </si>
  <si>
    <t>Conteúdo alinhado ao documento vigente.</t>
  </si>
  <si>
    <t>Evidência de aplicação ao time.</t>
  </si>
  <si>
    <t>Atualizado após última mudança no processo.</t>
  </si>
  <si>
    <t>QUALIDADE — PESO 1/4 DO SCORE GERAL</t>
  </si>
  <si>
    <t>Rotina de monitoria existente.</t>
  </si>
  <si>
    <t>1=Integral / 0,5=Amostral / 0=Não realizada</t>
  </si>
  <si>
    <t>Monitoria integral indica maior maturidade.</t>
  </si>
  <si>
    <t>COMO UTILIZAR O FORMULÁRIO</t>
  </si>
  <si>
    <t>1</t>
  </si>
  <si>
    <t>Defina a operação</t>
  </si>
  <si>
    <t>Informe a operação que será avaliada.</t>
  </si>
  <si>
    <t>2</t>
  </si>
  <si>
    <t>Liste os processos</t>
  </si>
  <si>
    <t>Registre cada processo que será objeto da análise.</t>
  </si>
  <si>
    <t>Registre as documentações</t>
  </si>
  <si>
    <t>Para cada documento, use uma nova linha. Se um processo possuir 3 documentos, serão 3 linhas para o mesmo processo.</t>
  </si>
  <si>
    <t>4</t>
  </si>
  <si>
    <t>Avalie cada documento</t>
  </si>
  <si>
    <t>Preencha Existência, Atualização, Última atualização e No padrão?.</t>
  </si>
  <si>
    <t>5</t>
  </si>
  <si>
    <t>Observe a volumetria</t>
  </si>
  <si>
    <t>Use Quantidade para registrar a dimensão do processo/documentação. Essa informação ficará disponível para o score de cobertura/criticidade em uma etapa posterior.</t>
  </si>
  <si>
    <t>6</t>
  </si>
  <si>
    <t>Consulte o resumo</t>
  </si>
  <si>
    <t>A aba Resumo consolida os principais indicadores e o score documental.</t>
  </si>
  <si>
    <t>Estrutura recomendada</t>
  </si>
  <si>
    <t>1 Processo → 1 ou N Documentações → 1 avaliação por documentação</t>
  </si>
  <si>
    <t>Novos módulos</t>
  </si>
  <si>
    <t>7</t>
  </si>
  <si>
    <t>Preencha Indicadores</t>
  </si>
  <si>
    <t>Aba "Indicadores": para cada indicador do processo, informe se existe, como é atualizado (Automático/Manual/Não atualizado) e se está no padrão.</t>
  </si>
  <si>
    <t>8</t>
  </si>
  <si>
    <t>Preencha Treinamento</t>
  </si>
  <si>
    <t>Aba "Treinamento": para cada treinamento, informe se está coerente aos documentos, se foi aplicado e se houve atualização.</t>
  </si>
  <si>
    <t>9</t>
  </si>
  <si>
    <t>Preencha Qualidade</t>
  </si>
  <si>
    <t>Aba "Qualidade": para cada processo, informe se há monitoria de qualidade e como ela é feita (Integral/Amostral/Não realizada).</t>
  </si>
  <si>
    <t>10</t>
  </si>
  <si>
    <t>Consulte o Score Geral</t>
  </si>
  <si>
    <t>A aba Resumo agora consolida o Score Documentação, Indicadores, Treinamento e Qualidade em um "Score Geral de Maturidade" (média dos 4 pilares).</t>
  </si>
  <si>
    <t>Compatibilidade Google Sheets</t>
  </si>
  <si>
    <t>As fórmulas dos módulos Indicadores, Treinamento e Qualidade usam apenas funções padrão (IF, IFERROR, COUNTIF, COUNTA, AVERAGE, AVERAGEIF, ROUND, SUM) — totalmente compatíveis ao importar/recriar este arquivo no Google Sheets, sem necessidade de ajuste de sintaxe.</t>
  </si>
  <si>
    <t>Política de Segurança da Informação</t>
  </si>
  <si>
    <t>Qualidade</t>
  </si>
  <si>
    <t>Gestão de Contratos</t>
  </si>
  <si>
    <t>Fluxo de Aprovação de Compras</t>
  </si>
  <si>
    <t>Recursos Humanos</t>
  </si>
  <si>
    <t>Controle de Acesso</t>
  </si>
  <si>
    <t>Checklist de Auditoria</t>
  </si>
  <si>
    <t>Financeiro</t>
  </si>
  <si>
    <t>Auditoria de Processos</t>
  </si>
  <si>
    <t>Plano de Continuidade</t>
  </si>
  <si>
    <t>Atendimento</t>
  </si>
  <si>
    <t>Atendimento ao Cliente</t>
  </si>
  <si>
    <t>Norma de Controle de Acesso</t>
  </si>
  <si>
    <t>Tecnologia</t>
  </si>
  <si>
    <t>Contas a Pagar</t>
  </si>
  <si>
    <t>Treinamento Interno</t>
  </si>
  <si>
    <t>Faturamento</t>
  </si>
  <si>
    <t>Compras</t>
  </si>
  <si>
    <t>Gestão de Incidentes</t>
  </si>
  <si>
    <t>Foi identificada oportunidade de adequação documental.</t>
  </si>
  <si>
    <t>Criar documento e obter aprovação</t>
  </si>
  <si>
    <t>Ana Lima</t>
  </si>
  <si>
    <t>Não iniciado</t>
  </si>
  <si>
    <t>Documento aderente aos critérios avaliados.</t>
  </si>
  <si>
    <t>Manter revisão periódica.</t>
  </si>
  <si>
    <t>Bruno Costa</t>
  </si>
  <si>
    <t>Concluído</t>
  </si>
  <si>
    <t>Carla Souza</t>
  </si>
  <si>
    <t>Executar validação com a área responsável</t>
  </si>
  <si>
    <t>Diego Alves</t>
  </si>
  <si>
    <t>Fernanda Rocha</t>
  </si>
  <si>
    <t>Em andamento</t>
  </si>
  <si>
    <t>Revisar conteúdo e publicar nova versão</t>
  </si>
  <si>
    <t>Gabriel Martins</t>
  </si>
  <si>
    <t>Aguardando validação</t>
  </si>
  <si>
    <t>Adequar ao padrão corporativo</t>
  </si>
  <si>
    <t>Não realizada</t>
  </si>
  <si>
    <t>Integral</t>
  </si>
  <si>
    <t>Monitoria ainda não implantada; necessário definir rotina e amostra.</t>
  </si>
  <si>
    <t>Monitoria executada sem desvios relevantes.</t>
  </si>
  <si>
    <t>Monitoria identificou desvios que exigem tratamento.</t>
  </si>
  <si>
    <t>Não atualizado</t>
  </si>
  <si>
    <t>Índice de Retrabalho</t>
  </si>
  <si>
    <t>Taxa de Conversão</t>
  </si>
  <si>
    <t>Índice de Satisfação</t>
  </si>
  <si>
    <t>Manual</t>
  </si>
  <si>
    <t>Aderência ao Procedimento</t>
  </si>
  <si>
    <t>Indicador requer melhoria de definição, atualização ou aderência.</t>
  </si>
  <si>
    <t>Formalizar indicador e definir responsável</t>
  </si>
  <si>
    <t>Indicador formalizado e acompanhado regularmente.</t>
  </si>
  <si>
    <t>Manter acompanhamento mensal.</t>
  </si>
  <si>
    <t>Automatizar rotina de atualização</t>
  </si>
  <si>
    <t>Documentar meta, fórmula e periodicidade</t>
  </si>
  <si>
    <t>Revisar causa da não conformidade</t>
  </si>
  <si>
    <t>Integração de Novos Colaboradores</t>
  </si>
  <si>
    <t>Proteção de Dados</t>
  </si>
  <si>
    <t>Qualidade Operacional</t>
  </si>
  <si>
    <t>Controles Financeiros</t>
  </si>
  <si>
    <t>Segurança da Informação</t>
  </si>
  <si>
    <t>Política de Compras</t>
  </si>
  <si>
    <t>Auditoria Interna</t>
  </si>
  <si>
    <t>Treinamento apresenta lacuna de conteúdo, aplicação ou atualização.</t>
  </si>
  <si>
    <t>Atualizar conteúdo conforme documentos vigentes</t>
  </si>
  <si>
    <t>Treinamento aderente e com evidência de aplicação.</t>
  </si>
  <si>
    <t>Manter reciclagem periódica.</t>
  </si>
  <si>
    <t>Programar nova turma e registrar presença</t>
  </si>
  <si>
    <t>Revisar material e obter aprovação</t>
  </si>
  <si>
    <t>Tratar não conformidade e avaliar eficácia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</si>
</sst>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yy"/>
    <numFmt numFmtId="165" formatCode="0.0"/>
    <numFmt numFmtId="166" formatCode="0.0%"/>
  </numFmts>
  <fonts count="11" x14ac:knownFonts="1">
    <font>
      <sz val="11"/>
      <color theme="1"/>
      <name val="Calibri"/>
      <charset val="1"/>
    </font>
    <font>
      <sz val="9"/>
      <color rgb="FFFFFFFF"/>
      <name val="Calibri"/>
      <charset val="1"/>
    </font>
    <font>
      <sz val="9"/>
      <color theme="1"/>
      <name val="Calibri"/>
      <charset val="1"/>
    </font>
    <font>
      <b/>
      <sz val="14"/>
      <color rgb="FFFFFFFF"/>
      <name val="Stack Sans Notch"/>
      <charset val="1"/>
    </font>
    <font>
      <b/>
      <sz val="11"/>
      <color rgb="FFFFFFFF"/>
      <name val="Stack Sans Notch"/>
      <charset val="1"/>
    </font>
    <font>
      <sz val="11"/>
      <color theme="1"/>
      <name val="Stack Sans Notch"/>
      <charset val="1"/>
    </font>
    <font>
      <sz val="11"/>
      <name val="Calibri"/>
      <charset val="1"/>
    </font>
    <font>
      <b/>
      <sz val="12"/>
      <name val="Calibri"/>
      <charset val="1"/>
    </font>
    <font>
      <b/>
      <sz val="11"/>
      <color theme="1"/>
      <name val="Stack Sans Notch"/>
      <charset val="1"/>
    </font>
    <font>
      <b/>
      <sz val="11"/>
      <color theme="1"/>
      <name val="Calibri"/>
      <charset val="1"/>
    </font>
    <font>
      <b/>
      <sz val="11"/>
      <name val="Calibri"/>
      <charset val="1"/>
    </font>
  </fonts>
  <fills count="7">
    <fill>
      <patternFill patternType="none"/>
    </fill>
    <fill>
      <patternFill patternType="gray125"/>
    </fill>
    <fill>
      <patternFill patternType="solid">
        <fgColor rgb="FF00B050"/>
        <bgColor rgb="FF008080"/>
      </patternFill>
    </fill>
    <fill>
      <patternFill patternType="solid">
        <fgColor rgb="FFFFFF00"/>
        <bgColor rgb="FFFFFF00"/>
      </patternFill>
    </fill>
    <fill>
      <patternFill patternType="solid">
        <fgColor rgb="FFEAF1DD"/>
        <bgColor rgb="FFE2F0D9"/>
      </patternFill>
    </fill>
    <fill>
      <patternFill patternType="solid">
        <fgColor rgb="FFFF0000"/>
        <bgColor rgb="FF993300"/>
      </patternFill>
    </fill>
    <fill>
      <patternFill patternType="solid">
        <fgColor rgb="FF00FF00"/>
        <bgColor rgb="FF00B050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0" xfId="0" applyFont="1"/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2" fontId="0" fillId="0" borderId="0" xfId="0" applyNumberFormat="1" applyAlignment="1">
      <alignment vertical="top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164" fontId="0" fillId="4" borderId="1" xfId="0" applyNumberFormat="1" applyFill="1" applyBorder="1"/>
    <xf numFmtId="0" fontId="0" fillId="4" borderId="1" xfId="0" applyFill="1" applyBorder="1"/>
    <xf numFmtId="164" fontId="0" fillId="0" borderId="1" xfId="0" applyNumberFormat="1" applyBorder="1"/>
    <xf numFmtId="0" fontId="4" fillId="2" borderId="1" xfId="0" applyFont="1" applyFill="1" applyBorder="1"/>
    <xf numFmtId="0" fontId="4" fillId="2" borderId="0" xfId="0" applyFont="1" applyFill="1"/>
    <xf numFmtId="0" fontId="5" fillId="4" borderId="1" xfId="0" applyFont="1" applyFill="1" applyBorder="1"/>
    <xf numFmtId="0" fontId="0" fillId="0" borderId="1" xfId="0" applyBorder="1" applyAlignment="1">
      <alignment horizontal="center" vertical="center"/>
    </xf>
    <xf numFmtId="0" fontId="0" fillId="5" borderId="0" xfId="0" applyFill="1"/>
    <xf numFmtId="0" fontId="0" fillId="3" borderId="0" xfId="0" applyFill="1"/>
    <xf numFmtId="0" fontId="0" fillId="6" borderId="0" xfId="0" applyFill="1"/>
    <xf numFmtId="165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top" wrapText="1"/>
    </xf>
    <xf numFmtId="0" fontId="6" fillId="0" borderId="1" xfId="0" applyFont="1" applyBorder="1"/>
    <xf numFmtId="1" fontId="6" fillId="0" borderId="1" xfId="0" applyNumberFormat="1" applyFont="1" applyBorder="1" applyAlignment="1">
      <alignment horizontal="center"/>
    </xf>
    <xf numFmtId="165" fontId="6" fillId="0" borderId="1" xfId="0" applyNumberFormat="1" applyFont="1" applyBorder="1" applyAlignment="1">
      <alignment horizontal="center"/>
    </xf>
    <xf numFmtId="166" fontId="6" fillId="0" borderId="1" xfId="0" applyNumberFormat="1" applyFont="1" applyBorder="1" applyAlignment="1">
      <alignment horizontal="center"/>
    </xf>
    <xf numFmtId="0" fontId="7" fillId="0" borderId="1" xfId="0" applyFont="1" applyBorder="1"/>
    <xf numFmtId="165" fontId="7" fillId="0" borderId="1" xfId="0" applyNumberFormat="1" applyFont="1" applyBorder="1" applyAlignment="1">
      <alignment horizontal="center"/>
    </xf>
    <xf numFmtId="0" fontId="4" fillId="2" borderId="1" xfId="0" applyFont="1" applyFill="1" applyBorder="1" applyAlignment="1">
      <alignment vertical="top" wrapText="1"/>
    </xf>
    <xf numFmtId="0" fontId="6" fillId="0" borderId="1" xfId="0" applyFont="1" applyBorder="1" applyAlignment="1">
      <alignment vertical="center" wrapText="1"/>
    </xf>
    <xf numFmtId="0" fontId="8" fillId="2" borderId="0" xfId="0" applyFont="1" applyFill="1"/>
    <xf numFmtId="165" fontId="9" fillId="0" borderId="0" xfId="0" applyNumberFormat="1" applyFont="1"/>
    <xf numFmtId="0" fontId="6" fillId="4" borderId="1" xfId="0" applyFont="1" applyFill="1" applyBorder="1" applyAlignment="1">
      <alignment vertical="center" wrapText="1"/>
    </xf>
    <xf numFmtId="165" fontId="0" fillId="0" borderId="0" xfId="0" applyNumberFormat="1"/>
    <xf numFmtId="0" fontId="9" fillId="0" borderId="0" xfId="0" applyFont="1"/>
    <xf numFmtId="0" fontId="0" fillId="0" borderId="0" xfId="0" applyAlignment="1">
      <alignment wrapText="1"/>
    </xf>
    <xf numFmtId="0" fontId="7" fillId="0" borderId="0" xfId="0" applyFont="1"/>
    <xf numFmtId="0" fontId="6" fillId="0" borderId="0" xfId="0" applyFont="1"/>
    <xf numFmtId="0" fontId="6" fillId="0" borderId="0" xfId="0" applyFont="1" applyAlignment="1">
      <alignment vertical="center" wrapText="1"/>
    </xf>
    <xf numFmtId="0" fontId="10" fillId="0" borderId="0" xfId="0" applyFont="1"/>
    <xf numFmtId="14" fontId="0" fillId="0" borderId="1" xfId="0" applyNumberFormat="1" applyBorder="1" applyAlignment="1">
      <alignment vertical="top" wrapText="1"/>
    </xf>
    <xf numFmtId="14" fontId="0" fillId="0" borderId="0" xfId="0" applyNumberFormat="1"/>
    <xf numFmtId="165" fontId="0" fillId="0" borderId="1" xfId="0" applyNumberFormat="1" applyBorder="1" applyAlignment="1">
      <alignment vertical="top" wrapText="1"/>
    </xf>
    <xf numFmtId="165" fontId="0" fillId="0" borderId="0" xfId="0" applyNumberFormat="1" applyAlignment="1">
      <alignment vertical="top" wrapText="1"/>
    </xf>
    <xf numFmtId="14" fontId="0" fillId="4" borderId="1" xfId="0" applyNumberFormat="1" applyFill="1" applyBorder="1"/>
    <xf numFmtId="165" fontId="0" fillId="0" borderId="1" xfId="0" applyNumberFormat="1" applyBorder="1"/>
    <xf numFmtId="0" fontId="3" fillId="2" borderId="0" xfId="0" applyFont="1" applyFill="1" applyAlignment="1">
      <alignment horizontal="center"/>
    </xf>
    <xf numFmtId="0" fontId="0" fillId="0" borderId="0" xfId="0"/>
    <xf numFmtId="0" fontId="0" fillId="0" borderId="0" xfId="0" applyAlignment="1">
      <alignment vertical="top" wrapText="1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/>
    <xf numFmtId="0" fontId="0" fillId="0" borderId="0" xfId="0" applyAlignment="1">
      <alignment vertical="center" wrapText="1"/>
    </xf>
  </cellXfs>
  <cellStyles count="1">
    <cellStyle name="Normal" xfId="0" builtinId="0"/>
  </cellStyles>
  <dxfs count="42"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E2F0D9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E2F0D9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E2F0D9"/>
        </patternFill>
      </fill>
    </dxf>
    <dxf>
      <fill>
        <patternFill>
          <bgColor rgb="FFFCE4D6"/>
        </patternFill>
      </fill>
    </dxf>
    <dxf>
      <fill>
        <patternFill>
          <bgColor rgb="FFE2F0D9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E2F0D9"/>
        </patternFill>
      </fill>
    </dxf>
    <dxf>
      <fill>
        <patternFill>
          <bgColor rgb="FFFCE4D6"/>
        </patternFill>
      </fill>
    </dxf>
    <dxf>
      <fill>
        <patternFill>
          <bgColor rgb="FFE2F0D9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AF1DD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opLeftCell="C1" zoomScaleNormal="100" workbookViewId="0">
      <pane ySplit="1" topLeftCell="A12" activePane="bottomLeft" state="frozen"/>
      <selection pane="bottomLeft" activeCell="Q12" sqref="Q12"/>
    </sheetView>
  </sheetViews>
  <sheetFormatPr defaultColWidth="14.42578125" defaultRowHeight="15" x14ac:dyDescent="0.25"/>
  <cols>
    <col min="1" max="1" width="13" customWidth="1"/>
    <col min="2" max="2" width="16" customWidth="1"/>
    <col min="3" max="3" width="22" customWidth="1"/>
    <col min="4" max="4" width="28" customWidth="1"/>
    <col min="5" max="5" width="35" customWidth="1"/>
    <col min="6" max="6" width="15.7109375" customWidth="1"/>
    <col min="7" max="7" width="12" customWidth="1"/>
    <col min="8" max="8" width="16" customWidth="1"/>
    <col min="9" max="9" width="19" customWidth="1"/>
    <col min="10" max="10" width="12" customWidth="1"/>
    <col min="11" max="11" width="15.7109375" customWidth="1"/>
    <col min="12" max="12" width="16" customWidth="1"/>
    <col min="13" max="13" width="17" customWidth="1"/>
    <col min="14" max="14" width="14" customWidth="1"/>
    <col min="15" max="17" width="19" customWidth="1"/>
    <col min="18" max="18" width="16.7109375" customWidth="1"/>
    <col min="19" max="26" width="8.7109375" customWidth="1"/>
  </cols>
  <sheetData>
    <row r="1" spans="1:26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/>
      <c r="X1" s="3"/>
      <c r="Y1" s="3"/>
      <c r="Z1" s="3"/>
    </row>
    <row r="2" spans="1:26" ht="41.85" customHeight="1" x14ac:dyDescent="0.25">
      <c r="A2" s="4">
        <f t="shared" ref="A2:A7" si="0">IF(B2="","",ROW()-4)</f>
        <v>-2</v>
      </c>
      <c r="B2" s="5">
        <v>46245</v>
      </c>
      <c r="C2" s="4" t="s">
        <v>22</v>
      </c>
      <c r="D2" s="4" t="s">
        <v>23</v>
      </c>
      <c r="E2" s="4" t="s">
        <v>24</v>
      </c>
      <c r="F2" s="4">
        <v>1</v>
      </c>
      <c r="G2" s="4" t="s">
        <v>25</v>
      </c>
      <c r="H2" s="4" t="s">
        <v>25</v>
      </c>
      <c r="I2" s="5">
        <v>45682</v>
      </c>
      <c r="J2" s="4" t="s">
        <v>25</v>
      </c>
      <c r="K2" s="4" t="s">
        <v>26</v>
      </c>
      <c r="L2" s="4">
        <f t="shared" ref="L2:M7" si="1">IF(G2="","",IF(G2="SIM",1,0))</f>
        <v>1</v>
      </c>
      <c r="M2" s="4">
        <f t="shared" si="1"/>
        <v>1</v>
      </c>
      <c r="N2" s="4">
        <f t="shared" ref="N2:N7" si="2">IF(J2="","",IF(J2="SIM",1,0))</f>
        <v>1</v>
      </c>
      <c r="O2" s="4">
        <f t="shared" ref="O2:O7" si="3">IF(K2="","",IF(K2="Conformidade",1,IF(K2="Não conformidade",0,IF(K2="Não conformidade grave",-1,""))))</f>
        <v>-1</v>
      </c>
      <c r="P2" s="4">
        <f>IF(COUNTA(G2,H2,J2,K2)=0,"",ROUND(AVERAGE(L2:O2)*100,0))</f>
        <v>50</v>
      </c>
      <c r="Q2" s="6">
        <f>IFERROR(AVERAGEIF(C$2:C$57,C2,P$2:P$57),"N/A")</f>
        <v>41.666666666666664</v>
      </c>
    </row>
    <row r="3" spans="1:26" ht="41.85" customHeight="1" x14ac:dyDescent="0.25">
      <c r="A3" s="4">
        <f t="shared" si="0"/>
        <v>-1</v>
      </c>
      <c r="B3" s="5">
        <v>46245</v>
      </c>
      <c r="C3" s="4" t="s">
        <v>22</v>
      </c>
      <c r="D3" s="4" t="s">
        <v>27</v>
      </c>
      <c r="E3" s="4" t="s">
        <v>28</v>
      </c>
      <c r="F3" s="4">
        <v>1</v>
      </c>
      <c r="G3" s="4" t="s">
        <v>25</v>
      </c>
      <c r="H3" s="4" t="s">
        <v>25</v>
      </c>
      <c r="I3" s="5">
        <v>45672</v>
      </c>
      <c r="J3" s="4" t="s">
        <v>25</v>
      </c>
      <c r="K3" s="4" t="s">
        <v>26</v>
      </c>
      <c r="L3" s="4">
        <f t="shared" si="1"/>
        <v>1</v>
      </c>
      <c r="M3" s="4">
        <f t="shared" si="1"/>
        <v>1</v>
      </c>
      <c r="N3" s="4">
        <f t="shared" si="2"/>
        <v>1</v>
      </c>
      <c r="O3" s="4">
        <f t="shared" si="3"/>
        <v>-1</v>
      </c>
      <c r="P3" s="4">
        <f>IF(COUNTA(G3,H3,J3)=0,"",ROUND(AVERAGE(L3:O3)*100,0))</f>
        <v>50</v>
      </c>
      <c r="Q3" s="6">
        <f t="shared" ref="Q3:Q7" si="4">IFERROR(AVERAGEIF(C$2:C$57,C3,P$2:P$57),"N/A")</f>
        <v>41.666666666666664</v>
      </c>
    </row>
    <row r="4" spans="1:26" ht="41.85" customHeight="1" x14ac:dyDescent="0.25">
      <c r="A4" s="4">
        <f t="shared" si="0"/>
        <v>0</v>
      </c>
      <c r="B4" s="5">
        <v>46245</v>
      </c>
      <c r="C4" s="4" t="s">
        <v>22</v>
      </c>
      <c r="D4" s="4" t="s">
        <v>27</v>
      </c>
      <c r="E4" s="4" t="s">
        <v>29</v>
      </c>
      <c r="F4" s="4">
        <v>1</v>
      </c>
      <c r="G4" s="4" t="s">
        <v>25</v>
      </c>
      <c r="H4" s="4" t="s">
        <v>30</v>
      </c>
      <c r="I4" s="5">
        <v>45672</v>
      </c>
      <c r="J4" s="4" t="s">
        <v>25</v>
      </c>
      <c r="K4" s="4" t="s">
        <v>26</v>
      </c>
      <c r="L4" s="4">
        <f t="shared" si="1"/>
        <v>1</v>
      </c>
      <c r="M4" s="4">
        <f t="shared" si="1"/>
        <v>0</v>
      </c>
      <c r="N4" s="4">
        <f t="shared" si="2"/>
        <v>1</v>
      </c>
      <c r="O4" s="4">
        <f t="shared" si="3"/>
        <v>-1</v>
      </c>
      <c r="P4" s="4">
        <f>IF(COUNTA(G4,H4,J4)=0,"",ROUND(AVERAGE(L4:O4)*100,0))</f>
        <v>25</v>
      </c>
      <c r="Q4" s="6">
        <f t="shared" si="4"/>
        <v>41.666666666666664</v>
      </c>
    </row>
    <row r="5" spans="1:26" ht="41.85" customHeight="1" x14ac:dyDescent="0.25">
      <c r="A5" s="4">
        <f t="shared" si="0"/>
        <v>1</v>
      </c>
      <c r="B5" s="5">
        <v>46245</v>
      </c>
      <c r="C5" s="4" t="s">
        <v>31</v>
      </c>
      <c r="D5" s="4" t="s">
        <v>23</v>
      </c>
      <c r="E5" s="4" t="s">
        <v>24</v>
      </c>
      <c r="F5" s="4">
        <v>1</v>
      </c>
      <c r="G5" s="4" t="s">
        <v>30</v>
      </c>
      <c r="H5" s="4" t="s">
        <v>25</v>
      </c>
      <c r="I5" s="5">
        <v>45682</v>
      </c>
      <c r="J5" s="4" t="s">
        <v>30</v>
      </c>
      <c r="K5" s="4" t="s">
        <v>26</v>
      </c>
      <c r="L5" s="4">
        <f t="shared" si="1"/>
        <v>0</v>
      </c>
      <c r="M5" s="4">
        <f t="shared" si="1"/>
        <v>1</v>
      </c>
      <c r="N5" s="4">
        <f t="shared" si="2"/>
        <v>0</v>
      </c>
      <c r="O5" s="4">
        <f t="shared" si="3"/>
        <v>-1</v>
      </c>
      <c r="P5" s="4">
        <f>IF(COUNTA(G5,H5,J5)=0,"",ROUND(AVERAGE(L5:O5)*100,0))</f>
        <v>0</v>
      </c>
      <c r="Q5" s="6">
        <f t="shared" si="4"/>
        <v>50</v>
      </c>
    </row>
    <row r="6" spans="1:26" ht="41.85" customHeight="1" x14ac:dyDescent="0.25">
      <c r="A6" s="4">
        <f t="shared" si="0"/>
        <v>2</v>
      </c>
      <c r="B6" s="5">
        <v>46245</v>
      </c>
      <c r="C6" s="4" t="s">
        <v>31</v>
      </c>
      <c r="D6" s="4" t="s">
        <v>27</v>
      </c>
      <c r="E6" s="4" t="s">
        <v>28</v>
      </c>
      <c r="F6" s="4">
        <v>1</v>
      </c>
      <c r="G6" s="4" t="s">
        <v>25</v>
      </c>
      <c r="H6" s="4" t="s">
        <v>25</v>
      </c>
      <c r="I6" s="5">
        <v>45672</v>
      </c>
      <c r="J6" s="4" t="s">
        <v>25</v>
      </c>
      <c r="K6" s="4" t="s">
        <v>26</v>
      </c>
      <c r="L6" s="4">
        <f t="shared" si="1"/>
        <v>1</v>
      </c>
      <c r="M6" s="4">
        <f t="shared" si="1"/>
        <v>1</v>
      </c>
      <c r="N6" s="4">
        <f t="shared" si="2"/>
        <v>1</v>
      </c>
      <c r="O6" s="4">
        <f t="shared" si="3"/>
        <v>-1</v>
      </c>
      <c r="P6" s="4">
        <f>IF(COUNTA(G6,H6,J6)=0,"",ROUND(AVERAGE(L6:O6)*100,0))</f>
        <v>50</v>
      </c>
      <c r="Q6" s="6">
        <f t="shared" si="4"/>
        <v>50</v>
      </c>
    </row>
    <row r="7" spans="1:26" ht="41.85" customHeight="1" x14ac:dyDescent="0.25">
      <c r="A7" s="4">
        <f t="shared" si="0"/>
        <v>3</v>
      </c>
      <c r="B7" s="5">
        <v>46245</v>
      </c>
      <c r="C7" s="4" t="s">
        <v>31</v>
      </c>
      <c r="D7" s="4" t="s">
        <v>27</v>
      </c>
      <c r="E7" s="4" t="s">
        <v>29</v>
      </c>
      <c r="F7" s="4">
        <v>1</v>
      </c>
      <c r="G7" s="4" t="s">
        <v>25</v>
      </c>
      <c r="H7" s="4" t="s">
        <v>25</v>
      </c>
      <c r="I7" s="5">
        <v>45672</v>
      </c>
      <c r="J7" s="4" t="s">
        <v>25</v>
      </c>
      <c r="K7" s="4" t="s">
        <v>26</v>
      </c>
      <c r="L7" s="4">
        <f t="shared" si="1"/>
        <v>1</v>
      </c>
      <c r="M7" s="4">
        <f t="shared" si="1"/>
        <v>1</v>
      </c>
      <c r="N7" s="4">
        <f t="shared" si="2"/>
        <v>1</v>
      </c>
      <c r="O7" s="4">
        <f t="shared" si="3"/>
        <v>-1</v>
      </c>
      <c r="P7" s="4">
        <f>IF(COUNTA(G7,H7,J7)=0,"",ROUND(AVERAGE(L7:N7)*100,0))</f>
        <v>100</v>
      </c>
      <c r="Q7" s="6">
        <f t="shared" si="4"/>
        <v>50</v>
      </c>
    </row>
    <row r="8" spans="1:26" ht="15" customHeight="1" x14ac:dyDescent="0.25">
      <c r="A8" s="4">
        <f>IF(B8="","",ROW()-4)</f>
        <v>4</v>
      </c>
      <c r="B8" s="40">
        <v>46178</v>
      </c>
      <c r="C8" s="4" t="s">
        <v>22</v>
      </c>
      <c r="D8" s="4" t="s">
        <v>40</v>
      </c>
      <c r="E8" s="4" t="s">
        <v>247</v>
      </c>
      <c r="F8" s="4">
        <v>1</v>
      </c>
      <c r="G8" s="4" t="s">
        <v>30</v>
      </c>
      <c r="H8" s="4" t="s">
        <v>30</v>
      </c>
      <c r="I8" s="40">
        <v>45294</v>
      </c>
      <c r="J8" s="4" t="s">
        <v>30</v>
      </c>
      <c r="K8" s="4" t="s">
        <v>26</v>
      </c>
      <c r="L8" s="4">
        <f>IF(G8="","",IF(G8="SIM",1,0))</f>
        <v>0</v>
      </c>
      <c r="M8" s="4">
        <f>IF(H8="","",IF(H8="SIM",1,0))</f>
        <v>0</v>
      </c>
      <c r="N8" s="4">
        <f>IF(J8="","",IF(J8="SIM",1,0))</f>
        <v>0</v>
      </c>
      <c r="O8" s="4">
        <f>IF(K8="","",IF(K8="Conformidade",1,IF(K8="Não Conformidade",0,IF(K8="Não Conformidade Grave",-1,""))))</f>
        <v>-1</v>
      </c>
      <c r="P8" s="42">
        <f>IF(COUNTA(G8,H8,J8,K8)=0,"",ROUND(AVERAGE(L8:O8)*100,0))</f>
        <v>-25</v>
      </c>
      <c r="Q8" s="43">
        <f>IFERROR(AVERAGEIF(C$2:C$57,C8,P$2:P$57),"N/A")</f>
        <v>41.666666666666664</v>
      </c>
      <c r="R8" t="s">
        <v>266</v>
      </c>
      <c r="S8" t="s">
        <v>267</v>
      </c>
      <c r="T8" t="s">
        <v>268</v>
      </c>
      <c r="U8" s="41">
        <v>46270</v>
      </c>
      <c r="V8" t="s">
        <v>269</v>
      </c>
    </row>
    <row r="9" spans="1:26" ht="15" customHeight="1" x14ac:dyDescent="0.25">
      <c r="A9" s="4">
        <f t="shared" ref="A9:A57" si="5">IF(B9="","",ROW()-4)</f>
        <v>5</v>
      </c>
      <c r="B9" s="40">
        <v>46209</v>
      </c>
      <c r="C9" s="4" t="s">
        <v>248</v>
      </c>
      <c r="D9" s="4" t="s">
        <v>249</v>
      </c>
      <c r="E9" s="4" t="s">
        <v>250</v>
      </c>
      <c r="F9" s="4">
        <v>2</v>
      </c>
      <c r="G9" s="4" t="s">
        <v>25</v>
      </c>
      <c r="H9" s="4" t="s">
        <v>25</v>
      </c>
      <c r="I9" s="40">
        <v>45692</v>
      </c>
      <c r="J9" s="4" t="s">
        <v>25</v>
      </c>
      <c r="K9" s="4" t="s">
        <v>14</v>
      </c>
      <c r="L9" s="4">
        <f t="shared" ref="L9:L57" si="6">IF(G9="","",IF(G9="SIM",1,0))</f>
        <v>1</v>
      </c>
      <c r="M9" s="4">
        <f t="shared" ref="M9:M57" si="7">IF(H9="","",IF(H9="SIM",1,0))</f>
        <v>1</v>
      </c>
      <c r="N9" s="4">
        <f t="shared" ref="N9:N57" si="8">IF(J9="","",IF(J9="SIM",1,0))</f>
        <v>1</v>
      </c>
      <c r="O9" s="4">
        <f t="shared" ref="O9:O57" si="9">IF(K9="","",IF(K9="Conformidade",1,IF(K9="Não Conformidade",0,IF(K9="Não Conformidade Grave",-1,""))))</f>
        <v>1</v>
      </c>
      <c r="P9" s="42">
        <f t="shared" ref="P9:P57" si="10">IF(COUNTA(G9,H9,J9,K9)=0,"",ROUND(AVERAGE(L9:O9)*100,0))</f>
        <v>100</v>
      </c>
      <c r="Q9" s="43">
        <f t="shared" ref="Q9:Q57" si="11">IFERROR(AVERAGEIF(C$2:C$57,C9,P$2:P$57),"N/A")</f>
        <v>88.888888888888886</v>
      </c>
      <c r="R9" t="s">
        <v>270</v>
      </c>
      <c r="S9" t="s">
        <v>271</v>
      </c>
      <c r="T9" t="s">
        <v>272</v>
      </c>
      <c r="U9" s="41">
        <v>46301</v>
      </c>
      <c r="V9" t="s">
        <v>273</v>
      </c>
    </row>
    <row r="10" spans="1:26" ht="15" customHeight="1" x14ac:dyDescent="0.25">
      <c r="A10" s="4">
        <f t="shared" si="5"/>
        <v>6</v>
      </c>
      <c r="B10" s="40">
        <v>46241</v>
      </c>
      <c r="C10" s="4" t="s">
        <v>251</v>
      </c>
      <c r="D10" s="4" t="s">
        <v>252</v>
      </c>
      <c r="E10" s="4" t="s">
        <v>253</v>
      </c>
      <c r="F10" s="4">
        <v>3</v>
      </c>
      <c r="G10" s="4" t="s">
        <v>25</v>
      </c>
      <c r="H10" s="4" t="s">
        <v>25</v>
      </c>
      <c r="I10" s="40">
        <v>46086</v>
      </c>
      <c r="J10" s="4" t="s">
        <v>25</v>
      </c>
      <c r="K10" s="4" t="s">
        <v>14</v>
      </c>
      <c r="L10" s="4">
        <f t="shared" si="6"/>
        <v>1</v>
      </c>
      <c r="M10" s="4">
        <f t="shared" si="7"/>
        <v>1</v>
      </c>
      <c r="N10" s="4">
        <f t="shared" si="8"/>
        <v>1</v>
      </c>
      <c r="O10" s="4">
        <f t="shared" si="9"/>
        <v>1</v>
      </c>
      <c r="P10" s="42">
        <f t="shared" si="10"/>
        <v>100</v>
      </c>
      <c r="Q10" s="43">
        <f t="shared" si="11"/>
        <v>68.75</v>
      </c>
      <c r="R10" t="s">
        <v>270</v>
      </c>
      <c r="S10" t="s">
        <v>271</v>
      </c>
      <c r="T10" t="s">
        <v>274</v>
      </c>
      <c r="U10" s="41">
        <v>46333</v>
      </c>
      <c r="V10" t="s">
        <v>273</v>
      </c>
    </row>
    <row r="11" spans="1:26" ht="15" customHeight="1" x14ac:dyDescent="0.25">
      <c r="A11" s="4">
        <f t="shared" si="5"/>
        <v>7</v>
      </c>
      <c r="B11" s="40">
        <v>46181</v>
      </c>
      <c r="C11" s="4" t="s">
        <v>254</v>
      </c>
      <c r="D11" s="4" t="s">
        <v>255</v>
      </c>
      <c r="E11" s="4" t="s">
        <v>256</v>
      </c>
      <c r="F11" s="4">
        <v>4</v>
      </c>
      <c r="G11" s="4" t="s">
        <v>25</v>
      </c>
      <c r="H11" s="4" t="s">
        <v>25</v>
      </c>
      <c r="I11" s="40">
        <v>45388</v>
      </c>
      <c r="J11" s="4" t="s">
        <v>25</v>
      </c>
      <c r="K11" s="4" t="s">
        <v>52</v>
      </c>
      <c r="L11" s="4">
        <f t="shared" si="6"/>
        <v>1</v>
      </c>
      <c r="M11" s="4">
        <f t="shared" si="7"/>
        <v>1</v>
      </c>
      <c r="N11" s="4">
        <f t="shared" si="8"/>
        <v>1</v>
      </c>
      <c r="O11" s="4">
        <f t="shared" si="9"/>
        <v>0</v>
      </c>
      <c r="P11" s="42">
        <f t="shared" si="10"/>
        <v>75</v>
      </c>
      <c r="Q11" s="43">
        <f t="shared" si="11"/>
        <v>50</v>
      </c>
      <c r="R11" t="s">
        <v>266</v>
      </c>
      <c r="S11" t="s">
        <v>275</v>
      </c>
      <c r="T11" t="s">
        <v>276</v>
      </c>
      <c r="U11" s="41">
        <v>46273</v>
      </c>
      <c r="V11" t="s">
        <v>269</v>
      </c>
    </row>
    <row r="12" spans="1:26" ht="15" customHeight="1" x14ac:dyDescent="0.25">
      <c r="A12" s="4">
        <f t="shared" si="5"/>
        <v>8</v>
      </c>
      <c r="B12" s="40">
        <v>46212</v>
      </c>
      <c r="C12" s="4" t="s">
        <v>257</v>
      </c>
      <c r="D12" s="4" t="s">
        <v>258</v>
      </c>
      <c r="E12" s="4" t="s">
        <v>259</v>
      </c>
      <c r="F12" s="4">
        <v>5</v>
      </c>
      <c r="G12" s="4" t="s">
        <v>25</v>
      </c>
      <c r="H12" s="4" t="s">
        <v>25</v>
      </c>
      <c r="I12" s="40">
        <v>45784</v>
      </c>
      <c r="J12" s="4" t="s">
        <v>30</v>
      </c>
      <c r="K12" s="4" t="s">
        <v>14</v>
      </c>
      <c r="L12" s="4">
        <f t="shared" si="6"/>
        <v>1</v>
      </c>
      <c r="M12" s="4">
        <f t="shared" si="7"/>
        <v>1</v>
      </c>
      <c r="N12" s="4">
        <f t="shared" si="8"/>
        <v>0</v>
      </c>
      <c r="O12" s="4">
        <f t="shared" si="9"/>
        <v>1</v>
      </c>
      <c r="P12" s="42">
        <f t="shared" si="10"/>
        <v>75</v>
      </c>
      <c r="Q12" s="43">
        <f>IFERROR(AVERAGEIF(C$2:C$57,C12,P$2:P$57),"N/A")</f>
        <v>62.5</v>
      </c>
      <c r="R12" t="s">
        <v>266</v>
      </c>
      <c r="S12" t="s">
        <v>267</v>
      </c>
      <c r="T12" t="s">
        <v>277</v>
      </c>
      <c r="U12" s="41">
        <v>46304</v>
      </c>
      <c r="V12" t="s">
        <v>278</v>
      </c>
    </row>
    <row r="13" spans="1:26" ht="15" customHeight="1" x14ac:dyDescent="0.25">
      <c r="A13" s="4">
        <f t="shared" si="5"/>
        <v>9</v>
      </c>
      <c r="B13" s="40">
        <v>46244</v>
      </c>
      <c r="C13" s="4" t="s">
        <v>260</v>
      </c>
      <c r="D13" s="4" t="s">
        <v>261</v>
      </c>
      <c r="E13" s="4" t="s">
        <v>247</v>
      </c>
      <c r="F13" s="4">
        <v>1</v>
      </c>
      <c r="G13" s="4" t="s">
        <v>25</v>
      </c>
      <c r="H13" s="4" t="s">
        <v>30</v>
      </c>
      <c r="I13" s="40">
        <v>46181</v>
      </c>
      <c r="J13" s="4" t="s">
        <v>25</v>
      </c>
      <c r="K13" s="4" t="s">
        <v>14</v>
      </c>
      <c r="L13" s="4">
        <f t="shared" si="6"/>
        <v>1</v>
      </c>
      <c r="M13" s="4">
        <f t="shared" si="7"/>
        <v>0</v>
      </c>
      <c r="N13" s="4">
        <f t="shared" si="8"/>
        <v>1</v>
      </c>
      <c r="O13" s="4">
        <f t="shared" si="9"/>
        <v>1</v>
      </c>
      <c r="P13" s="42">
        <f t="shared" si="10"/>
        <v>75</v>
      </c>
      <c r="Q13" s="43">
        <f t="shared" si="11"/>
        <v>87.5</v>
      </c>
      <c r="R13" t="s">
        <v>266</v>
      </c>
      <c r="S13" t="s">
        <v>279</v>
      </c>
      <c r="T13" t="s">
        <v>280</v>
      </c>
      <c r="U13" s="41">
        <v>46336</v>
      </c>
      <c r="V13" t="s">
        <v>281</v>
      </c>
    </row>
    <row r="14" spans="1:26" ht="15" customHeight="1" x14ac:dyDescent="0.25">
      <c r="A14" s="4">
        <f t="shared" si="5"/>
        <v>10</v>
      </c>
      <c r="B14" s="40">
        <v>46184</v>
      </c>
      <c r="C14" s="4" t="s">
        <v>22</v>
      </c>
      <c r="D14" s="4" t="s">
        <v>262</v>
      </c>
      <c r="E14" s="4" t="s">
        <v>250</v>
      </c>
      <c r="F14" s="4">
        <v>2</v>
      </c>
      <c r="G14" s="4" t="s">
        <v>25</v>
      </c>
      <c r="H14" s="4" t="s">
        <v>25</v>
      </c>
      <c r="I14" s="40">
        <v>45482</v>
      </c>
      <c r="J14" s="4" t="s">
        <v>25</v>
      </c>
      <c r="K14" s="4" t="s">
        <v>52</v>
      </c>
      <c r="L14" s="4">
        <f t="shared" si="6"/>
        <v>1</v>
      </c>
      <c r="M14" s="4">
        <f t="shared" si="7"/>
        <v>1</v>
      </c>
      <c r="N14" s="4">
        <f t="shared" si="8"/>
        <v>1</v>
      </c>
      <c r="O14" s="4">
        <f t="shared" si="9"/>
        <v>0</v>
      </c>
      <c r="P14" s="42">
        <f t="shared" si="10"/>
        <v>75</v>
      </c>
      <c r="Q14" s="43">
        <f t="shared" si="11"/>
        <v>41.666666666666664</v>
      </c>
      <c r="R14" t="s">
        <v>266</v>
      </c>
      <c r="S14" t="s">
        <v>282</v>
      </c>
      <c r="T14" t="s">
        <v>268</v>
      </c>
      <c r="U14" s="41">
        <v>46276</v>
      </c>
      <c r="V14" t="s">
        <v>269</v>
      </c>
    </row>
    <row r="15" spans="1:26" ht="15" customHeight="1" x14ac:dyDescent="0.25">
      <c r="A15" s="4">
        <f t="shared" si="5"/>
        <v>11</v>
      </c>
      <c r="B15" s="40">
        <v>46215</v>
      </c>
      <c r="C15" s="4" t="s">
        <v>248</v>
      </c>
      <c r="D15" s="4" t="s">
        <v>263</v>
      </c>
      <c r="E15" s="4" t="s">
        <v>253</v>
      </c>
      <c r="F15" s="4">
        <v>3</v>
      </c>
      <c r="G15" s="4" t="s">
        <v>30</v>
      </c>
      <c r="H15" s="4" t="s">
        <v>25</v>
      </c>
      <c r="I15" s="40">
        <v>45879</v>
      </c>
      <c r="J15" s="4" t="s">
        <v>25</v>
      </c>
      <c r="K15" s="4" t="s">
        <v>14</v>
      </c>
      <c r="L15" s="4">
        <f t="shared" si="6"/>
        <v>0</v>
      </c>
      <c r="M15" s="4">
        <f t="shared" si="7"/>
        <v>1</v>
      </c>
      <c r="N15" s="4">
        <f t="shared" si="8"/>
        <v>1</v>
      </c>
      <c r="O15" s="4">
        <f t="shared" si="9"/>
        <v>1</v>
      </c>
      <c r="P15" s="42">
        <f t="shared" si="10"/>
        <v>75</v>
      </c>
      <c r="Q15" s="43">
        <f t="shared" si="11"/>
        <v>88.888888888888886</v>
      </c>
      <c r="R15" t="s">
        <v>266</v>
      </c>
      <c r="S15" t="s">
        <v>275</v>
      </c>
      <c r="T15" t="s">
        <v>272</v>
      </c>
      <c r="U15" s="41">
        <v>46307</v>
      </c>
      <c r="V15" t="s">
        <v>278</v>
      </c>
    </row>
    <row r="16" spans="1:26" ht="15" customHeight="1" x14ac:dyDescent="0.25">
      <c r="A16" s="4">
        <f t="shared" si="5"/>
        <v>12</v>
      </c>
      <c r="B16" s="40">
        <v>46247</v>
      </c>
      <c r="C16" s="4" t="s">
        <v>251</v>
      </c>
      <c r="D16" s="4" t="s">
        <v>264</v>
      </c>
      <c r="E16" s="4" t="s">
        <v>256</v>
      </c>
      <c r="F16" s="4">
        <v>4</v>
      </c>
      <c r="G16" s="4" t="s">
        <v>25</v>
      </c>
      <c r="H16" s="4" t="s">
        <v>25</v>
      </c>
      <c r="I16" s="40">
        <v>46276</v>
      </c>
      <c r="J16" s="4" t="s">
        <v>30</v>
      </c>
      <c r="K16" s="4" t="s">
        <v>14</v>
      </c>
      <c r="L16" s="4">
        <f t="shared" si="6"/>
        <v>1</v>
      </c>
      <c r="M16" s="4">
        <f t="shared" si="7"/>
        <v>1</v>
      </c>
      <c r="N16" s="4">
        <f t="shared" si="8"/>
        <v>0</v>
      </c>
      <c r="O16" s="4">
        <f t="shared" si="9"/>
        <v>1</v>
      </c>
      <c r="P16" s="42">
        <f t="shared" si="10"/>
        <v>75</v>
      </c>
      <c r="Q16" s="43">
        <f t="shared" si="11"/>
        <v>68.75</v>
      </c>
      <c r="R16" t="s">
        <v>266</v>
      </c>
      <c r="S16" t="s">
        <v>267</v>
      </c>
      <c r="T16" t="s">
        <v>274</v>
      </c>
      <c r="U16" s="41">
        <v>46339</v>
      </c>
      <c r="V16" t="s">
        <v>281</v>
      </c>
    </row>
    <row r="17" spans="1:22" ht="15" customHeight="1" x14ac:dyDescent="0.25">
      <c r="A17" s="4">
        <f t="shared" si="5"/>
        <v>13</v>
      </c>
      <c r="B17" s="40">
        <v>46187</v>
      </c>
      <c r="C17" s="4" t="s">
        <v>254</v>
      </c>
      <c r="D17" s="4" t="s">
        <v>265</v>
      </c>
      <c r="E17" s="4" t="s">
        <v>259</v>
      </c>
      <c r="F17" s="4">
        <v>5</v>
      </c>
      <c r="G17" s="4" t="s">
        <v>25</v>
      </c>
      <c r="H17" s="4" t="s">
        <v>25</v>
      </c>
      <c r="I17" s="40">
        <v>45577</v>
      </c>
      <c r="J17" s="4" t="s">
        <v>30</v>
      </c>
      <c r="K17" s="4" t="s">
        <v>52</v>
      </c>
      <c r="L17" s="4">
        <f t="shared" si="6"/>
        <v>1</v>
      </c>
      <c r="M17" s="4">
        <f t="shared" si="7"/>
        <v>1</v>
      </c>
      <c r="N17" s="4">
        <f t="shared" si="8"/>
        <v>0</v>
      </c>
      <c r="O17" s="4">
        <f t="shared" si="9"/>
        <v>0</v>
      </c>
      <c r="P17" s="42">
        <f t="shared" si="10"/>
        <v>50</v>
      </c>
      <c r="Q17" s="43">
        <f t="shared" si="11"/>
        <v>50</v>
      </c>
      <c r="R17" t="s">
        <v>266</v>
      </c>
      <c r="S17" t="s">
        <v>279</v>
      </c>
      <c r="T17" t="s">
        <v>276</v>
      </c>
      <c r="U17" s="41">
        <v>46279</v>
      </c>
      <c r="V17" t="s">
        <v>269</v>
      </c>
    </row>
    <row r="18" spans="1:22" ht="15" customHeight="1" x14ac:dyDescent="0.25">
      <c r="A18" s="4">
        <f t="shared" si="5"/>
        <v>14</v>
      </c>
      <c r="B18" s="40">
        <v>46218</v>
      </c>
      <c r="C18" s="4" t="s">
        <v>257</v>
      </c>
      <c r="D18" s="4" t="s">
        <v>40</v>
      </c>
      <c r="E18" s="4" t="s">
        <v>247</v>
      </c>
      <c r="F18" s="4">
        <v>1</v>
      </c>
      <c r="G18" s="4" t="s">
        <v>25</v>
      </c>
      <c r="H18" s="4" t="s">
        <v>30</v>
      </c>
      <c r="I18" s="40">
        <v>45974</v>
      </c>
      <c r="J18" s="4" t="s">
        <v>25</v>
      </c>
      <c r="K18" s="4" t="s">
        <v>26</v>
      </c>
      <c r="L18" s="4">
        <f t="shared" si="6"/>
        <v>1</v>
      </c>
      <c r="M18" s="4">
        <f t="shared" si="7"/>
        <v>0</v>
      </c>
      <c r="N18" s="4">
        <f t="shared" si="8"/>
        <v>1</v>
      </c>
      <c r="O18" s="4">
        <f t="shared" si="9"/>
        <v>-1</v>
      </c>
      <c r="P18" s="42">
        <f t="shared" si="10"/>
        <v>25</v>
      </c>
      <c r="Q18" s="43">
        <f t="shared" si="11"/>
        <v>62.5</v>
      </c>
      <c r="R18" t="s">
        <v>266</v>
      </c>
      <c r="S18" t="s">
        <v>282</v>
      </c>
      <c r="T18" t="s">
        <v>277</v>
      </c>
      <c r="U18" s="41">
        <v>46310</v>
      </c>
      <c r="V18" t="s">
        <v>278</v>
      </c>
    </row>
    <row r="19" spans="1:22" ht="15" customHeight="1" x14ac:dyDescent="0.25">
      <c r="A19" s="4">
        <f t="shared" si="5"/>
        <v>15</v>
      </c>
      <c r="B19" s="40">
        <v>46250</v>
      </c>
      <c r="C19" s="4" t="s">
        <v>260</v>
      </c>
      <c r="D19" s="4" t="s">
        <v>249</v>
      </c>
      <c r="E19" s="4" t="s">
        <v>250</v>
      </c>
      <c r="F19" s="4">
        <v>2</v>
      </c>
      <c r="G19" s="4" t="s">
        <v>25</v>
      </c>
      <c r="H19" s="4" t="s">
        <v>30</v>
      </c>
      <c r="I19" s="40">
        <v>46370</v>
      </c>
      <c r="J19" s="4" t="s">
        <v>25</v>
      </c>
      <c r="K19" s="4" t="s">
        <v>14</v>
      </c>
      <c r="L19" s="4">
        <f t="shared" si="6"/>
        <v>1</v>
      </c>
      <c r="M19" s="4">
        <f t="shared" si="7"/>
        <v>0</v>
      </c>
      <c r="N19" s="4">
        <f t="shared" si="8"/>
        <v>1</v>
      </c>
      <c r="O19" s="4">
        <f t="shared" si="9"/>
        <v>1</v>
      </c>
      <c r="P19" s="42">
        <f t="shared" si="10"/>
        <v>75</v>
      </c>
      <c r="Q19" s="43">
        <f t="shared" si="11"/>
        <v>87.5</v>
      </c>
      <c r="R19" t="s">
        <v>266</v>
      </c>
      <c r="S19" t="s">
        <v>275</v>
      </c>
      <c r="T19" t="s">
        <v>280</v>
      </c>
      <c r="U19" s="41">
        <v>46342</v>
      </c>
      <c r="V19" t="s">
        <v>281</v>
      </c>
    </row>
    <row r="20" spans="1:22" ht="15" customHeight="1" x14ac:dyDescent="0.25">
      <c r="A20" s="4">
        <f t="shared" si="5"/>
        <v>16</v>
      </c>
      <c r="B20" s="40">
        <v>46190</v>
      </c>
      <c r="C20" s="4" t="s">
        <v>22</v>
      </c>
      <c r="D20" s="4" t="s">
        <v>252</v>
      </c>
      <c r="E20" s="4" t="s">
        <v>253</v>
      </c>
      <c r="F20" s="4">
        <v>3</v>
      </c>
      <c r="G20" s="4" t="s">
        <v>25</v>
      </c>
      <c r="H20" s="4" t="s">
        <v>25</v>
      </c>
      <c r="I20" s="40">
        <v>45306</v>
      </c>
      <c r="J20" s="4" t="s">
        <v>30</v>
      </c>
      <c r="K20" s="4" t="s">
        <v>52</v>
      </c>
      <c r="L20" s="4">
        <f t="shared" si="6"/>
        <v>1</v>
      </c>
      <c r="M20" s="4">
        <f t="shared" si="7"/>
        <v>1</v>
      </c>
      <c r="N20" s="4">
        <f t="shared" si="8"/>
        <v>0</v>
      </c>
      <c r="O20" s="4">
        <f t="shared" si="9"/>
        <v>0</v>
      </c>
      <c r="P20" s="42">
        <f t="shared" si="10"/>
        <v>50</v>
      </c>
      <c r="Q20" s="43">
        <f t="shared" si="11"/>
        <v>41.666666666666664</v>
      </c>
      <c r="R20" t="s">
        <v>266</v>
      </c>
      <c r="S20" t="s">
        <v>267</v>
      </c>
      <c r="T20" t="s">
        <v>268</v>
      </c>
      <c r="U20" s="41">
        <v>46282</v>
      </c>
      <c r="V20" t="s">
        <v>269</v>
      </c>
    </row>
    <row r="21" spans="1:22" ht="15.75" customHeight="1" x14ac:dyDescent="0.25">
      <c r="A21" s="4">
        <f t="shared" si="5"/>
        <v>17</v>
      </c>
      <c r="B21" s="40">
        <v>46221</v>
      </c>
      <c r="C21" s="4" t="s">
        <v>248</v>
      </c>
      <c r="D21" s="4" t="s">
        <v>255</v>
      </c>
      <c r="E21" s="4" t="s">
        <v>256</v>
      </c>
      <c r="F21" s="4">
        <v>4</v>
      </c>
      <c r="G21" s="4" t="s">
        <v>30</v>
      </c>
      <c r="H21" s="4" t="s">
        <v>25</v>
      </c>
      <c r="I21" s="40">
        <v>45704</v>
      </c>
      <c r="J21" s="4" t="s">
        <v>25</v>
      </c>
      <c r="K21" s="4" t="s">
        <v>14</v>
      </c>
      <c r="L21" s="4">
        <f t="shared" si="6"/>
        <v>0</v>
      </c>
      <c r="M21" s="4">
        <f t="shared" si="7"/>
        <v>1</v>
      </c>
      <c r="N21" s="4">
        <f t="shared" si="8"/>
        <v>1</v>
      </c>
      <c r="O21" s="4">
        <f t="shared" si="9"/>
        <v>1</v>
      </c>
      <c r="P21" s="42">
        <f t="shared" si="10"/>
        <v>75</v>
      </c>
      <c r="Q21" s="43">
        <f t="shared" si="11"/>
        <v>88.888888888888886</v>
      </c>
      <c r="R21" t="s">
        <v>266</v>
      </c>
      <c r="S21" t="s">
        <v>279</v>
      </c>
      <c r="T21" t="s">
        <v>272</v>
      </c>
      <c r="U21" s="41">
        <v>46313</v>
      </c>
      <c r="V21" t="s">
        <v>278</v>
      </c>
    </row>
    <row r="22" spans="1:22" ht="15.75" customHeight="1" x14ac:dyDescent="0.25">
      <c r="A22" s="4">
        <f t="shared" si="5"/>
        <v>18</v>
      </c>
      <c r="B22" s="40">
        <v>46253</v>
      </c>
      <c r="C22" s="4" t="s">
        <v>251</v>
      </c>
      <c r="D22" s="4" t="s">
        <v>258</v>
      </c>
      <c r="E22" s="4" t="s">
        <v>259</v>
      </c>
      <c r="F22" s="4">
        <v>5</v>
      </c>
      <c r="G22" s="4" t="s">
        <v>30</v>
      </c>
      <c r="H22" s="4" t="s">
        <v>25</v>
      </c>
      <c r="I22" s="40">
        <v>46098</v>
      </c>
      <c r="J22" s="4" t="s">
        <v>25</v>
      </c>
      <c r="K22" s="4" t="s">
        <v>14</v>
      </c>
      <c r="L22" s="4">
        <f t="shared" si="6"/>
        <v>0</v>
      </c>
      <c r="M22" s="4">
        <f t="shared" si="7"/>
        <v>1</v>
      </c>
      <c r="N22" s="4">
        <f t="shared" si="8"/>
        <v>1</v>
      </c>
      <c r="O22" s="4">
        <f t="shared" si="9"/>
        <v>1</v>
      </c>
      <c r="P22" s="42">
        <f t="shared" si="10"/>
        <v>75</v>
      </c>
      <c r="Q22" s="43">
        <f t="shared" si="11"/>
        <v>68.75</v>
      </c>
      <c r="R22" t="s">
        <v>266</v>
      </c>
      <c r="S22" t="s">
        <v>282</v>
      </c>
      <c r="T22" t="s">
        <v>274</v>
      </c>
      <c r="U22" s="41">
        <v>46345</v>
      </c>
      <c r="V22" t="s">
        <v>281</v>
      </c>
    </row>
    <row r="23" spans="1:22" ht="15.75" customHeight="1" x14ac:dyDescent="0.25">
      <c r="A23" s="4">
        <f t="shared" si="5"/>
        <v>19</v>
      </c>
      <c r="B23" s="40">
        <v>46193</v>
      </c>
      <c r="C23" s="4" t="s">
        <v>254</v>
      </c>
      <c r="D23" s="4" t="s">
        <v>261</v>
      </c>
      <c r="E23" s="4" t="s">
        <v>247</v>
      </c>
      <c r="F23" s="4">
        <v>1</v>
      </c>
      <c r="G23" s="4" t="s">
        <v>25</v>
      </c>
      <c r="H23" s="4" t="s">
        <v>30</v>
      </c>
      <c r="I23" s="40">
        <v>45400</v>
      </c>
      <c r="J23" s="4" t="s">
        <v>25</v>
      </c>
      <c r="K23" s="4" t="s">
        <v>52</v>
      </c>
      <c r="L23" s="4">
        <f t="shared" si="6"/>
        <v>1</v>
      </c>
      <c r="M23" s="4">
        <f t="shared" si="7"/>
        <v>0</v>
      </c>
      <c r="N23" s="4">
        <f t="shared" si="8"/>
        <v>1</v>
      </c>
      <c r="O23" s="4">
        <f t="shared" si="9"/>
        <v>0</v>
      </c>
      <c r="P23" s="42">
        <f t="shared" si="10"/>
        <v>50</v>
      </c>
      <c r="Q23" s="43">
        <f t="shared" si="11"/>
        <v>50</v>
      </c>
      <c r="R23" t="s">
        <v>266</v>
      </c>
      <c r="S23" t="s">
        <v>275</v>
      </c>
      <c r="T23" t="s">
        <v>276</v>
      </c>
      <c r="U23" s="41">
        <v>46285</v>
      </c>
      <c r="V23" t="s">
        <v>269</v>
      </c>
    </row>
    <row r="24" spans="1:22" ht="15.75" customHeight="1" x14ac:dyDescent="0.25">
      <c r="A24" s="4">
        <f t="shared" si="5"/>
        <v>20</v>
      </c>
      <c r="B24" s="40">
        <v>46224</v>
      </c>
      <c r="C24" s="4" t="s">
        <v>257</v>
      </c>
      <c r="D24" s="4" t="s">
        <v>262</v>
      </c>
      <c r="E24" s="4" t="s">
        <v>250</v>
      </c>
      <c r="F24" s="4">
        <v>2</v>
      </c>
      <c r="G24" s="4" t="s">
        <v>25</v>
      </c>
      <c r="H24" s="4" t="s">
        <v>25</v>
      </c>
      <c r="I24" s="40">
        <v>45796</v>
      </c>
      <c r="J24" s="4" t="s">
        <v>30</v>
      </c>
      <c r="K24" s="4" t="s">
        <v>14</v>
      </c>
      <c r="L24" s="4">
        <f t="shared" si="6"/>
        <v>1</v>
      </c>
      <c r="M24" s="4">
        <f t="shared" si="7"/>
        <v>1</v>
      </c>
      <c r="N24" s="4">
        <f t="shared" si="8"/>
        <v>0</v>
      </c>
      <c r="O24" s="4">
        <f t="shared" si="9"/>
        <v>1</v>
      </c>
      <c r="P24" s="42">
        <f t="shared" si="10"/>
        <v>75</v>
      </c>
      <c r="Q24" s="43">
        <f t="shared" si="11"/>
        <v>62.5</v>
      </c>
      <c r="R24" t="s">
        <v>266</v>
      </c>
      <c r="S24" t="s">
        <v>267</v>
      </c>
      <c r="T24" t="s">
        <v>277</v>
      </c>
      <c r="U24" s="41">
        <v>46316</v>
      </c>
      <c r="V24" t="s">
        <v>278</v>
      </c>
    </row>
    <row r="25" spans="1:22" ht="15.75" customHeight="1" x14ac:dyDescent="0.25">
      <c r="A25" s="4">
        <f t="shared" si="5"/>
        <v>21</v>
      </c>
      <c r="B25" s="40">
        <v>46256</v>
      </c>
      <c r="C25" s="4" t="s">
        <v>260</v>
      </c>
      <c r="D25" s="4" t="s">
        <v>263</v>
      </c>
      <c r="E25" s="4" t="s">
        <v>253</v>
      </c>
      <c r="F25" s="4">
        <v>3</v>
      </c>
      <c r="G25" s="4" t="s">
        <v>25</v>
      </c>
      <c r="H25" s="4" t="s">
        <v>25</v>
      </c>
      <c r="I25" s="40">
        <v>46193</v>
      </c>
      <c r="J25" s="4" t="s">
        <v>25</v>
      </c>
      <c r="K25" s="4" t="s">
        <v>14</v>
      </c>
      <c r="L25" s="4">
        <f t="shared" si="6"/>
        <v>1</v>
      </c>
      <c r="M25" s="4">
        <f t="shared" si="7"/>
        <v>1</v>
      </c>
      <c r="N25" s="4">
        <f t="shared" si="8"/>
        <v>1</v>
      </c>
      <c r="O25" s="4">
        <f t="shared" si="9"/>
        <v>1</v>
      </c>
      <c r="P25" s="42">
        <f t="shared" si="10"/>
        <v>100</v>
      </c>
      <c r="Q25" s="43">
        <f t="shared" si="11"/>
        <v>87.5</v>
      </c>
      <c r="R25" t="s">
        <v>270</v>
      </c>
      <c r="S25" t="s">
        <v>271</v>
      </c>
      <c r="T25" t="s">
        <v>280</v>
      </c>
      <c r="U25" s="41">
        <v>46348</v>
      </c>
      <c r="V25" t="s">
        <v>273</v>
      </c>
    </row>
    <row r="26" spans="1:22" ht="15.75" customHeight="1" x14ac:dyDescent="0.25">
      <c r="A26" s="4">
        <f t="shared" si="5"/>
        <v>22</v>
      </c>
      <c r="B26" s="40">
        <v>46196</v>
      </c>
      <c r="C26" s="4" t="s">
        <v>22</v>
      </c>
      <c r="D26" s="4" t="s">
        <v>264</v>
      </c>
      <c r="E26" s="4" t="s">
        <v>256</v>
      </c>
      <c r="F26" s="4">
        <v>4</v>
      </c>
      <c r="G26" s="4" t="s">
        <v>25</v>
      </c>
      <c r="H26" s="4" t="s">
        <v>25</v>
      </c>
      <c r="I26" s="40">
        <v>45494</v>
      </c>
      <c r="J26" s="4" t="s">
        <v>30</v>
      </c>
      <c r="K26" s="4" t="s">
        <v>52</v>
      </c>
      <c r="L26" s="4">
        <f t="shared" si="6"/>
        <v>1</v>
      </c>
      <c r="M26" s="4">
        <f t="shared" si="7"/>
        <v>1</v>
      </c>
      <c r="N26" s="4">
        <f t="shared" si="8"/>
        <v>0</v>
      </c>
      <c r="O26" s="4">
        <f t="shared" si="9"/>
        <v>0</v>
      </c>
      <c r="P26" s="42">
        <f t="shared" si="10"/>
        <v>50</v>
      </c>
      <c r="Q26" s="43">
        <f t="shared" si="11"/>
        <v>41.666666666666664</v>
      </c>
      <c r="R26" t="s">
        <v>266</v>
      </c>
      <c r="S26" t="s">
        <v>282</v>
      </c>
      <c r="T26" t="s">
        <v>268</v>
      </c>
      <c r="U26" s="41">
        <v>46288</v>
      </c>
      <c r="V26" t="s">
        <v>269</v>
      </c>
    </row>
    <row r="27" spans="1:22" ht="15.75" customHeight="1" x14ac:dyDescent="0.25">
      <c r="A27" s="4">
        <f t="shared" si="5"/>
        <v>23</v>
      </c>
      <c r="B27" s="40">
        <v>46227</v>
      </c>
      <c r="C27" s="4" t="s">
        <v>248</v>
      </c>
      <c r="D27" s="4" t="s">
        <v>265</v>
      </c>
      <c r="E27" s="4" t="s">
        <v>259</v>
      </c>
      <c r="F27" s="4">
        <v>5</v>
      </c>
      <c r="G27" s="4" t="s">
        <v>25</v>
      </c>
      <c r="H27" s="4" t="s">
        <v>25</v>
      </c>
      <c r="I27" s="40">
        <v>45891</v>
      </c>
      <c r="J27" s="4" t="s">
        <v>25</v>
      </c>
      <c r="K27" s="4" t="s">
        <v>14</v>
      </c>
      <c r="L27" s="4">
        <f t="shared" si="6"/>
        <v>1</v>
      </c>
      <c r="M27" s="4">
        <f t="shared" si="7"/>
        <v>1</v>
      </c>
      <c r="N27" s="4">
        <f t="shared" si="8"/>
        <v>1</v>
      </c>
      <c r="O27" s="4">
        <f t="shared" si="9"/>
        <v>1</v>
      </c>
      <c r="P27" s="42">
        <f t="shared" si="10"/>
        <v>100</v>
      </c>
      <c r="Q27" s="43">
        <f t="shared" si="11"/>
        <v>88.888888888888886</v>
      </c>
      <c r="R27" t="s">
        <v>270</v>
      </c>
      <c r="S27" t="s">
        <v>271</v>
      </c>
      <c r="T27" t="s">
        <v>272</v>
      </c>
      <c r="U27" s="41">
        <v>46319</v>
      </c>
      <c r="V27" t="s">
        <v>273</v>
      </c>
    </row>
    <row r="28" spans="1:22" ht="15.75" customHeight="1" x14ac:dyDescent="0.25">
      <c r="A28" s="4">
        <f t="shared" si="5"/>
        <v>24</v>
      </c>
      <c r="B28" s="40">
        <v>46239</v>
      </c>
      <c r="C28" s="4" t="s">
        <v>251</v>
      </c>
      <c r="D28" s="4" t="s">
        <v>40</v>
      </c>
      <c r="E28" s="4" t="s">
        <v>247</v>
      </c>
      <c r="F28" s="4">
        <v>1</v>
      </c>
      <c r="G28" s="4" t="s">
        <v>25</v>
      </c>
      <c r="H28" s="4" t="s">
        <v>30</v>
      </c>
      <c r="I28" s="40">
        <v>46288</v>
      </c>
      <c r="J28" s="4" t="s">
        <v>30</v>
      </c>
      <c r="K28" s="4" t="s">
        <v>26</v>
      </c>
      <c r="L28" s="4">
        <f t="shared" si="6"/>
        <v>1</v>
      </c>
      <c r="M28" s="4">
        <f t="shared" si="7"/>
        <v>0</v>
      </c>
      <c r="N28" s="4">
        <f t="shared" si="8"/>
        <v>0</v>
      </c>
      <c r="O28" s="4">
        <f t="shared" si="9"/>
        <v>-1</v>
      </c>
      <c r="P28" s="42">
        <f t="shared" si="10"/>
        <v>0</v>
      </c>
      <c r="Q28" s="43">
        <f t="shared" si="11"/>
        <v>68.75</v>
      </c>
      <c r="R28" t="s">
        <v>266</v>
      </c>
      <c r="S28" t="s">
        <v>267</v>
      </c>
      <c r="T28" t="s">
        <v>274</v>
      </c>
      <c r="U28" s="41">
        <v>46331</v>
      </c>
      <c r="V28" t="s">
        <v>281</v>
      </c>
    </row>
    <row r="29" spans="1:22" ht="15.75" customHeight="1" x14ac:dyDescent="0.25">
      <c r="A29" s="4">
        <f t="shared" si="5"/>
        <v>25</v>
      </c>
      <c r="B29" s="40">
        <v>46179</v>
      </c>
      <c r="C29" s="4" t="s">
        <v>254</v>
      </c>
      <c r="D29" s="4" t="s">
        <v>249</v>
      </c>
      <c r="E29" s="4" t="s">
        <v>250</v>
      </c>
      <c r="F29" s="4">
        <v>2</v>
      </c>
      <c r="G29" s="4" t="s">
        <v>30</v>
      </c>
      <c r="H29" s="4" t="s">
        <v>25</v>
      </c>
      <c r="I29" s="40">
        <v>45589</v>
      </c>
      <c r="J29" s="4" t="s">
        <v>25</v>
      </c>
      <c r="K29" s="4" t="s">
        <v>52</v>
      </c>
      <c r="L29" s="4">
        <f t="shared" si="6"/>
        <v>0</v>
      </c>
      <c r="M29" s="4">
        <f t="shared" si="7"/>
        <v>1</v>
      </c>
      <c r="N29" s="4">
        <f t="shared" si="8"/>
        <v>1</v>
      </c>
      <c r="O29" s="4">
        <f t="shared" si="9"/>
        <v>0</v>
      </c>
      <c r="P29" s="42">
        <f t="shared" si="10"/>
        <v>50</v>
      </c>
      <c r="Q29" s="43">
        <f t="shared" si="11"/>
        <v>50</v>
      </c>
      <c r="R29" t="s">
        <v>266</v>
      </c>
      <c r="S29" t="s">
        <v>279</v>
      </c>
      <c r="T29" t="s">
        <v>276</v>
      </c>
      <c r="U29" s="41">
        <v>46271</v>
      </c>
      <c r="V29" t="s">
        <v>269</v>
      </c>
    </row>
    <row r="30" spans="1:22" ht="15.75" customHeight="1" x14ac:dyDescent="0.25">
      <c r="A30" s="4">
        <f t="shared" si="5"/>
        <v>26</v>
      </c>
      <c r="B30" s="40">
        <v>46210</v>
      </c>
      <c r="C30" s="4" t="s">
        <v>257</v>
      </c>
      <c r="D30" s="4" t="s">
        <v>252</v>
      </c>
      <c r="E30" s="4" t="s">
        <v>253</v>
      </c>
      <c r="F30" s="4">
        <v>3</v>
      </c>
      <c r="G30" s="4" t="s">
        <v>25</v>
      </c>
      <c r="H30" s="4" t="s">
        <v>30</v>
      </c>
      <c r="I30" s="40">
        <v>45986</v>
      </c>
      <c r="J30" s="4" t="s">
        <v>25</v>
      </c>
      <c r="K30" s="4" t="s">
        <v>14</v>
      </c>
      <c r="L30" s="4">
        <f t="shared" si="6"/>
        <v>1</v>
      </c>
      <c r="M30" s="4">
        <f t="shared" si="7"/>
        <v>0</v>
      </c>
      <c r="N30" s="4">
        <f t="shared" si="8"/>
        <v>1</v>
      </c>
      <c r="O30" s="4">
        <f t="shared" si="9"/>
        <v>1</v>
      </c>
      <c r="P30" s="42">
        <f t="shared" si="10"/>
        <v>75</v>
      </c>
      <c r="Q30" s="43">
        <f t="shared" si="11"/>
        <v>62.5</v>
      </c>
      <c r="R30" t="s">
        <v>266</v>
      </c>
      <c r="S30" t="s">
        <v>282</v>
      </c>
      <c r="T30" t="s">
        <v>277</v>
      </c>
      <c r="U30" s="41">
        <v>46302</v>
      </c>
      <c r="V30" t="s">
        <v>278</v>
      </c>
    </row>
    <row r="31" spans="1:22" ht="15.75" customHeight="1" x14ac:dyDescent="0.25">
      <c r="A31" s="4">
        <f t="shared" si="5"/>
        <v>27</v>
      </c>
      <c r="B31" s="40">
        <v>46242</v>
      </c>
      <c r="C31" s="4" t="s">
        <v>260</v>
      </c>
      <c r="D31" s="4" t="s">
        <v>255</v>
      </c>
      <c r="E31" s="4" t="s">
        <v>256</v>
      </c>
      <c r="F31" s="4">
        <v>4</v>
      </c>
      <c r="G31" s="4" t="s">
        <v>25</v>
      </c>
      <c r="H31" s="4" t="s">
        <v>25</v>
      </c>
      <c r="I31" s="40">
        <v>46382</v>
      </c>
      <c r="J31" s="4" t="s">
        <v>25</v>
      </c>
      <c r="K31" s="4" t="s">
        <v>14</v>
      </c>
      <c r="L31" s="4">
        <f t="shared" si="6"/>
        <v>1</v>
      </c>
      <c r="M31" s="4">
        <f t="shared" si="7"/>
        <v>1</v>
      </c>
      <c r="N31" s="4">
        <f t="shared" si="8"/>
        <v>1</v>
      </c>
      <c r="O31" s="4">
        <f t="shared" si="9"/>
        <v>1</v>
      </c>
      <c r="P31" s="42">
        <f t="shared" si="10"/>
        <v>100</v>
      </c>
      <c r="Q31" s="43">
        <f t="shared" si="11"/>
        <v>87.5</v>
      </c>
      <c r="R31" t="s">
        <v>270</v>
      </c>
      <c r="S31" t="s">
        <v>271</v>
      </c>
      <c r="T31" t="s">
        <v>280</v>
      </c>
      <c r="U31" s="41">
        <v>46334</v>
      </c>
      <c r="V31" t="s">
        <v>273</v>
      </c>
    </row>
    <row r="32" spans="1:22" ht="15.75" customHeight="1" x14ac:dyDescent="0.25">
      <c r="A32" s="4">
        <f t="shared" si="5"/>
        <v>28</v>
      </c>
      <c r="B32" s="40">
        <v>46182</v>
      </c>
      <c r="C32" s="4" t="s">
        <v>22</v>
      </c>
      <c r="D32" s="4" t="s">
        <v>258</v>
      </c>
      <c r="E32" s="4" t="s">
        <v>259</v>
      </c>
      <c r="F32" s="4">
        <v>5</v>
      </c>
      <c r="G32" s="4" t="s">
        <v>25</v>
      </c>
      <c r="H32" s="4" t="s">
        <v>25</v>
      </c>
      <c r="I32" s="40">
        <v>45294</v>
      </c>
      <c r="J32" s="4" t="s">
        <v>30</v>
      </c>
      <c r="K32" s="4" t="s">
        <v>52</v>
      </c>
      <c r="L32" s="4">
        <f t="shared" si="6"/>
        <v>1</v>
      </c>
      <c r="M32" s="4">
        <f t="shared" si="7"/>
        <v>1</v>
      </c>
      <c r="N32" s="4">
        <f t="shared" si="8"/>
        <v>0</v>
      </c>
      <c r="O32" s="4">
        <f t="shared" si="9"/>
        <v>0</v>
      </c>
      <c r="P32" s="42">
        <f t="shared" si="10"/>
        <v>50</v>
      </c>
      <c r="Q32" s="43">
        <f t="shared" si="11"/>
        <v>41.666666666666664</v>
      </c>
      <c r="R32" t="s">
        <v>266</v>
      </c>
      <c r="S32" t="s">
        <v>267</v>
      </c>
      <c r="T32" t="s">
        <v>268</v>
      </c>
      <c r="U32" s="41">
        <v>46274</v>
      </c>
      <c r="V32" t="s">
        <v>269</v>
      </c>
    </row>
    <row r="33" spans="1:22" ht="15.75" customHeight="1" x14ac:dyDescent="0.25">
      <c r="A33" s="4">
        <f t="shared" si="5"/>
        <v>29</v>
      </c>
      <c r="B33" s="40">
        <v>46213</v>
      </c>
      <c r="C33" s="4" t="s">
        <v>248</v>
      </c>
      <c r="D33" s="4" t="s">
        <v>261</v>
      </c>
      <c r="E33" s="4" t="s">
        <v>247</v>
      </c>
      <c r="F33" s="4">
        <v>1</v>
      </c>
      <c r="G33" s="4" t="s">
        <v>25</v>
      </c>
      <c r="H33" s="4" t="s">
        <v>30</v>
      </c>
      <c r="I33" s="40">
        <v>45692</v>
      </c>
      <c r="J33" s="4" t="s">
        <v>25</v>
      </c>
      <c r="K33" s="4" t="s">
        <v>14</v>
      </c>
      <c r="L33" s="4">
        <f t="shared" si="6"/>
        <v>1</v>
      </c>
      <c r="M33" s="4">
        <f t="shared" si="7"/>
        <v>0</v>
      </c>
      <c r="N33" s="4">
        <f t="shared" si="8"/>
        <v>1</v>
      </c>
      <c r="O33" s="4">
        <f t="shared" si="9"/>
        <v>1</v>
      </c>
      <c r="P33" s="42">
        <f t="shared" si="10"/>
        <v>75</v>
      </c>
      <c r="Q33" s="43">
        <f t="shared" si="11"/>
        <v>88.888888888888886</v>
      </c>
      <c r="R33" t="s">
        <v>266</v>
      </c>
      <c r="S33" t="s">
        <v>279</v>
      </c>
      <c r="T33" t="s">
        <v>272</v>
      </c>
      <c r="U33" s="41">
        <v>46305</v>
      </c>
      <c r="V33" t="s">
        <v>278</v>
      </c>
    </row>
    <row r="34" spans="1:22" ht="15.75" customHeight="1" x14ac:dyDescent="0.25">
      <c r="A34" s="4">
        <f t="shared" si="5"/>
        <v>30</v>
      </c>
      <c r="B34" s="40">
        <v>46245</v>
      </c>
      <c r="C34" s="4" t="s">
        <v>251</v>
      </c>
      <c r="D34" s="4" t="s">
        <v>262</v>
      </c>
      <c r="E34" s="4" t="s">
        <v>250</v>
      </c>
      <c r="F34" s="4">
        <v>2</v>
      </c>
      <c r="G34" s="4" t="s">
        <v>30</v>
      </c>
      <c r="H34" s="4" t="s">
        <v>25</v>
      </c>
      <c r="I34" s="40">
        <v>46086</v>
      </c>
      <c r="J34" s="4" t="s">
        <v>25</v>
      </c>
      <c r="K34" s="4" t="s">
        <v>14</v>
      </c>
      <c r="L34" s="4">
        <f t="shared" si="6"/>
        <v>0</v>
      </c>
      <c r="M34" s="4">
        <f t="shared" si="7"/>
        <v>1</v>
      </c>
      <c r="N34" s="4">
        <f t="shared" si="8"/>
        <v>1</v>
      </c>
      <c r="O34" s="4">
        <f t="shared" si="9"/>
        <v>1</v>
      </c>
      <c r="P34" s="42">
        <f t="shared" si="10"/>
        <v>75</v>
      </c>
      <c r="Q34" s="43">
        <f t="shared" si="11"/>
        <v>68.75</v>
      </c>
      <c r="R34" t="s">
        <v>266</v>
      </c>
      <c r="S34" t="s">
        <v>282</v>
      </c>
      <c r="T34" t="s">
        <v>274</v>
      </c>
      <c r="U34" s="41">
        <v>46337</v>
      </c>
      <c r="V34" t="s">
        <v>281</v>
      </c>
    </row>
    <row r="35" spans="1:22" ht="15.75" customHeight="1" x14ac:dyDescent="0.25">
      <c r="A35" s="4">
        <f t="shared" si="5"/>
        <v>31</v>
      </c>
      <c r="B35" s="40">
        <v>46185</v>
      </c>
      <c r="C35" s="4" t="s">
        <v>254</v>
      </c>
      <c r="D35" s="4" t="s">
        <v>263</v>
      </c>
      <c r="E35" s="4" t="s">
        <v>253</v>
      </c>
      <c r="F35" s="4">
        <v>3</v>
      </c>
      <c r="G35" s="4" t="s">
        <v>25</v>
      </c>
      <c r="H35" s="4" t="s">
        <v>25</v>
      </c>
      <c r="I35" s="40">
        <v>45388</v>
      </c>
      <c r="J35" s="4" t="s">
        <v>30</v>
      </c>
      <c r="K35" s="4" t="s">
        <v>52</v>
      </c>
      <c r="L35" s="4">
        <f t="shared" si="6"/>
        <v>1</v>
      </c>
      <c r="M35" s="4">
        <f t="shared" si="7"/>
        <v>1</v>
      </c>
      <c r="N35" s="4">
        <f t="shared" si="8"/>
        <v>0</v>
      </c>
      <c r="O35" s="4">
        <f t="shared" si="9"/>
        <v>0</v>
      </c>
      <c r="P35" s="42">
        <f t="shared" si="10"/>
        <v>50</v>
      </c>
      <c r="Q35" s="43">
        <f t="shared" si="11"/>
        <v>50</v>
      </c>
      <c r="R35" t="s">
        <v>266</v>
      </c>
      <c r="S35" t="s">
        <v>275</v>
      </c>
      <c r="T35" t="s">
        <v>276</v>
      </c>
      <c r="U35" s="41">
        <v>46277</v>
      </c>
      <c r="V35" t="s">
        <v>269</v>
      </c>
    </row>
    <row r="36" spans="1:22" ht="15.75" customHeight="1" x14ac:dyDescent="0.25">
      <c r="A36" s="4">
        <f t="shared" si="5"/>
        <v>32</v>
      </c>
      <c r="B36" s="40">
        <v>46216</v>
      </c>
      <c r="C36" s="4" t="s">
        <v>257</v>
      </c>
      <c r="D36" s="4" t="s">
        <v>264</v>
      </c>
      <c r="E36" s="4" t="s">
        <v>256</v>
      </c>
      <c r="F36" s="4">
        <v>4</v>
      </c>
      <c r="G36" s="4" t="s">
        <v>30</v>
      </c>
      <c r="H36" s="4" t="s">
        <v>25</v>
      </c>
      <c r="I36" s="40">
        <v>45784</v>
      </c>
      <c r="J36" s="4" t="s">
        <v>30</v>
      </c>
      <c r="K36" s="4" t="s">
        <v>14</v>
      </c>
      <c r="L36" s="4">
        <f t="shared" si="6"/>
        <v>0</v>
      </c>
      <c r="M36" s="4">
        <f t="shared" si="7"/>
        <v>1</v>
      </c>
      <c r="N36" s="4">
        <f t="shared" si="8"/>
        <v>0</v>
      </c>
      <c r="O36" s="4">
        <f t="shared" si="9"/>
        <v>1</v>
      </c>
      <c r="P36" s="42">
        <f t="shared" si="10"/>
        <v>50</v>
      </c>
      <c r="Q36" s="43">
        <f t="shared" si="11"/>
        <v>62.5</v>
      </c>
      <c r="R36" t="s">
        <v>266</v>
      </c>
      <c r="S36" t="s">
        <v>267</v>
      </c>
      <c r="T36" t="s">
        <v>277</v>
      </c>
      <c r="U36" s="41">
        <v>46308</v>
      </c>
      <c r="V36" t="s">
        <v>278</v>
      </c>
    </row>
    <row r="37" spans="1:22" ht="15.75" customHeight="1" x14ac:dyDescent="0.25">
      <c r="A37" s="4">
        <f t="shared" si="5"/>
        <v>33</v>
      </c>
      <c r="B37" s="40">
        <v>46248</v>
      </c>
      <c r="C37" s="4" t="s">
        <v>260</v>
      </c>
      <c r="D37" s="4" t="s">
        <v>265</v>
      </c>
      <c r="E37" s="4" t="s">
        <v>259</v>
      </c>
      <c r="F37" s="4">
        <v>5</v>
      </c>
      <c r="G37" s="4" t="s">
        <v>25</v>
      </c>
      <c r="H37" s="4" t="s">
        <v>25</v>
      </c>
      <c r="I37" s="40">
        <v>46181</v>
      </c>
      <c r="J37" s="4" t="s">
        <v>25</v>
      </c>
      <c r="K37" s="4" t="s">
        <v>14</v>
      </c>
      <c r="L37" s="4">
        <f t="shared" si="6"/>
        <v>1</v>
      </c>
      <c r="M37" s="4">
        <f t="shared" si="7"/>
        <v>1</v>
      </c>
      <c r="N37" s="4">
        <f t="shared" si="8"/>
        <v>1</v>
      </c>
      <c r="O37" s="4">
        <f t="shared" si="9"/>
        <v>1</v>
      </c>
      <c r="P37" s="42">
        <f t="shared" si="10"/>
        <v>100</v>
      </c>
      <c r="Q37" s="43">
        <f t="shared" si="11"/>
        <v>87.5</v>
      </c>
      <c r="R37" t="s">
        <v>270</v>
      </c>
      <c r="S37" t="s">
        <v>271</v>
      </c>
      <c r="T37" t="s">
        <v>280</v>
      </c>
      <c r="U37" s="41">
        <v>46340</v>
      </c>
      <c r="V37" t="s">
        <v>273</v>
      </c>
    </row>
    <row r="38" spans="1:22" ht="15.75" customHeight="1" x14ac:dyDescent="0.25">
      <c r="A38" s="4">
        <f t="shared" si="5"/>
        <v>34</v>
      </c>
      <c r="B38" s="40">
        <v>46188</v>
      </c>
      <c r="C38" s="4" t="s">
        <v>22</v>
      </c>
      <c r="D38" s="4" t="s">
        <v>40</v>
      </c>
      <c r="E38" s="4" t="s">
        <v>247</v>
      </c>
      <c r="F38" s="4">
        <v>1</v>
      </c>
      <c r="G38" s="4" t="s">
        <v>25</v>
      </c>
      <c r="H38" s="4" t="s">
        <v>30</v>
      </c>
      <c r="I38" s="40">
        <v>45482</v>
      </c>
      <c r="J38" s="4" t="s">
        <v>25</v>
      </c>
      <c r="K38" s="4" t="s">
        <v>26</v>
      </c>
      <c r="L38" s="4">
        <f t="shared" si="6"/>
        <v>1</v>
      </c>
      <c r="M38" s="4">
        <f t="shared" si="7"/>
        <v>0</v>
      </c>
      <c r="N38" s="4">
        <f t="shared" si="8"/>
        <v>1</v>
      </c>
      <c r="O38" s="4">
        <f t="shared" si="9"/>
        <v>-1</v>
      </c>
      <c r="P38" s="42">
        <f t="shared" si="10"/>
        <v>25</v>
      </c>
      <c r="Q38" s="43">
        <f t="shared" si="11"/>
        <v>41.666666666666664</v>
      </c>
      <c r="R38" t="s">
        <v>266</v>
      </c>
      <c r="S38" t="s">
        <v>282</v>
      </c>
      <c r="T38" t="s">
        <v>268</v>
      </c>
      <c r="U38" s="41">
        <v>46280</v>
      </c>
      <c r="V38" t="s">
        <v>269</v>
      </c>
    </row>
    <row r="39" spans="1:22" ht="15.75" customHeight="1" x14ac:dyDescent="0.25">
      <c r="A39" s="4">
        <f t="shared" si="5"/>
        <v>35</v>
      </c>
      <c r="B39" s="40">
        <v>46219</v>
      </c>
      <c r="C39" s="4" t="s">
        <v>248</v>
      </c>
      <c r="D39" s="4" t="s">
        <v>249</v>
      </c>
      <c r="E39" s="4" t="s">
        <v>250</v>
      </c>
      <c r="F39" s="4">
        <v>2</v>
      </c>
      <c r="G39" s="4" t="s">
        <v>25</v>
      </c>
      <c r="H39" s="4" t="s">
        <v>25</v>
      </c>
      <c r="I39" s="40">
        <v>45879</v>
      </c>
      <c r="J39" s="4" t="s">
        <v>25</v>
      </c>
      <c r="K39" s="4" t="s">
        <v>14</v>
      </c>
      <c r="L39" s="4">
        <f t="shared" si="6"/>
        <v>1</v>
      </c>
      <c r="M39" s="4">
        <f t="shared" si="7"/>
        <v>1</v>
      </c>
      <c r="N39" s="4">
        <f t="shared" si="8"/>
        <v>1</v>
      </c>
      <c r="O39" s="4">
        <f t="shared" si="9"/>
        <v>1</v>
      </c>
      <c r="P39" s="42">
        <f t="shared" si="10"/>
        <v>100</v>
      </c>
      <c r="Q39" s="43">
        <f t="shared" si="11"/>
        <v>88.888888888888886</v>
      </c>
      <c r="R39" t="s">
        <v>270</v>
      </c>
      <c r="S39" t="s">
        <v>271</v>
      </c>
      <c r="T39" t="s">
        <v>272</v>
      </c>
      <c r="U39" s="41">
        <v>46311</v>
      </c>
      <c r="V39" t="s">
        <v>273</v>
      </c>
    </row>
    <row r="40" spans="1:22" ht="15.75" customHeight="1" x14ac:dyDescent="0.25">
      <c r="A40" s="4">
        <f t="shared" si="5"/>
        <v>36</v>
      </c>
      <c r="B40" s="40">
        <v>46251</v>
      </c>
      <c r="C40" s="4" t="s">
        <v>251</v>
      </c>
      <c r="D40" s="4" t="s">
        <v>252</v>
      </c>
      <c r="E40" s="4" t="s">
        <v>253</v>
      </c>
      <c r="F40" s="4">
        <v>3</v>
      </c>
      <c r="G40" s="4" t="s">
        <v>25</v>
      </c>
      <c r="H40" s="4" t="s">
        <v>25</v>
      </c>
      <c r="I40" s="40">
        <v>46276</v>
      </c>
      <c r="J40" s="4" t="s">
        <v>30</v>
      </c>
      <c r="K40" s="4" t="s">
        <v>14</v>
      </c>
      <c r="L40" s="4">
        <f t="shared" si="6"/>
        <v>1</v>
      </c>
      <c r="M40" s="4">
        <f t="shared" si="7"/>
        <v>1</v>
      </c>
      <c r="N40" s="4">
        <f t="shared" si="8"/>
        <v>0</v>
      </c>
      <c r="O40" s="4">
        <f t="shared" si="9"/>
        <v>1</v>
      </c>
      <c r="P40" s="42">
        <f t="shared" si="10"/>
        <v>75</v>
      </c>
      <c r="Q40" s="43">
        <f t="shared" si="11"/>
        <v>68.75</v>
      </c>
      <c r="R40" t="s">
        <v>266</v>
      </c>
      <c r="S40" t="s">
        <v>267</v>
      </c>
      <c r="T40" t="s">
        <v>274</v>
      </c>
      <c r="U40" s="41">
        <v>46343</v>
      </c>
      <c r="V40" t="s">
        <v>281</v>
      </c>
    </row>
    <row r="41" spans="1:22" ht="15.75" customHeight="1" x14ac:dyDescent="0.25">
      <c r="A41" s="4">
        <f t="shared" si="5"/>
        <v>37</v>
      </c>
      <c r="B41" s="40">
        <v>46191</v>
      </c>
      <c r="C41" s="4" t="s">
        <v>254</v>
      </c>
      <c r="D41" s="4" t="s">
        <v>255</v>
      </c>
      <c r="E41" s="4" t="s">
        <v>256</v>
      </c>
      <c r="F41" s="4">
        <v>4</v>
      </c>
      <c r="G41" s="4" t="s">
        <v>25</v>
      </c>
      <c r="H41" s="4" t="s">
        <v>30</v>
      </c>
      <c r="I41" s="40">
        <v>45577</v>
      </c>
      <c r="J41" s="4" t="s">
        <v>25</v>
      </c>
      <c r="K41" s="4" t="s">
        <v>52</v>
      </c>
      <c r="L41" s="4">
        <f t="shared" si="6"/>
        <v>1</v>
      </c>
      <c r="M41" s="4">
        <f t="shared" si="7"/>
        <v>0</v>
      </c>
      <c r="N41" s="4">
        <f t="shared" si="8"/>
        <v>1</v>
      </c>
      <c r="O41" s="4">
        <f t="shared" si="9"/>
        <v>0</v>
      </c>
      <c r="P41" s="42">
        <f t="shared" si="10"/>
        <v>50</v>
      </c>
      <c r="Q41" s="43">
        <f t="shared" si="11"/>
        <v>50</v>
      </c>
      <c r="R41" t="s">
        <v>266</v>
      </c>
      <c r="S41" t="s">
        <v>279</v>
      </c>
      <c r="T41" t="s">
        <v>276</v>
      </c>
      <c r="U41" s="41">
        <v>46283</v>
      </c>
      <c r="V41" t="s">
        <v>269</v>
      </c>
    </row>
    <row r="42" spans="1:22" ht="15.75" customHeight="1" x14ac:dyDescent="0.25">
      <c r="A42" s="4">
        <f t="shared" si="5"/>
        <v>38</v>
      </c>
      <c r="B42" s="40">
        <v>46222</v>
      </c>
      <c r="C42" s="4" t="s">
        <v>257</v>
      </c>
      <c r="D42" s="4" t="s">
        <v>258</v>
      </c>
      <c r="E42" s="4" t="s">
        <v>259</v>
      </c>
      <c r="F42" s="4">
        <v>5</v>
      </c>
      <c r="G42" s="4" t="s">
        <v>25</v>
      </c>
      <c r="H42" s="4" t="s">
        <v>25</v>
      </c>
      <c r="I42" s="40">
        <v>45974</v>
      </c>
      <c r="J42" s="4" t="s">
        <v>25</v>
      </c>
      <c r="K42" s="4" t="s">
        <v>14</v>
      </c>
      <c r="L42" s="4">
        <f t="shared" si="6"/>
        <v>1</v>
      </c>
      <c r="M42" s="4">
        <f t="shared" si="7"/>
        <v>1</v>
      </c>
      <c r="N42" s="4">
        <f t="shared" si="8"/>
        <v>1</v>
      </c>
      <c r="O42" s="4">
        <f t="shared" si="9"/>
        <v>1</v>
      </c>
      <c r="P42" s="42">
        <f t="shared" si="10"/>
        <v>100</v>
      </c>
      <c r="Q42" s="43">
        <f t="shared" si="11"/>
        <v>62.5</v>
      </c>
      <c r="R42" t="s">
        <v>270</v>
      </c>
      <c r="S42" t="s">
        <v>271</v>
      </c>
      <c r="T42" t="s">
        <v>277</v>
      </c>
      <c r="U42" s="41">
        <v>46314</v>
      </c>
      <c r="V42" t="s">
        <v>273</v>
      </c>
    </row>
    <row r="43" spans="1:22" ht="15.75" customHeight="1" x14ac:dyDescent="0.25">
      <c r="A43" s="4">
        <f t="shared" si="5"/>
        <v>39</v>
      </c>
      <c r="B43" s="40">
        <v>46254</v>
      </c>
      <c r="C43" s="4" t="s">
        <v>260</v>
      </c>
      <c r="D43" s="4" t="s">
        <v>261</v>
      </c>
      <c r="E43" s="4" t="s">
        <v>247</v>
      </c>
      <c r="F43" s="4">
        <v>1</v>
      </c>
      <c r="G43" s="4" t="s">
        <v>30</v>
      </c>
      <c r="H43" s="4" t="s">
        <v>30</v>
      </c>
      <c r="I43" s="40">
        <v>46370</v>
      </c>
      <c r="J43" s="4" t="s">
        <v>25</v>
      </c>
      <c r="K43" s="4" t="s">
        <v>14</v>
      </c>
      <c r="L43" s="4">
        <f t="shared" si="6"/>
        <v>0</v>
      </c>
      <c r="M43" s="4">
        <f t="shared" si="7"/>
        <v>0</v>
      </c>
      <c r="N43" s="4">
        <f t="shared" si="8"/>
        <v>1</v>
      </c>
      <c r="O43" s="4">
        <f t="shared" si="9"/>
        <v>1</v>
      </c>
      <c r="P43" s="42">
        <f t="shared" si="10"/>
        <v>50</v>
      </c>
      <c r="Q43" s="43">
        <f t="shared" si="11"/>
        <v>87.5</v>
      </c>
      <c r="R43" t="s">
        <v>266</v>
      </c>
      <c r="S43" t="s">
        <v>275</v>
      </c>
      <c r="T43" t="s">
        <v>280</v>
      </c>
      <c r="U43" s="41">
        <v>46346</v>
      </c>
      <c r="V43" t="s">
        <v>281</v>
      </c>
    </row>
    <row r="44" spans="1:22" ht="15.75" customHeight="1" x14ac:dyDescent="0.25">
      <c r="A44" s="4">
        <f t="shared" si="5"/>
        <v>40</v>
      </c>
      <c r="B44" s="40">
        <v>46194</v>
      </c>
      <c r="C44" s="4" t="s">
        <v>22</v>
      </c>
      <c r="D44" s="4" t="s">
        <v>262</v>
      </c>
      <c r="E44" s="4" t="s">
        <v>250</v>
      </c>
      <c r="F44" s="4">
        <v>2</v>
      </c>
      <c r="G44" s="4" t="s">
        <v>25</v>
      </c>
      <c r="H44" s="4" t="s">
        <v>25</v>
      </c>
      <c r="I44" s="40">
        <v>45306</v>
      </c>
      <c r="J44" s="4" t="s">
        <v>30</v>
      </c>
      <c r="K44" s="4" t="s">
        <v>52</v>
      </c>
      <c r="L44" s="4">
        <f t="shared" si="6"/>
        <v>1</v>
      </c>
      <c r="M44" s="4">
        <f t="shared" si="7"/>
        <v>1</v>
      </c>
      <c r="N44" s="4">
        <f t="shared" si="8"/>
        <v>0</v>
      </c>
      <c r="O44" s="4">
        <f t="shared" si="9"/>
        <v>0</v>
      </c>
      <c r="P44" s="42">
        <f t="shared" si="10"/>
        <v>50</v>
      </c>
      <c r="Q44" s="43">
        <f t="shared" si="11"/>
        <v>41.666666666666664</v>
      </c>
      <c r="R44" t="s">
        <v>266</v>
      </c>
      <c r="S44" t="s">
        <v>267</v>
      </c>
      <c r="T44" t="s">
        <v>268</v>
      </c>
      <c r="U44" s="41">
        <v>46286</v>
      </c>
      <c r="V44" t="s">
        <v>269</v>
      </c>
    </row>
    <row r="45" spans="1:22" ht="15.75" customHeight="1" x14ac:dyDescent="0.25">
      <c r="A45" s="4">
        <f t="shared" si="5"/>
        <v>41</v>
      </c>
      <c r="B45" s="40">
        <v>46225</v>
      </c>
      <c r="C45" s="4" t="s">
        <v>248</v>
      </c>
      <c r="D45" s="4" t="s">
        <v>263</v>
      </c>
      <c r="E45" s="4" t="s">
        <v>253</v>
      </c>
      <c r="F45" s="4">
        <v>3</v>
      </c>
      <c r="G45" s="4" t="s">
        <v>25</v>
      </c>
      <c r="H45" s="4" t="s">
        <v>25</v>
      </c>
      <c r="I45" s="40">
        <v>45704</v>
      </c>
      <c r="J45" s="4" t="s">
        <v>25</v>
      </c>
      <c r="K45" s="4" t="s">
        <v>14</v>
      </c>
      <c r="L45" s="4">
        <f t="shared" si="6"/>
        <v>1</v>
      </c>
      <c r="M45" s="4">
        <f t="shared" si="7"/>
        <v>1</v>
      </c>
      <c r="N45" s="4">
        <f t="shared" si="8"/>
        <v>1</v>
      </c>
      <c r="O45" s="4">
        <f t="shared" si="9"/>
        <v>1</v>
      </c>
      <c r="P45" s="42">
        <f t="shared" si="10"/>
        <v>100</v>
      </c>
      <c r="Q45" s="43">
        <f t="shared" si="11"/>
        <v>88.888888888888886</v>
      </c>
      <c r="R45" t="s">
        <v>270</v>
      </c>
      <c r="S45" t="s">
        <v>271</v>
      </c>
      <c r="T45" t="s">
        <v>272</v>
      </c>
      <c r="U45" s="41">
        <v>46317</v>
      </c>
      <c r="V45" t="s">
        <v>273</v>
      </c>
    </row>
    <row r="46" spans="1:22" ht="15.75" customHeight="1" x14ac:dyDescent="0.25">
      <c r="A46" s="4">
        <f t="shared" si="5"/>
        <v>42</v>
      </c>
      <c r="B46" s="40">
        <v>46257</v>
      </c>
      <c r="C46" s="4" t="s">
        <v>251</v>
      </c>
      <c r="D46" s="4" t="s">
        <v>264</v>
      </c>
      <c r="E46" s="4" t="s">
        <v>256</v>
      </c>
      <c r="F46" s="4">
        <v>4</v>
      </c>
      <c r="G46" s="4" t="s">
        <v>25</v>
      </c>
      <c r="H46" s="4" t="s">
        <v>25</v>
      </c>
      <c r="I46" s="40">
        <v>46098</v>
      </c>
      <c r="J46" s="4" t="s">
        <v>25</v>
      </c>
      <c r="K46" s="4" t="s">
        <v>14</v>
      </c>
      <c r="L46" s="4">
        <f t="shared" si="6"/>
        <v>1</v>
      </c>
      <c r="M46" s="4">
        <f t="shared" si="7"/>
        <v>1</v>
      </c>
      <c r="N46" s="4">
        <f t="shared" si="8"/>
        <v>1</v>
      </c>
      <c r="O46" s="4">
        <f t="shared" si="9"/>
        <v>1</v>
      </c>
      <c r="P46" s="42">
        <f t="shared" si="10"/>
        <v>100</v>
      </c>
      <c r="Q46" s="43">
        <f t="shared" si="11"/>
        <v>68.75</v>
      </c>
      <c r="R46" t="s">
        <v>270</v>
      </c>
      <c r="S46" t="s">
        <v>271</v>
      </c>
      <c r="T46" t="s">
        <v>274</v>
      </c>
      <c r="U46" s="41">
        <v>46349</v>
      </c>
      <c r="V46" t="s">
        <v>273</v>
      </c>
    </row>
    <row r="47" spans="1:22" ht="15.75" customHeight="1" x14ac:dyDescent="0.25">
      <c r="A47" s="4">
        <f t="shared" si="5"/>
        <v>43</v>
      </c>
      <c r="B47" s="40">
        <v>46197</v>
      </c>
      <c r="C47" s="4" t="s">
        <v>254</v>
      </c>
      <c r="D47" s="4" t="s">
        <v>265</v>
      </c>
      <c r="E47" s="4" t="s">
        <v>259</v>
      </c>
      <c r="F47" s="4">
        <v>5</v>
      </c>
      <c r="G47" s="4" t="s">
        <v>30</v>
      </c>
      <c r="H47" s="4" t="s">
        <v>25</v>
      </c>
      <c r="I47" s="40">
        <v>45400</v>
      </c>
      <c r="J47" s="4" t="s">
        <v>25</v>
      </c>
      <c r="K47" s="4" t="s">
        <v>52</v>
      </c>
      <c r="L47" s="4">
        <f t="shared" si="6"/>
        <v>0</v>
      </c>
      <c r="M47" s="4">
        <f t="shared" si="7"/>
        <v>1</v>
      </c>
      <c r="N47" s="4">
        <f t="shared" si="8"/>
        <v>1</v>
      </c>
      <c r="O47" s="4">
        <f t="shared" si="9"/>
        <v>0</v>
      </c>
      <c r="P47" s="42">
        <f t="shared" si="10"/>
        <v>50</v>
      </c>
      <c r="Q47" s="43">
        <f t="shared" si="11"/>
        <v>50</v>
      </c>
      <c r="R47" t="s">
        <v>266</v>
      </c>
      <c r="S47" t="s">
        <v>275</v>
      </c>
      <c r="T47" t="s">
        <v>276</v>
      </c>
      <c r="U47" s="41">
        <v>46289</v>
      </c>
      <c r="V47" t="s">
        <v>269</v>
      </c>
    </row>
    <row r="48" spans="1:22" ht="15.75" customHeight="1" x14ac:dyDescent="0.25">
      <c r="A48" s="4">
        <f t="shared" si="5"/>
        <v>44</v>
      </c>
      <c r="B48" s="40">
        <v>46208</v>
      </c>
      <c r="C48" s="4" t="s">
        <v>257</v>
      </c>
      <c r="D48" s="4" t="s">
        <v>40</v>
      </c>
      <c r="E48" s="4" t="s">
        <v>247</v>
      </c>
      <c r="F48" s="4">
        <v>1</v>
      </c>
      <c r="G48" s="4" t="s">
        <v>25</v>
      </c>
      <c r="H48" s="4" t="s">
        <v>30</v>
      </c>
      <c r="I48" s="40">
        <v>45796</v>
      </c>
      <c r="J48" s="4" t="s">
        <v>30</v>
      </c>
      <c r="K48" s="4" t="s">
        <v>26</v>
      </c>
      <c r="L48" s="4">
        <f t="shared" si="6"/>
        <v>1</v>
      </c>
      <c r="M48" s="4">
        <f t="shared" si="7"/>
        <v>0</v>
      </c>
      <c r="N48" s="4">
        <f t="shared" si="8"/>
        <v>0</v>
      </c>
      <c r="O48" s="4">
        <f t="shared" si="9"/>
        <v>-1</v>
      </c>
      <c r="P48" s="42">
        <f t="shared" si="10"/>
        <v>0</v>
      </c>
      <c r="Q48" s="43">
        <f t="shared" si="11"/>
        <v>62.5</v>
      </c>
      <c r="R48" t="s">
        <v>266</v>
      </c>
      <c r="S48" t="s">
        <v>267</v>
      </c>
      <c r="T48" t="s">
        <v>277</v>
      </c>
      <c r="U48" s="41">
        <v>46300</v>
      </c>
      <c r="V48" t="s">
        <v>278</v>
      </c>
    </row>
    <row r="49" spans="1:22" ht="15.75" customHeight="1" x14ac:dyDescent="0.25">
      <c r="A49" s="4">
        <f t="shared" si="5"/>
        <v>45</v>
      </c>
      <c r="B49" s="40">
        <v>46240</v>
      </c>
      <c r="C49" s="4" t="s">
        <v>260</v>
      </c>
      <c r="D49" s="4" t="s">
        <v>249</v>
      </c>
      <c r="E49" s="4" t="s">
        <v>250</v>
      </c>
      <c r="F49" s="4">
        <v>2</v>
      </c>
      <c r="G49" s="4" t="s">
        <v>25</v>
      </c>
      <c r="H49" s="4" t="s">
        <v>25</v>
      </c>
      <c r="I49" s="40">
        <v>46193</v>
      </c>
      <c r="J49" s="4" t="s">
        <v>25</v>
      </c>
      <c r="K49" s="4" t="s">
        <v>14</v>
      </c>
      <c r="L49" s="4">
        <f t="shared" si="6"/>
        <v>1</v>
      </c>
      <c r="M49" s="4">
        <f t="shared" si="7"/>
        <v>1</v>
      </c>
      <c r="N49" s="4">
        <f t="shared" si="8"/>
        <v>1</v>
      </c>
      <c r="O49" s="4">
        <f t="shared" si="9"/>
        <v>1</v>
      </c>
      <c r="P49" s="42">
        <f t="shared" si="10"/>
        <v>100</v>
      </c>
      <c r="Q49" s="43">
        <f t="shared" si="11"/>
        <v>87.5</v>
      </c>
      <c r="R49" t="s">
        <v>270</v>
      </c>
      <c r="S49" t="s">
        <v>271</v>
      </c>
      <c r="T49" t="s">
        <v>280</v>
      </c>
      <c r="U49" s="41">
        <v>46332</v>
      </c>
      <c r="V49" t="s">
        <v>273</v>
      </c>
    </row>
    <row r="50" spans="1:22" ht="15.75" customHeight="1" x14ac:dyDescent="0.25">
      <c r="A50" s="4">
        <f t="shared" si="5"/>
        <v>46</v>
      </c>
      <c r="B50" s="40">
        <v>46180</v>
      </c>
      <c r="C50" s="4" t="s">
        <v>22</v>
      </c>
      <c r="D50" s="4" t="s">
        <v>252</v>
      </c>
      <c r="E50" s="4" t="s">
        <v>253</v>
      </c>
      <c r="F50" s="4">
        <v>3</v>
      </c>
      <c r="G50" s="4" t="s">
        <v>30</v>
      </c>
      <c r="H50" s="4" t="s">
        <v>25</v>
      </c>
      <c r="I50" s="40">
        <v>45494</v>
      </c>
      <c r="J50" s="4" t="s">
        <v>25</v>
      </c>
      <c r="K50" s="4" t="s">
        <v>52</v>
      </c>
      <c r="L50" s="4">
        <f t="shared" si="6"/>
        <v>0</v>
      </c>
      <c r="M50" s="4">
        <f t="shared" si="7"/>
        <v>1</v>
      </c>
      <c r="N50" s="4">
        <f t="shared" si="8"/>
        <v>1</v>
      </c>
      <c r="O50" s="4">
        <f t="shared" si="9"/>
        <v>0</v>
      </c>
      <c r="P50" s="42">
        <f t="shared" si="10"/>
        <v>50</v>
      </c>
      <c r="Q50" s="43">
        <f t="shared" si="11"/>
        <v>41.666666666666664</v>
      </c>
      <c r="R50" t="s">
        <v>266</v>
      </c>
      <c r="S50" t="s">
        <v>282</v>
      </c>
      <c r="T50" t="s">
        <v>268</v>
      </c>
      <c r="U50" s="41">
        <v>46272</v>
      </c>
      <c r="V50" t="s">
        <v>269</v>
      </c>
    </row>
    <row r="51" spans="1:22" ht="15.75" customHeight="1" x14ac:dyDescent="0.25">
      <c r="A51" s="4">
        <f t="shared" si="5"/>
        <v>47</v>
      </c>
      <c r="B51" s="40">
        <v>46211</v>
      </c>
      <c r="C51" s="4" t="s">
        <v>248</v>
      </c>
      <c r="D51" s="4" t="s">
        <v>255</v>
      </c>
      <c r="E51" s="4" t="s">
        <v>256</v>
      </c>
      <c r="F51" s="4">
        <v>4</v>
      </c>
      <c r="G51" s="4" t="s">
        <v>25</v>
      </c>
      <c r="H51" s="4" t="s">
        <v>25</v>
      </c>
      <c r="I51" s="40">
        <v>45891</v>
      </c>
      <c r="J51" s="4" t="s">
        <v>25</v>
      </c>
      <c r="K51" s="4" t="s">
        <v>14</v>
      </c>
      <c r="L51" s="4">
        <f t="shared" si="6"/>
        <v>1</v>
      </c>
      <c r="M51" s="4">
        <f t="shared" si="7"/>
        <v>1</v>
      </c>
      <c r="N51" s="4">
        <f t="shared" si="8"/>
        <v>1</v>
      </c>
      <c r="O51" s="4">
        <f t="shared" si="9"/>
        <v>1</v>
      </c>
      <c r="P51" s="42">
        <f t="shared" si="10"/>
        <v>100</v>
      </c>
      <c r="Q51" s="43">
        <f t="shared" si="11"/>
        <v>88.888888888888886</v>
      </c>
      <c r="R51" t="s">
        <v>270</v>
      </c>
      <c r="S51" t="s">
        <v>271</v>
      </c>
      <c r="T51" t="s">
        <v>272</v>
      </c>
      <c r="U51" s="41">
        <v>46303</v>
      </c>
      <c r="V51" t="s">
        <v>273</v>
      </c>
    </row>
    <row r="52" spans="1:22" ht="15.75" customHeight="1" x14ac:dyDescent="0.25">
      <c r="A52" s="4">
        <f t="shared" si="5"/>
        <v>48</v>
      </c>
      <c r="B52" s="40">
        <v>46243</v>
      </c>
      <c r="C52" s="4" t="s">
        <v>251</v>
      </c>
      <c r="D52" s="4" t="s">
        <v>258</v>
      </c>
      <c r="E52" s="4" t="s">
        <v>259</v>
      </c>
      <c r="F52" s="4">
        <v>5</v>
      </c>
      <c r="G52" s="4" t="s">
        <v>25</v>
      </c>
      <c r="H52" s="4" t="s">
        <v>30</v>
      </c>
      <c r="I52" s="40">
        <v>46288</v>
      </c>
      <c r="J52" s="4" t="s">
        <v>30</v>
      </c>
      <c r="K52" s="4" t="s">
        <v>14</v>
      </c>
      <c r="L52" s="4">
        <f t="shared" si="6"/>
        <v>1</v>
      </c>
      <c r="M52" s="4">
        <f t="shared" si="7"/>
        <v>0</v>
      </c>
      <c r="N52" s="4">
        <f t="shared" si="8"/>
        <v>0</v>
      </c>
      <c r="O52" s="4">
        <f t="shared" si="9"/>
        <v>1</v>
      </c>
      <c r="P52" s="42">
        <f t="shared" si="10"/>
        <v>50</v>
      </c>
      <c r="Q52" s="43">
        <f t="shared" si="11"/>
        <v>68.75</v>
      </c>
      <c r="R52" t="s">
        <v>266</v>
      </c>
      <c r="S52" t="s">
        <v>267</v>
      </c>
      <c r="T52" t="s">
        <v>274</v>
      </c>
      <c r="U52" s="41">
        <v>46335</v>
      </c>
      <c r="V52" t="s">
        <v>281</v>
      </c>
    </row>
    <row r="53" spans="1:22" ht="15.75" customHeight="1" x14ac:dyDescent="0.25">
      <c r="A53" s="4">
        <f t="shared" si="5"/>
        <v>49</v>
      </c>
      <c r="B53" s="40">
        <v>46183</v>
      </c>
      <c r="C53" s="4" t="s">
        <v>254</v>
      </c>
      <c r="D53" s="4" t="s">
        <v>261</v>
      </c>
      <c r="E53" s="4" t="s">
        <v>247</v>
      </c>
      <c r="F53" s="4">
        <v>1</v>
      </c>
      <c r="G53" s="4" t="s">
        <v>25</v>
      </c>
      <c r="H53" s="4" t="s">
        <v>30</v>
      </c>
      <c r="I53" s="40">
        <v>45589</v>
      </c>
      <c r="J53" s="4" t="s">
        <v>30</v>
      </c>
      <c r="K53" s="4" t="s">
        <v>52</v>
      </c>
      <c r="L53" s="4">
        <f t="shared" si="6"/>
        <v>1</v>
      </c>
      <c r="M53" s="4">
        <f t="shared" si="7"/>
        <v>0</v>
      </c>
      <c r="N53" s="4">
        <f t="shared" si="8"/>
        <v>0</v>
      </c>
      <c r="O53" s="4">
        <f t="shared" si="9"/>
        <v>0</v>
      </c>
      <c r="P53" s="42">
        <f t="shared" si="10"/>
        <v>25</v>
      </c>
      <c r="Q53" s="43">
        <f t="shared" si="11"/>
        <v>50</v>
      </c>
      <c r="R53" t="s">
        <v>266</v>
      </c>
      <c r="S53" t="s">
        <v>279</v>
      </c>
      <c r="T53" t="s">
        <v>276</v>
      </c>
      <c r="U53" s="41">
        <v>46275</v>
      </c>
      <c r="V53" t="s">
        <v>269</v>
      </c>
    </row>
    <row r="54" spans="1:22" ht="15.75" customHeight="1" x14ac:dyDescent="0.25">
      <c r="A54" s="4">
        <f t="shared" si="5"/>
        <v>50</v>
      </c>
      <c r="B54" s="40">
        <v>46214</v>
      </c>
      <c r="C54" s="4" t="s">
        <v>257</v>
      </c>
      <c r="D54" s="4" t="s">
        <v>262</v>
      </c>
      <c r="E54" s="4" t="s">
        <v>250</v>
      </c>
      <c r="F54" s="4">
        <v>2</v>
      </c>
      <c r="G54" s="4" t="s">
        <v>25</v>
      </c>
      <c r="H54" s="4" t="s">
        <v>25</v>
      </c>
      <c r="I54" s="40">
        <v>45986</v>
      </c>
      <c r="J54" s="4" t="s">
        <v>25</v>
      </c>
      <c r="K54" s="4" t="s">
        <v>14</v>
      </c>
      <c r="L54" s="4">
        <f t="shared" si="6"/>
        <v>1</v>
      </c>
      <c r="M54" s="4">
        <f t="shared" si="7"/>
        <v>1</v>
      </c>
      <c r="N54" s="4">
        <f t="shared" si="8"/>
        <v>1</v>
      </c>
      <c r="O54" s="4">
        <f t="shared" si="9"/>
        <v>1</v>
      </c>
      <c r="P54" s="42">
        <f t="shared" si="10"/>
        <v>100</v>
      </c>
      <c r="Q54" s="43">
        <f t="shared" si="11"/>
        <v>62.5</v>
      </c>
      <c r="R54" t="s">
        <v>270</v>
      </c>
      <c r="S54" t="s">
        <v>271</v>
      </c>
      <c r="T54" t="s">
        <v>277</v>
      </c>
      <c r="U54" s="41">
        <v>46306</v>
      </c>
      <c r="V54" t="s">
        <v>273</v>
      </c>
    </row>
    <row r="55" spans="1:22" ht="15.75" customHeight="1" x14ac:dyDescent="0.25">
      <c r="A55" s="4">
        <f t="shared" si="5"/>
        <v>51</v>
      </c>
      <c r="B55" s="40">
        <v>46246</v>
      </c>
      <c r="C55" s="4" t="s">
        <v>260</v>
      </c>
      <c r="D55" s="4" t="s">
        <v>263</v>
      </c>
      <c r="E55" s="4" t="s">
        <v>253</v>
      </c>
      <c r="F55" s="4">
        <v>3</v>
      </c>
      <c r="G55" s="4" t="s">
        <v>25</v>
      </c>
      <c r="H55" s="4" t="s">
        <v>25</v>
      </c>
      <c r="I55" s="40">
        <v>46382</v>
      </c>
      <c r="J55" s="4" t="s">
        <v>25</v>
      </c>
      <c r="K55" s="4" t="s">
        <v>14</v>
      </c>
      <c r="L55" s="4">
        <f t="shared" si="6"/>
        <v>1</v>
      </c>
      <c r="M55" s="4">
        <f t="shared" si="7"/>
        <v>1</v>
      </c>
      <c r="N55" s="4">
        <f t="shared" si="8"/>
        <v>1</v>
      </c>
      <c r="O55" s="4">
        <f t="shared" si="9"/>
        <v>1</v>
      </c>
      <c r="P55" s="42">
        <f t="shared" si="10"/>
        <v>100</v>
      </c>
      <c r="Q55" s="43">
        <f t="shared" si="11"/>
        <v>87.5</v>
      </c>
      <c r="R55" t="s">
        <v>270</v>
      </c>
      <c r="S55" t="s">
        <v>271</v>
      </c>
      <c r="T55" t="s">
        <v>280</v>
      </c>
      <c r="U55" s="41">
        <v>46338</v>
      </c>
      <c r="V55" t="s">
        <v>273</v>
      </c>
    </row>
    <row r="56" spans="1:22" ht="15.75" customHeight="1" x14ac:dyDescent="0.25">
      <c r="A56" s="4">
        <f t="shared" si="5"/>
        <v>52</v>
      </c>
      <c r="B56" s="40">
        <v>46186</v>
      </c>
      <c r="C56" s="4" t="s">
        <v>22</v>
      </c>
      <c r="D56" s="4" t="s">
        <v>264</v>
      </c>
      <c r="E56" s="4" t="s">
        <v>256</v>
      </c>
      <c r="F56" s="4">
        <v>4</v>
      </c>
      <c r="G56" s="4" t="s">
        <v>25</v>
      </c>
      <c r="H56" s="4" t="s">
        <v>25</v>
      </c>
      <c r="I56" s="40">
        <v>45294</v>
      </c>
      <c r="J56" s="4" t="s">
        <v>30</v>
      </c>
      <c r="K56" s="4" t="s">
        <v>52</v>
      </c>
      <c r="L56" s="4">
        <f t="shared" si="6"/>
        <v>1</v>
      </c>
      <c r="M56" s="4">
        <f t="shared" si="7"/>
        <v>1</v>
      </c>
      <c r="N56" s="4">
        <f t="shared" si="8"/>
        <v>0</v>
      </c>
      <c r="O56" s="4">
        <f t="shared" si="9"/>
        <v>0</v>
      </c>
      <c r="P56" s="42">
        <f t="shared" si="10"/>
        <v>50</v>
      </c>
      <c r="Q56" s="43">
        <f t="shared" si="11"/>
        <v>41.666666666666664</v>
      </c>
      <c r="R56" t="s">
        <v>266</v>
      </c>
      <c r="S56" t="s">
        <v>267</v>
      </c>
      <c r="T56" t="s">
        <v>268</v>
      </c>
      <c r="U56" s="41">
        <v>46278</v>
      </c>
      <c r="V56" t="s">
        <v>269</v>
      </c>
    </row>
    <row r="57" spans="1:22" ht="15.75" customHeight="1" x14ac:dyDescent="0.25">
      <c r="A57" s="4">
        <f t="shared" si="5"/>
        <v>53</v>
      </c>
      <c r="B57" s="40">
        <v>46217</v>
      </c>
      <c r="C57" s="4" t="s">
        <v>248</v>
      </c>
      <c r="D57" s="4" t="s">
        <v>265</v>
      </c>
      <c r="E57" s="4" t="s">
        <v>259</v>
      </c>
      <c r="F57" s="4">
        <v>5</v>
      </c>
      <c r="G57" s="4" t="s">
        <v>30</v>
      </c>
      <c r="H57" s="4" t="s">
        <v>25</v>
      </c>
      <c r="I57" s="40">
        <v>45692</v>
      </c>
      <c r="J57" s="4" t="s">
        <v>25</v>
      </c>
      <c r="K57" s="4" t="s">
        <v>14</v>
      </c>
      <c r="L57" s="4">
        <f t="shared" si="6"/>
        <v>0</v>
      </c>
      <c r="M57" s="4">
        <f t="shared" si="7"/>
        <v>1</v>
      </c>
      <c r="N57" s="4">
        <f t="shared" si="8"/>
        <v>1</v>
      </c>
      <c r="O57" s="4">
        <f t="shared" si="9"/>
        <v>1</v>
      </c>
      <c r="P57" s="42">
        <f t="shared" si="10"/>
        <v>75</v>
      </c>
      <c r="Q57" s="43">
        <f t="shared" si="11"/>
        <v>88.888888888888886</v>
      </c>
      <c r="R57" t="s">
        <v>266</v>
      </c>
      <c r="S57" t="s">
        <v>279</v>
      </c>
      <c r="T57" t="s">
        <v>272</v>
      </c>
      <c r="U57" s="41">
        <v>46309</v>
      </c>
      <c r="V57" t="s">
        <v>278</v>
      </c>
    </row>
    <row r="58" spans="1:22" ht="15.75" customHeight="1" x14ac:dyDescent="0.25"/>
    <row r="59" spans="1:22" ht="15.75" customHeight="1" x14ac:dyDescent="0.25"/>
    <row r="60" spans="1:22" ht="15.75" customHeight="1" x14ac:dyDescent="0.25"/>
    <row r="61" spans="1:22" ht="15.75" customHeight="1" x14ac:dyDescent="0.25"/>
    <row r="62" spans="1:22" ht="15.75" customHeight="1" x14ac:dyDescent="0.25"/>
    <row r="63" spans="1:22" ht="15.75" customHeight="1" x14ac:dyDescent="0.25"/>
    <row r="64" spans="1:22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P57" xr:uid="{00000000-0009-0000-0000-000000000000}"/>
  <conditionalFormatting sqref="G2:H57 K4:K1000">
    <cfRule type="cellIs" dxfId="41" priority="2" operator="equal">
      <formula>"SIM"</formula>
    </cfRule>
    <cfRule type="cellIs" dxfId="40" priority="3" operator="equal">
      <formula>"NÃO"</formula>
    </cfRule>
  </conditionalFormatting>
  <conditionalFormatting sqref="J2:K3 J4:J57">
    <cfRule type="cellIs" dxfId="39" priority="4" operator="equal">
      <formula>"SIM"</formula>
    </cfRule>
    <cfRule type="cellIs" dxfId="38" priority="5" operator="equal">
      <formula>"NÃO"</formula>
    </cfRule>
  </conditionalFormatting>
  <conditionalFormatting sqref="P2:Q57 Q58:Q1000">
    <cfRule type="cellIs" dxfId="37" priority="6" operator="lessThan">
      <formula>50</formula>
    </cfRule>
    <cfRule type="cellIs" dxfId="36" priority="7" operator="between">
      <formula>50</formula>
      <formula>79</formula>
    </cfRule>
    <cfRule type="cellIs" dxfId="35" priority="8" operator="greaterThanOrEqual">
      <formula>80</formula>
    </cfRule>
  </conditionalFormatting>
  <dataValidations count="5">
    <dataValidation type="list" allowBlank="1" sqref="K2:K1000" xr:uid="{00000000-0002-0000-0000-000000000000}">
      <formula1>"Não Conformidade Grave,Não Conformidade,Conformidade,Observação"</formula1>
      <formula2>0</formula2>
    </dataValidation>
    <dataValidation type="list" allowBlank="1" sqref="G2:H7 J2:J7" xr:uid="{00000000-0002-0000-0000-000001000000}">
      <formula1>"SIM,NÃO"</formula1>
      <formula2>0</formula2>
    </dataValidation>
    <dataValidation type="date" allowBlank="1" sqref="B2:B7 I2:I7" xr:uid="{00000000-0002-0000-0000-000002000000}">
      <formula1>DATE(2000,1,1)</formula1>
      <formula2>DATE(2100,12,31)</formula2>
    </dataValidation>
    <dataValidation type="decimal" operator="greaterThanOrEqual" allowBlank="1" sqref="F2:F7" xr:uid="{00000000-0002-0000-0000-000003000000}">
      <formula1>0</formula1>
      <formula2>0</formula2>
    </dataValidation>
    <dataValidation type="list" allowBlank="1" sqref="V2:V1000" xr:uid="{00000000-0002-0000-0000-000004000000}">
      <formula1>"Aberto,Em andamento,Concluído"</formula1>
    </dataValidation>
  </dataValidations>
  <pageMargins left="0.75" right="0.75" top="1" bottom="1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01"/>
  <sheetViews>
    <sheetView zoomScaleNormal="100" workbookViewId="0">
      <pane ySplit="1" topLeftCell="A3" activePane="bottomLeft" state="frozen"/>
      <selection pane="bottomLeft" activeCell="P3" sqref="P3"/>
    </sheetView>
  </sheetViews>
  <sheetFormatPr defaultColWidth="8.7109375" defaultRowHeight="15" x14ac:dyDescent="0.25"/>
  <cols>
    <col min="1" max="1" width="13" customWidth="1"/>
    <col min="2" max="2" width="16" customWidth="1"/>
    <col min="3" max="3" width="22" customWidth="1"/>
    <col min="4" max="4" width="28" customWidth="1"/>
    <col min="5" max="5" width="30" customWidth="1"/>
    <col min="6" max="6" width="13" customWidth="1"/>
    <col min="7" max="7" width="16" customWidth="1"/>
    <col min="8" max="8" width="18" customWidth="1"/>
    <col min="9" max="9" width="12" customWidth="1"/>
    <col min="10" max="10" width="17" customWidth="1"/>
    <col min="11" max="12" width="13" customWidth="1"/>
    <col min="13" max="13" width="11" customWidth="1"/>
    <col min="14" max="14" width="14" customWidth="1"/>
    <col min="15" max="15" width="16" customWidth="1"/>
    <col min="16" max="16" width="10" customWidth="1"/>
    <col min="17" max="17" width="22" customWidth="1"/>
  </cols>
  <sheetData>
    <row r="1" spans="1:21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32</v>
      </c>
      <c r="F1" s="1" t="s">
        <v>5</v>
      </c>
      <c r="G1" s="7" t="s">
        <v>33</v>
      </c>
      <c r="H1" s="7" t="s">
        <v>34</v>
      </c>
      <c r="I1" s="7" t="s">
        <v>35</v>
      </c>
      <c r="J1" s="7" t="s">
        <v>36</v>
      </c>
      <c r="K1" s="7" t="s">
        <v>11</v>
      </c>
      <c r="L1" s="7" t="s">
        <v>12</v>
      </c>
      <c r="M1" s="7" t="s">
        <v>37</v>
      </c>
      <c r="N1" s="7" t="s">
        <v>14</v>
      </c>
      <c r="O1" s="7" t="s">
        <v>38</v>
      </c>
      <c r="P1" s="7" t="s">
        <v>16</v>
      </c>
      <c r="Q1" s="7" t="s">
        <v>17</v>
      </c>
      <c r="R1" t="s">
        <v>18</v>
      </c>
      <c r="S1" t="s">
        <v>19</v>
      </c>
      <c r="T1" t="s">
        <v>20</v>
      </c>
      <c r="U1" t="s">
        <v>21</v>
      </c>
    </row>
    <row r="2" spans="1:21" ht="15" customHeight="1" x14ac:dyDescent="0.25">
      <c r="A2" s="8">
        <f t="shared" ref="A2:A33" si="0">IF(B2="","",ROW()-1)</f>
        <v>1</v>
      </c>
      <c r="B2" s="9">
        <v>46247</v>
      </c>
      <c r="C2" s="10" t="s">
        <v>248</v>
      </c>
      <c r="D2" s="10" t="s">
        <v>40</v>
      </c>
      <c r="E2" s="10" t="s">
        <v>41</v>
      </c>
      <c r="F2" s="10">
        <v>1</v>
      </c>
      <c r="G2" s="10" t="s">
        <v>25</v>
      </c>
      <c r="H2" s="10" t="s">
        <v>42</v>
      </c>
      <c r="I2" s="10" t="s">
        <v>25</v>
      </c>
      <c r="J2" s="10" t="s">
        <v>14</v>
      </c>
      <c r="K2" s="8">
        <f t="shared" ref="K2:K33" si="1">IF(G2="","",IF(G2="SIM",1,0))</f>
        <v>1</v>
      </c>
      <c r="L2" s="8">
        <f t="shared" ref="L2:L33" si="2">IF(H2="","",IF(H2="Automático",1,IF(H2="Manual",0.5,IF(H2="Não atualizado",0,""))))</f>
        <v>1</v>
      </c>
      <c r="M2" s="8">
        <f t="shared" ref="M2:M33" si="3">IF(I2="","",IF(I2="SIM",1,0))</f>
        <v>1</v>
      </c>
      <c r="N2" s="8">
        <f t="shared" ref="N2:N33" si="4">IF(J2="","",IF(J2="Conformidade",1,IF(J2="Não Conformidade",0,IF(J2="Não Conformidade Grave",-1,""))))</f>
        <v>1</v>
      </c>
      <c r="O2" s="8">
        <f t="shared" ref="O2:O33" si="5">IF(COUNTA(G2:J2)=0,"",ROUND(AVERAGE(K2:N2)*100,0))</f>
        <v>100</v>
      </c>
      <c r="P2" s="8">
        <f t="shared" ref="P2:P33" si="6">IFERROR(AVERAGEIF(C$2:C$201,C2,O$2:O$201),"N/A")</f>
        <v>92.5</v>
      </c>
      <c r="Q2" s="10" t="s">
        <v>43</v>
      </c>
    </row>
    <row r="3" spans="1:21" ht="15" customHeight="1" x14ac:dyDescent="0.25">
      <c r="A3" s="8">
        <f t="shared" si="0"/>
        <v>2</v>
      </c>
      <c r="B3" s="44">
        <v>46179</v>
      </c>
      <c r="C3" s="10" t="s">
        <v>22</v>
      </c>
      <c r="D3" s="10" t="s">
        <v>40</v>
      </c>
      <c r="E3" s="10" t="s">
        <v>41</v>
      </c>
      <c r="F3" s="10">
        <v>1</v>
      </c>
      <c r="G3" s="10" t="s">
        <v>30</v>
      </c>
      <c r="H3" s="10" t="s">
        <v>288</v>
      </c>
      <c r="I3" s="10" t="s">
        <v>30</v>
      </c>
      <c r="J3" s="10" t="s">
        <v>26</v>
      </c>
      <c r="K3" s="8">
        <f t="shared" si="1"/>
        <v>0</v>
      </c>
      <c r="L3" s="8">
        <f t="shared" si="2"/>
        <v>0</v>
      </c>
      <c r="M3" s="8">
        <f t="shared" si="3"/>
        <v>0</v>
      </c>
      <c r="N3" s="8">
        <f t="shared" si="4"/>
        <v>-1</v>
      </c>
      <c r="O3" s="45">
        <f t="shared" si="5"/>
        <v>-25</v>
      </c>
      <c r="P3" s="45">
        <f t="shared" si="6"/>
        <v>39.111111111111114</v>
      </c>
      <c r="Q3" s="10" t="s">
        <v>294</v>
      </c>
      <c r="R3" t="s">
        <v>295</v>
      </c>
      <c r="S3" t="s">
        <v>268</v>
      </c>
      <c r="T3" s="41">
        <v>46273</v>
      </c>
      <c r="U3" t="s">
        <v>269</v>
      </c>
    </row>
    <row r="4" spans="1:21" ht="15" customHeight="1" x14ac:dyDescent="0.25">
      <c r="A4" s="8">
        <f t="shared" si="0"/>
        <v>3</v>
      </c>
      <c r="B4" s="44">
        <v>46210</v>
      </c>
      <c r="C4" s="10" t="s">
        <v>248</v>
      </c>
      <c r="D4" s="10" t="s">
        <v>249</v>
      </c>
      <c r="E4" s="10" t="s">
        <v>289</v>
      </c>
      <c r="F4" s="10">
        <v>2</v>
      </c>
      <c r="G4" s="10" t="s">
        <v>25</v>
      </c>
      <c r="H4" s="10" t="s">
        <v>42</v>
      </c>
      <c r="I4" s="10" t="s">
        <v>25</v>
      </c>
      <c r="J4" s="10" t="s">
        <v>14</v>
      </c>
      <c r="K4" s="8">
        <f t="shared" si="1"/>
        <v>1</v>
      </c>
      <c r="L4" s="8">
        <f t="shared" si="2"/>
        <v>1</v>
      </c>
      <c r="M4" s="8">
        <f t="shared" si="3"/>
        <v>1</v>
      </c>
      <c r="N4" s="8">
        <f t="shared" si="4"/>
        <v>1</v>
      </c>
      <c r="O4" s="45">
        <f t="shared" si="5"/>
        <v>100</v>
      </c>
      <c r="P4" s="45">
        <f t="shared" si="6"/>
        <v>92.5</v>
      </c>
      <c r="Q4" s="10" t="s">
        <v>296</v>
      </c>
      <c r="R4" t="s">
        <v>297</v>
      </c>
      <c r="S4" t="s">
        <v>272</v>
      </c>
      <c r="T4" s="41">
        <v>46304</v>
      </c>
      <c r="U4" t="s">
        <v>273</v>
      </c>
    </row>
    <row r="5" spans="1:21" ht="15" customHeight="1" x14ac:dyDescent="0.25">
      <c r="A5" s="8">
        <f t="shared" si="0"/>
        <v>4</v>
      </c>
      <c r="B5" s="44">
        <v>46242</v>
      </c>
      <c r="C5" s="10" t="s">
        <v>251</v>
      </c>
      <c r="D5" s="10" t="s">
        <v>252</v>
      </c>
      <c r="E5" s="10" t="s">
        <v>290</v>
      </c>
      <c r="F5" s="10">
        <v>3</v>
      </c>
      <c r="G5" s="10" t="s">
        <v>25</v>
      </c>
      <c r="H5" s="10" t="s">
        <v>42</v>
      </c>
      <c r="I5" s="10" t="s">
        <v>25</v>
      </c>
      <c r="J5" s="10" t="s">
        <v>14</v>
      </c>
      <c r="K5" s="8">
        <f t="shared" si="1"/>
        <v>1</v>
      </c>
      <c r="L5" s="8">
        <f t="shared" si="2"/>
        <v>1</v>
      </c>
      <c r="M5" s="8">
        <f t="shared" si="3"/>
        <v>1</v>
      </c>
      <c r="N5" s="8">
        <f t="shared" si="4"/>
        <v>1</v>
      </c>
      <c r="O5" s="45">
        <f t="shared" si="5"/>
        <v>100</v>
      </c>
      <c r="P5" s="45">
        <f t="shared" si="6"/>
        <v>59.375</v>
      </c>
      <c r="Q5" s="10" t="s">
        <v>296</v>
      </c>
      <c r="R5" t="s">
        <v>297</v>
      </c>
      <c r="S5" t="s">
        <v>274</v>
      </c>
      <c r="T5" s="41">
        <v>46336</v>
      </c>
      <c r="U5" t="s">
        <v>273</v>
      </c>
    </row>
    <row r="6" spans="1:21" ht="15" customHeight="1" x14ac:dyDescent="0.25">
      <c r="A6" s="8">
        <f t="shared" si="0"/>
        <v>5</v>
      </c>
      <c r="B6" s="44">
        <v>46182</v>
      </c>
      <c r="C6" s="10" t="s">
        <v>254</v>
      </c>
      <c r="D6" s="10" t="s">
        <v>255</v>
      </c>
      <c r="E6" s="10" t="s">
        <v>291</v>
      </c>
      <c r="F6" s="10">
        <v>4</v>
      </c>
      <c r="G6" s="10" t="s">
        <v>25</v>
      </c>
      <c r="H6" s="10" t="s">
        <v>292</v>
      </c>
      <c r="I6" s="10" t="s">
        <v>25</v>
      </c>
      <c r="J6" s="10" t="s">
        <v>14</v>
      </c>
      <c r="K6" s="8">
        <f t="shared" si="1"/>
        <v>1</v>
      </c>
      <c r="L6" s="8">
        <f t="shared" si="2"/>
        <v>0.5</v>
      </c>
      <c r="M6" s="8">
        <f t="shared" si="3"/>
        <v>1</v>
      </c>
      <c r="N6" s="8">
        <f t="shared" si="4"/>
        <v>1</v>
      </c>
      <c r="O6" s="45">
        <f t="shared" si="5"/>
        <v>88</v>
      </c>
      <c r="P6" s="45">
        <f t="shared" si="6"/>
        <v>62.75</v>
      </c>
      <c r="Q6" s="10" t="s">
        <v>296</v>
      </c>
      <c r="R6" t="s">
        <v>297</v>
      </c>
      <c r="S6" t="s">
        <v>276</v>
      </c>
      <c r="T6" s="41">
        <v>46276</v>
      </c>
      <c r="U6" t="s">
        <v>273</v>
      </c>
    </row>
    <row r="7" spans="1:21" ht="15" customHeight="1" x14ac:dyDescent="0.25">
      <c r="A7" s="8">
        <f t="shared" si="0"/>
        <v>6</v>
      </c>
      <c r="B7" s="44">
        <v>46213</v>
      </c>
      <c r="C7" s="10" t="s">
        <v>257</v>
      </c>
      <c r="D7" s="10" t="s">
        <v>258</v>
      </c>
      <c r="E7" s="10" t="s">
        <v>293</v>
      </c>
      <c r="F7" s="10">
        <v>5</v>
      </c>
      <c r="G7" s="10" t="s">
        <v>25</v>
      </c>
      <c r="H7" s="10" t="s">
        <v>42</v>
      </c>
      <c r="I7" s="10" t="s">
        <v>30</v>
      </c>
      <c r="J7" s="10" t="s">
        <v>52</v>
      </c>
      <c r="K7" s="8">
        <f t="shared" si="1"/>
        <v>1</v>
      </c>
      <c r="L7" s="8">
        <f t="shared" si="2"/>
        <v>1</v>
      </c>
      <c r="M7" s="8">
        <f t="shared" si="3"/>
        <v>0</v>
      </c>
      <c r="N7" s="8">
        <f t="shared" si="4"/>
        <v>0</v>
      </c>
      <c r="O7" s="45">
        <f t="shared" si="5"/>
        <v>50</v>
      </c>
      <c r="P7" s="45">
        <f t="shared" si="6"/>
        <v>59.375</v>
      </c>
      <c r="Q7" s="10" t="s">
        <v>294</v>
      </c>
      <c r="R7" t="s">
        <v>295</v>
      </c>
      <c r="S7" t="s">
        <v>277</v>
      </c>
      <c r="T7" s="41">
        <v>46307</v>
      </c>
      <c r="U7" t="s">
        <v>278</v>
      </c>
    </row>
    <row r="8" spans="1:21" ht="15" customHeight="1" x14ac:dyDescent="0.25">
      <c r="A8" s="8">
        <f t="shared" si="0"/>
        <v>7</v>
      </c>
      <c r="B8" s="44">
        <v>46245</v>
      </c>
      <c r="C8" s="10" t="s">
        <v>260</v>
      </c>
      <c r="D8" s="10" t="s">
        <v>261</v>
      </c>
      <c r="E8" s="10" t="s">
        <v>41</v>
      </c>
      <c r="F8" s="10">
        <v>6</v>
      </c>
      <c r="G8" s="10" t="s">
        <v>25</v>
      </c>
      <c r="H8" s="10" t="s">
        <v>288</v>
      </c>
      <c r="I8" s="10" t="s">
        <v>25</v>
      </c>
      <c r="J8" s="10" t="s">
        <v>14</v>
      </c>
      <c r="K8" s="8">
        <f t="shared" si="1"/>
        <v>1</v>
      </c>
      <c r="L8" s="8">
        <f t="shared" si="2"/>
        <v>0</v>
      </c>
      <c r="M8" s="8">
        <f t="shared" si="3"/>
        <v>1</v>
      </c>
      <c r="N8" s="8">
        <f t="shared" si="4"/>
        <v>1</v>
      </c>
      <c r="O8" s="45">
        <f t="shared" si="5"/>
        <v>75</v>
      </c>
      <c r="P8" s="45">
        <f t="shared" si="6"/>
        <v>90.625</v>
      </c>
      <c r="Q8" s="10" t="s">
        <v>294</v>
      </c>
      <c r="R8" t="s">
        <v>298</v>
      </c>
      <c r="S8" t="s">
        <v>280</v>
      </c>
      <c r="T8" s="41">
        <v>46339</v>
      </c>
      <c r="U8" t="s">
        <v>281</v>
      </c>
    </row>
    <row r="9" spans="1:21" ht="15" customHeight="1" x14ac:dyDescent="0.25">
      <c r="A9" s="8">
        <f t="shared" si="0"/>
        <v>8</v>
      </c>
      <c r="B9" s="44">
        <v>46185</v>
      </c>
      <c r="C9" s="10" t="s">
        <v>22</v>
      </c>
      <c r="D9" s="10" t="s">
        <v>262</v>
      </c>
      <c r="E9" s="10" t="s">
        <v>289</v>
      </c>
      <c r="F9" s="10">
        <v>7</v>
      </c>
      <c r="G9" s="10" t="s">
        <v>25</v>
      </c>
      <c r="H9" s="10" t="s">
        <v>292</v>
      </c>
      <c r="I9" s="10" t="s">
        <v>25</v>
      </c>
      <c r="J9" s="10" t="s">
        <v>14</v>
      </c>
      <c r="K9" s="8">
        <f t="shared" si="1"/>
        <v>1</v>
      </c>
      <c r="L9" s="8">
        <f t="shared" si="2"/>
        <v>0.5</v>
      </c>
      <c r="M9" s="8">
        <f t="shared" si="3"/>
        <v>1</v>
      </c>
      <c r="N9" s="8">
        <f t="shared" si="4"/>
        <v>1</v>
      </c>
      <c r="O9" s="45">
        <f t="shared" si="5"/>
        <v>88</v>
      </c>
      <c r="P9" s="45">
        <f t="shared" si="6"/>
        <v>39.111111111111114</v>
      </c>
      <c r="Q9" s="10" t="s">
        <v>296</v>
      </c>
      <c r="R9" t="s">
        <v>297</v>
      </c>
      <c r="S9" t="s">
        <v>268</v>
      </c>
      <c r="T9" s="41">
        <v>46279</v>
      </c>
      <c r="U9" t="s">
        <v>273</v>
      </c>
    </row>
    <row r="10" spans="1:21" ht="15" customHeight="1" x14ac:dyDescent="0.25">
      <c r="A10" s="8">
        <f t="shared" si="0"/>
        <v>9</v>
      </c>
      <c r="B10" s="44">
        <v>46216</v>
      </c>
      <c r="C10" s="10" t="s">
        <v>248</v>
      </c>
      <c r="D10" s="10" t="s">
        <v>263</v>
      </c>
      <c r="E10" s="10" t="s">
        <v>290</v>
      </c>
      <c r="F10" s="10">
        <v>8</v>
      </c>
      <c r="G10" s="10" t="s">
        <v>25</v>
      </c>
      <c r="H10" s="10" t="s">
        <v>42</v>
      </c>
      <c r="I10" s="10" t="s">
        <v>25</v>
      </c>
      <c r="J10" s="10" t="s">
        <v>14</v>
      </c>
      <c r="K10" s="8">
        <f t="shared" si="1"/>
        <v>1</v>
      </c>
      <c r="L10" s="8">
        <f t="shared" si="2"/>
        <v>1</v>
      </c>
      <c r="M10" s="8">
        <f t="shared" si="3"/>
        <v>1</v>
      </c>
      <c r="N10" s="8">
        <f t="shared" si="4"/>
        <v>1</v>
      </c>
      <c r="O10" s="45">
        <f t="shared" si="5"/>
        <v>100</v>
      </c>
      <c r="P10" s="45">
        <f t="shared" si="6"/>
        <v>92.5</v>
      </c>
      <c r="Q10" s="10" t="s">
        <v>296</v>
      </c>
      <c r="R10" t="s">
        <v>297</v>
      </c>
      <c r="S10" t="s">
        <v>272</v>
      </c>
      <c r="T10" s="41">
        <v>46310</v>
      </c>
      <c r="U10" t="s">
        <v>273</v>
      </c>
    </row>
    <row r="11" spans="1:21" ht="15" customHeight="1" x14ac:dyDescent="0.25">
      <c r="A11" s="8">
        <f t="shared" si="0"/>
        <v>10</v>
      </c>
      <c r="B11" s="44">
        <v>46248</v>
      </c>
      <c r="C11" s="10" t="s">
        <v>251</v>
      </c>
      <c r="D11" s="10" t="s">
        <v>264</v>
      </c>
      <c r="E11" s="10" t="s">
        <v>291</v>
      </c>
      <c r="F11" s="10">
        <v>1</v>
      </c>
      <c r="G11" s="10" t="s">
        <v>25</v>
      </c>
      <c r="H11" s="10" t="s">
        <v>42</v>
      </c>
      <c r="I11" s="10" t="s">
        <v>30</v>
      </c>
      <c r="J11" s="10" t="s">
        <v>52</v>
      </c>
      <c r="K11" s="8">
        <f t="shared" si="1"/>
        <v>1</v>
      </c>
      <c r="L11" s="8">
        <f t="shared" si="2"/>
        <v>1</v>
      </c>
      <c r="M11" s="8">
        <f t="shared" si="3"/>
        <v>0</v>
      </c>
      <c r="N11" s="8">
        <f t="shared" si="4"/>
        <v>0</v>
      </c>
      <c r="O11" s="45">
        <f t="shared" si="5"/>
        <v>50</v>
      </c>
      <c r="P11" s="45">
        <f t="shared" si="6"/>
        <v>59.375</v>
      </c>
      <c r="Q11" s="10" t="s">
        <v>294</v>
      </c>
      <c r="R11" t="s">
        <v>295</v>
      </c>
      <c r="S11" t="s">
        <v>274</v>
      </c>
      <c r="T11" s="41">
        <v>46342</v>
      </c>
      <c r="U11" t="s">
        <v>281</v>
      </c>
    </row>
    <row r="12" spans="1:21" ht="15" customHeight="1" x14ac:dyDescent="0.25">
      <c r="A12" s="8">
        <f t="shared" si="0"/>
        <v>11</v>
      </c>
      <c r="B12" s="44">
        <v>46188</v>
      </c>
      <c r="C12" s="10" t="s">
        <v>254</v>
      </c>
      <c r="D12" s="10" t="s">
        <v>265</v>
      </c>
      <c r="E12" s="10" t="s">
        <v>293</v>
      </c>
      <c r="F12" s="10">
        <v>2</v>
      </c>
      <c r="G12" s="10" t="s">
        <v>30</v>
      </c>
      <c r="H12" s="10" t="s">
        <v>288</v>
      </c>
      <c r="I12" s="10" t="s">
        <v>25</v>
      </c>
      <c r="J12" s="10" t="s">
        <v>14</v>
      </c>
      <c r="K12" s="8">
        <f t="shared" si="1"/>
        <v>0</v>
      </c>
      <c r="L12" s="8">
        <f t="shared" si="2"/>
        <v>0</v>
      </c>
      <c r="M12" s="8">
        <f t="shared" si="3"/>
        <v>1</v>
      </c>
      <c r="N12" s="8">
        <f t="shared" si="4"/>
        <v>1</v>
      </c>
      <c r="O12" s="45">
        <f t="shared" si="5"/>
        <v>50</v>
      </c>
      <c r="P12" s="45">
        <f t="shared" si="6"/>
        <v>62.75</v>
      </c>
      <c r="Q12" s="10" t="s">
        <v>294</v>
      </c>
      <c r="R12" t="s">
        <v>298</v>
      </c>
      <c r="S12" t="s">
        <v>276</v>
      </c>
      <c r="T12" s="41">
        <v>46282</v>
      </c>
      <c r="U12" t="s">
        <v>269</v>
      </c>
    </row>
    <row r="13" spans="1:21" ht="15" customHeight="1" x14ac:dyDescent="0.25">
      <c r="A13" s="8">
        <f t="shared" si="0"/>
        <v>12</v>
      </c>
      <c r="B13" s="44">
        <v>46219</v>
      </c>
      <c r="C13" s="10" t="s">
        <v>257</v>
      </c>
      <c r="D13" s="10" t="s">
        <v>40</v>
      </c>
      <c r="E13" s="10" t="s">
        <v>41</v>
      </c>
      <c r="F13" s="10">
        <v>3</v>
      </c>
      <c r="G13" s="10" t="s">
        <v>25</v>
      </c>
      <c r="H13" s="10" t="s">
        <v>288</v>
      </c>
      <c r="I13" s="10" t="s">
        <v>25</v>
      </c>
      <c r="J13" s="10" t="s">
        <v>14</v>
      </c>
      <c r="K13" s="8">
        <f t="shared" si="1"/>
        <v>1</v>
      </c>
      <c r="L13" s="8">
        <f t="shared" si="2"/>
        <v>0</v>
      </c>
      <c r="M13" s="8">
        <f t="shared" si="3"/>
        <v>1</v>
      </c>
      <c r="N13" s="8">
        <f t="shared" si="4"/>
        <v>1</v>
      </c>
      <c r="O13" s="45">
        <f t="shared" si="5"/>
        <v>75</v>
      </c>
      <c r="P13" s="45">
        <f t="shared" si="6"/>
        <v>59.375</v>
      </c>
      <c r="Q13" s="10" t="s">
        <v>294</v>
      </c>
      <c r="R13" t="s">
        <v>299</v>
      </c>
      <c r="S13" t="s">
        <v>277</v>
      </c>
      <c r="T13" s="41">
        <v>46313</v>
      </c>
      <c r="U13" t="s">
        <v>278</v>
      </c>
    </row>
    <row r="14" spans="1:21" ht="15" customHeight="1" x14ac:dyDescent="0.25">
      <c r="A14" s="8">
        <f t="shared" si="0"/>
        <v>13</v>
      </c>
      <c r="B14" s="44">
        <v>46251</v>
      </c>
      <c r="C14" s="10" t="s">
        <v>260</v>
      </c>
      <c r="D14" s="10" t="s">
        <v>249</v>
      </c>
      <c r="E14" s="10" t="s">
        <v>289</v>
      </c>
      <c r="F14" s="10">
        <v>4</v>
      </c>
      <c r="G14" s="10" t="s">
        <v>25</v>
      </c>
      <c r="H14" s="10" t="s">
        <v>42</v>
      </c>
      <c r="I14" s="10" t="s">
        <v>30</v>
      </c>
      <c r="J14" s="10" t="s">
        <v>14</v>
      </c>
      <c r="K14" s="8">
        <f t="shared" si="1"/>
        <v>1</v>
      </c>
      <c r="L14" s="8">
        <f t="shared" si="2"/>
        <v>1</v>
      </c>
      <c r="M14" s="8">
        <f t="shared" si="3"/>
        <v>0</v>
      </c>
      <c r="N14" s="8">
        <f t="shared" si="4"/>
        <v>1</v>
      </c>
      <c r="O14" s="45">
        <f t="shared" si="5"/>
        <v>75</v>
      </c>
      <c r="P14" s="45">
        <f t="shared" si="6"/>
        <v>90.625</v>
      </c>
      <c r="Q14" s="10" t="s">
        <v>294</v>
      </c>
      <c r="R14" t="s">
        <v>300</v>
      </c>
      <c r="S14" t="s">
        <v>280</v>
      </c>
      <c r="T14" s="41">
        <v>46345</v>
      </c>
      <c r="U14" t="s">
        <v>281</v>
      </c>
    </row>
    <row r="15" spans="1:21" ht="15" customHeight="1" x14ac:dyDescent="0.25">
      <c r="A15" s="8">
        <f t="shared" si="0"/>
        <v>14</v>
      </c>
      <c r="B15" s="44">
        <v>46191</v>
      </c>
      <c r="C15" s="10" t="s">
        <v>22</v>
      </c>
      <c r="D15" s="10" t="s">
        <v>252</v>
      </c>
      <c r="E15" s="10" t="s">
        <v>290</v>
      </c>
      <c r="F15" s="10">
        <v>5</v>
      </c>
      <c r="G15" s="10" t="s">
        <v>25</v>
      </c>
      <c r="H15" s="10" t="s">
        <v>292</v>
      </c>
      <c r="I15" s="10" t="s">
        <v>30</v>
      </c>
      <c r="J15" s="10" t="s">
        <v>52</v>
      </c>
      <c r="K15" s="8">
        <f t="shared" si="1"/>
        <v>1</v>
      </c>
      <c r="L15" s="8">
        <f t="shared" si="2"/>
        <v>0.5</v>
      </c>
      <c r="M15" s="8">
        <f t="shared" si="3"/>
        <v>0</v>
      </c>
      <c r="N15" s="8">
        <f t="shared" si="4"/>
        <v>0</v>
      </c>
      <c r="O15" s="45">
        <f t="shared" si="5"/>
        <v>38</v>
      </c>
      <c r="P15" s="45">
        <f t="shared" si="6"/>
        <v>39.111111111111114</v>
      </c>
      <c r="Q15" s="10" t="s">
        <v>294</v>
      </c>
      <c r="R15" t="s">
        <v>295</v>
      </c>
      <c r="S15" t="s">
        <v>268</v>
      </c>
      <c r="T15" s="41">
        <v>46285</v>
      </c>
      <c r="U15" t="s">
        <v>269</v>
      </c>
    </row>
    <row r="16" spans="1:21" ht="15" customHeight="1" x14ac:dyDescent="0.25">
      <c r="A16" s="8">
        <f t="shared" si="0"/>
        <v>15</v>
      </c>
      <c r="B16" s="44">
        <v>46222</v>
      </c>
      <c r="C16" s="10" t="s">
        <v>248</v>
      </c>
      <c r="D16" s="10" t="s">
        <v>255</v>
      </c>
      <c r="E16" s="10" t="s">
        <v>291</v>
      </c>
      <c r="F16" s="10">
        <v>6</v>
      </c>
      <c r="G16" s="10" t="s">
        <v>25</v>
      </c>
      <c r="H16" s="10" t="s">
        <v>42</v>
      </c>
      <c r="I16" s="10" t="s">
        <v>25</v>
      </c>
      <c r="J16" s="10" t="s">
        <v>26</v>
      </c>
      <c r="K16" s="8">
        <f t="shared" si="1"/>
        <v>1</v>
      </c>
      <c r="L16" s="8">
        <f t="shared" si="2"/>
        <v>1</v>
      </c>
      <c r="M16" s="8">
        <f t="shared" si="3"/>
        <v>1</v>
      </c>
      <c r="N16" s="8">
        <f t="shared" si="4"/>
        <v>-1</v>
      </c>
      <c r="O16" s="45">
        <f t="shared" si="5"/>
        <v>50</v>
      </c>
      <c r="P16" s="45">
        <f t="shared" si="6"/>
        <v>92.5</v>
      </c>
      <c r="Q16" s="10" t="s">
        <v>294</v>
      </c>
      <c r="R16" t="s">
        <v>298</v>
      </c>
      <c r="S16" t="s">
        <v>272</v>
      </c>
      <c r="T16" s="41">
        <v>46316</v>
      </c>
      <c r="U16" t="s">
        <v>278</v>
      </c>
    </row>
    <row r="17" spans="1:21" ht="15" customHeight="1" x14ac:dyDescent="0.25">
      <c r="A17" s="8">
        <f t="shared" si="0"/>
        <v>16</v>
      </c>
      <c r="B17" s="44">
        <v>46254</v>
      </c>
      <c r="C17" s="10" t="s">
        <v>251</v>
      </c>
      <c r="D17" s="10" t="s">
        <v>258</v>
      </c>
      <c r="E17" s="10" t="s">
        <v>293</v>
      </c>
      <c r="F17" s="10">
        <v>7</v>
      </c>
      <c r="G17" s="10" t="s">
        <v>30</v>
      </c>
      <c r="H17" s="10" t="s">
        <v>288</v>
      </c>
      <c r="I17" s="10" t="s">
        <v>25</v>
      </c>
      <c r="J17" s="10" t="s">
        <v>14</v>
      </c>
      <c r="K17" s="8">
        <f t="shared" si="1"/>
        <v>0</v>
      </c>
      <c r="L17" s="8">
        <f t="shared" si="2"/>
        <v>0</v>
      </c>
      <c r="M17" s="8">
        <f t="shared" si="3"/>
        <v>1</v>
      </c>
      <c r="N17" s="8">
        <f t="shared" si="4"/>
        <v>1</v>
      </c>
      <c r="O17" s="45">
        <f t="shared" si="5"/>
        <v>50</v>
      </c>
      <c r="P17" s="45">
        <f t="shared" si="6"/>
        <v>59.375</v>
      </c>
      <c r="Q17" s="10" t="s">
        <v>294</v>
      </c>
      <c r="R17" t="s">
        <v>299</v>
      </c>
      <c r="S17" t="s">
        <v>274</v>
      </c>
      <c r="T17" s="41">
        <v>46348</v>
      </c>
      <c r="U17" t="s">
        <v>281</v>
      </c>
    </row>
    <row r="18" spans="1:21" ht="15" customHeight="1" x14ac:dyDescent="0.25">
      <c r="A18" s="8">
        <f t="shared" si="0"/>
        <v>17</v>
      </c>
      <c r="B18" s="44">
        <v>46194</v>
      </c>
      <c r="C18" s="10" t="s">
        <v>254</v>
      </c>
      <c r="D18" s="10" t="s">
        <v>261</v>
      </c>
      <c r="E18" s="10" t="s">
        <v>41</v>
      </c>
      <c r="F18" s="10">
        <v>8</v>
      </c>
      <c r="G18" s="10" t="s">
        <v>25</v>
      </c>
      <c r="H18" s="10" t="s">
        <v>288</v>
      </c>
      <c r="I18" s="10" t="s">
        <v>25</v>
      </c>
      <c r="J18" s="10" t="s">
        <v>14</v>
      </c>
      <c r="K18" s="8">
        <f t="shared" si="1"/>
        <v>1</v>
      </c>
      <c r="L18" s="8">
        <f t="shared" si="2"/>
        <v>0</v>
      </c>
      <c r="M18" s="8">
        <f t="shared" si="3"/>
        <v>1</v>
      </c>
      <c r="N18" s="8">
        <f t="shared" si="4"/>
        <v>1</v>
      </c>
      <c r="O18" s="45">
        <f t="shared" si="5"/>
        <v>75</v>
      </c>
      <c r="P18" s="45">
        <f t="shared" si="6"/>
        <v>62.75</v>
      </c>
      <c r="Q18" s="10" t="s">
        <v>294</v>
      </c>
      <c r="R18" t="s">
        <v>300</v>
      </c>
      <c r="S18" t="s">
        <v>276</v>
      </c>
      <c r="T18" s="41">
        <v>46288</v>
      </c>
      <c r="U18" t="s">
        <v>269</v>
      </c>
    </row>
    <row r="19" spans="1:21" ht="15" customHeight="1" x14ac:dyDescent="0.25">
      <c r="A19" s="8">
        <f t="shared" si="0"/>
        <v>18</v>
      </c>
      <c r="B19" s="44">
        <v>46225</v>
      </c>
      <c r="C19" s="10" t="s">
        <v>257</v>
      </c>
      <c r="D19" s="10" t="s">
        <v>262</v>
      </c>
      <c r="E19" s="10" t="s">
        <v>289</v>
      </c>
      <c r="F19" s="10">
        <v>1</v>
      </c>
      <c r="G19" s="10" t="s">
        <v>25</v>
      </c>
      <c r="H19" s="10" t="s">
        <v>42</v>
      </c>
      <c r="I19" s="10" t="s">
        <v>30</v>
      </c>
      <c r="J19" s="10" t="s">
        <v>52</v>
      </c>
      <c r="K19" s="8">
        <f t="shared" si="1"/>
        <v>1</v>
      </c>
      <c r="L19" s="8">
        <f t="shared" si="2"/>
        <v>1</v>
      </c>
      <c r="M19" s="8">
        <f t="shared" si="3"/>
        <v>0</v>
      </c>
      <c r="N19" s="8">
        <f t="shared" si="4"/>
        <v>0</v>
      </c>
      <c r="O19" s="45">
        <f t="shared" si="5"/>
        <v>50</v>
      </c>
      <c r="P19" s="45">
        <f t="shared" si="6"/>
        <v>59.375</v>
      </c>
      <c r="Q19" s="10" t="s">
        <v>294</v>
      </c>
      <c r="R19" t="s">
        <v>295</v>
      </c>
      <c r="S19" t="s">
        <v>277</v>
      </c>
      <c r="T19" s="41">
        <v>46319</v>
      </c>
      <c r="U19" t="s">
        <v>278</v>
      </c>
    </row>
    <row r="20" spans="1:21" ht="15" customHeight="1" x14ac:dyDescent="0.25">
      <c r="A20" s="8">
        <f t="shared" si="0"/>
        <v>19</v>
      </c>
      <c r="B20" s="44">
        <v>46257</v>
      </c>
      <c r="C20" s="10" t="s">
        <v>260</v>
      </c>
      <c r="D20" s="10" t="s">
        <v>263</v>
      </c>
      <c r="E20" s="10" t="s">
        <v>290</v>
      </c>
      <c r="F20" s="10">
        <v>2</v>
      </c>
      <c r="G20" s="10" t="s">
        <v>25</v>
      </c>
      <c r="H20" s="10" t="s">
        <v>42</v>
      </c>
      <c r="I20" s="10" t="s">
        <v>25</v>
      </c>
      <c r="J20" s="10" t="s">
        <v>14</v>
      </c>
      <c r="K20" s="8">
        <f t="shared" si="1"/>
        <v>1</v>
      </c>
      <c r="L20" s="8">
        <f t="shared" si="2"/>
        <v>1</v>
      </c>
      <c r="M20" s="8">
        <f t="shared" si="3"/>
        <v>1</v>
      </c>
      <c r="N20" s="8">
        <f t="shared" si="4"/>
        <v>1</v>
      </c>
      <c r="O20" s="45">
        <f t="shared" si="5"/>
        <v>100</v>
      </c>
      <c r="P20" s="45">
        <f t="shared" si="6"/>
        <v>90.625</v>
      </c>
      <c r="Q20" s="10" t="s">
        <v>296</v>
      </c>
      <c r="R20" t="s">
        <v>297</v>
      </c>
      <c r="S20" t="s">
        <v>280</v>
      </c>
      <c r="T20" s="41">
        <v>46351</v>
      </c>
      <c r="U20" t="s">
        <v>273</v>
      </c>
    </row>
    <row r="21" spans="1:21" ht="15" customHeight="1" x14ac:dyDescent="0.25">
      <c r="A21" s="8">
        <f t="shared" si="0"/>
        <v>20</v>
      </c>
      <c r="B21" s="44">
        <v>46197</v>
      </c>
      <c r="C21" s="10" t="s">
        <v>22</v>
      </c>
      <c r="D21" s="10" t="s">
        <v>264</v>
      </c>
      <c r="E21" s="10" t="s">
        <v>291</v>
      </c>
      <c r="F21" s="10">
        <v>3</v>
      </c>
      <c r="G21" s="10" t="s">
        <v>30</v>
      </c>
      <c r="H21" s="10" t="s">
        <v>288</v>
      </c>
      <c r="I21" s="10" t="s">
        <v>25</v>
      </c>
      <c r="J21" s="10" t="s">
        <v>14</v>
      </c>
      <c r="K21" s="8">
        <f t="shared" si="1"/>
        <v>0</v>
      </c>
      <c r="L21" s="8">
        <f t="shared" si="2"/>
        <v>0</v>
      </c>
      <c r="M21" s="8">
        <f t="shared" si="3"/>
        <v>1</v>
      </c>
      <c r="N21" s="8">
        <f t="shared" si="4"/>
        <v>1</v>
      </c>
      <c r="O21" s="45">
        <f t="shared" si="5"/>
        <v>50</v>
      </c>
      <c r="P21" s="45">
        <f t="shared" si="6"/>
        <v>39.111111111111114</v>
      </c>
      <c r="Q21" s="10" t="s">
        <v>294</v>
      </c>
      <c r="R21" t="s">
        <v>299</v>
      </c>
      <c r="S21" t="s">
        <v>268</v>
      </c>
      <c r="T21" s="41">
        <v>46273</v>
      </c>
      <c r="U21" t="s">
        <v>269</v>
      </c>
    </row>
    <row r="22" spans="1:21" ht="15" customHeight="1" x14ac:dyDescent="0.25">
      <c r="A22" s="8">
        <f t="shared" si="0"/>
        <v>21</v>
      </c>
      <c r="B22" s="44">
        <v>46228</v>
      </c>
      <c r="C22" s="10" t="s">
        <v>248</v>
      </c>
      <c r="D22" s="10" t="s">
        <v>265</v>
      </c>
      <c r="E22" s="10" t="s">
        <v>293</v>
      </c>
      <c r="F22" s="10">
        <v>4</v>
      </c>
      <c r="G22" s="10" t="s">
        <v>25</v>
      </c>
      <c r="H22" s="10" t="s">
        <v>42</v>
      </c>
      <c r="I22" s="10" t="s">
        <v>25</v>
      </c>
      <c r="J22" s="10" t="s">
        <v>14</v>
      </c>
      <c r="K22" s="8">
        <f t="shared" si="1"/>
        <v>1</v>
      </c>
      <c r="L22" s="8">
        <f t="shared" si="2"/>
        <v>1</v>
      </c>
      <c r="M22" s="8">
        <f t="shared" si="3"/>
        <v>1</v>
      </c>
      <c r="N22" s="8">
        <f t="shared" si="4"/>
        <v>1</v>
      </c>
      <c r="O22" s="45">
        <f t="shared" si="5"/>
        <v>100</v>
      </c>
      <c r="P22" s="45">
        <f t="shared" si="6"/>
        <v>92.5</v>
      </c>
      <c r="Q22" s="10" t="s">
        <v>296</v>
      </c>
      <c r="R22" t="s">
        <v>297</v>
      </c>
      <c r="S22" t="s">
        <v>272</v>
      </c>
      <c r="T22" s="41">
        <v>46304</v>
      </c>
      <c r="U22" t="s">
        <v>273</v>
      </c>
    </row>
    <row r="23" spans="1:21" ht="15" customHeight="1" x14ac:dyDescent="0.25">
      <c r="A23" s="8">
        <f t="shared" si="0"/>
        <v>22</v>
      </c>
      <c r="B23" s="44">
        <v>46240</v>
      </c>
      <c r="C23" s="10" t="s">
        <v>251</v>
      </c>
      <c r="D23" s="10" t="s">
        <v>40</v>
      </c>
      <c r="E23" s="10" t="s">
        <v>41</v>
      </c>
      <c r="F23" s="10">
        <v>5</v>
      </c>
      <c r="G23" s="10" t="s">
        <v>25</v>
      </c>
      <c r="H23" s="10" t="s">
        <v>288</v>
      </c>
      <c r="I23" s="10" t="s">
        <v>30</v>
      </c>
      <c r="J23" s="10" t="s">
        <v>52</v>
      </c>
      <c r="K23" s="8">
        <f t="shared" si="1"/>
        <v>1</v>
      </c>
      <c r="L23" s="8">
        <f t="shared" si="2"/>
        <v>0</v>
      </c>
      <c r="M23" s="8">
        <f t="shared" si="3"/>
        <v>0</v>
      </c>
      <c r="N23" s="8">
        <f t="shared" si="4"/>
        <v>0</v>
      </c>
      <c r="O23" s="45">
        <f t="shared" si="5"/>
        <v>25</v>
      </c>
      <c r="P23" s="45">
        <f t="shared" si="6"/>
        <v>59.375</v>
      </c>
      <c r="Q23" s="10" t="s">
        <v>294</v>
      </c>
      <c r="R23" t="s">
        <v>295</v>
      </c>
      <c r="S23" t="s">
        <v>274</v>
      </c>
      <c r="T23" s="41">
        <v>46336</v>
      </c>
      <c r="U23" t="s">
        <v>281</v>
      </c>
    </row>
    <row r="24" spans="1:21" ht="15" customHeight="1" x14ac:dyDescent="0.25">
      <c r="A24" s="8">
        <f t="shared" si="0"/>
        <v>23</v>
      </c>
      <c r="B24" s="44">
        <v>46180</v>
      </c>
      <c r="C24" s="10" t="s">
        <v>254</v>
      </c>
      <c r="D24" s="10" t="s">
        <v>249</v>
      </c>
      <c r="E24" s="10" t="s">
        <v>289</v>
      </c>
      <c r="F24" s="10">
        <v>6</v>
      </c>
      <c r="G24" s="10" t="s">
        <v>25</v>
      </c>
      <c r="H24" s="10" t="s">
        <v>292</v>
      </c>
      <c r="I24" s="10" t="s">
        <v>25</v>
      </c>
      <c r="J24" s="10" t="s">
        <v>14</v>
      </c>
      <c r="K24" s="8">
        <f t="shared" si="1"/>
        <v>1</v>
      </c>
      <c r="L24" s="8">
        <f t="shared" si="2"/>
        <v>0.5</v>
      </c>
      <c r="M24" s="8">
        <f t="shared" si="3"/>
        <v>1</v>
      </c>
      <c r="N24" s="8">
        <f t="shared" si="4"/>
        <v>1</v>
      </c>
      <c r="O24" s="45">
        <f t="shared" si="5"/>
        <v>88</v>
      </c>
      <c r="P24" s="45">
        <f t="shared" si="6"/>
        <v>62.75</v>
      </c>
      <c r="Q24" s="10" t="s">
        <v>296</v>
      </c>
      <c r="R24" t="s">
        <v>297</v>
      </c>
      <c r="S24" t="s">
        <v>276</v>
      </c>
      <c r="T24" s="41">
        <v>46276</v>
      </c>
      <c r="U24" t="s">
        <v>273</v>
      </c>
    </row>
    <row r="25" spans="1:21" ht="15" customHeight="1" x14ac:dyDescent="0.25">
      <c r="A25" s="8">
        <f t="shared" si="0"/>
        <v>24</v>
      </c>
      <c r="B25" s="44">
        <v>46211</v>
      </c>
      <c r="C25" s="10" t="s">
        <v>257</v>
      </c>
      <c r="D25" s="10" t="s">
        <v>252</v>
      </c>
      <c r="E25" s="10" t="s">
        <v>290</v>
      </c>
      <c r="F25" s="10">
        <v>7</v>
      </c>
      <c r="G25" s="10" t="s">
        <v>25</v>
      </c>
      <c r="H25" s="10" t="s">
        <v>42</v>
      </c>
      <c r="I25" s="10" t="s">
        <v>30</v>
      </c>
      <c r="J25" s="10" t="s">
        <v>14</v>
      </c>
      <c r="K25" s="8">
        <f t="shared" si="1"/>
        <v>1</v>
      </c>
      <c r="L25" s="8">
        <f t="shared" si="2"/>
        <v>1</v>
      </c>
      <c r="M25" s="8">
        <f t="shared" si="3"/>
        <v>0</v>
      </c>
      <c r="N25" s="8">
        <f t="shared" si="4"/>
        <v>1</v>
      </c>
      <c r="O25" s="45">
        <f t="shared" si="5"/>
        <v>75</v>
      </c>
      <c r="P25" s="45">
        <f t="shared" si="6"/>
        <v>59.375</v>
      </c>
      <c r="Q25" s="10" t="s">
        <v>294</v>
      </c>
      <c r="R25" t="s">
        <v>299</v>
      </c>
      <c r="S25" t="s">
        <v>277</v>
      </c>
      <c r="T25" s="41">
        <v>46307</v>
      </c>
      <c r="U25" t="s">
        <v>278</v>
      </c>
    </row>
    <row r="26" spans="1:21" ht="15" customHeight="1" x14ac:dyDescent="0.25">
      <c r="A26" s="8">
        <f t="shared" si="0"/>
        <v>25</v>
      </c>
      <c r="B26" s="44">
        <v>46243</v>
      </c>
      <c r="C26" s="10" t="s">
        <v>260</v>
      </c>
      <c r="D26" s="10" t="s">
        <v>255</v>
      </c>
      <c r="E26" s="10" t="s">
        <v>291</v>
      </c>
      <c r="F26" s="10">
        <v>8</v>
      </c>
      <c r="G26" s="10" t="s">
        <v>25</v>
      </c>
      <c r="H26" s="10" t="s">
        <v>42</v>
      </c>
      <c r="I26" s="10" t="s">
        <v>25</v>
      </c>
      <c r="J26" s="10" t="s">
        <v>14</v>
      </c>
      <c r="K26" s="8">
        <f t="shared" si="1"/>
        <v>1</v>
      </c>
      <c r="L26" s="8">
        <f t="shared" si="2"/>
        <v>1</v>
      </c>
      <c r="M26" s="8">
        <f t="shared" si="3"/>
        <v>1</v>
      </c>
      <c r="N26" s="8">
        <f t="shared" si="4"/>
        <v>1</v>
      </c>
      <c r="O26" s="45">
        <f t="shared" si="5"/>
        <v>100</v>
      </c>
      <c r="P26" s="45">
        <f t="shared" si="6"/>
        <v>90.625</v>
      </c>
      <c r="Q26" s="10" t="s">
        <v>296</v>
      </c>
      <c r="R26" t="s">
        <v>297</v>
      </c>
      <c r="S26" t="s">
        <v>280</v>
      </c>
      <c r="T26" s="41">
        <v>46339</v>
      </c>
      <c r="U26" t="s">
        <v>273</v>
      </c>
    </row>
    <row r="27" spans="1:21" ht="15" customHeight="1" x14ac:dyDescent="0.25">
      <c r="A27" s="8">
        <f t="shared" si="0"/>
        <v>26</v>
      </c>
      <c r="B27" s="44">
        <v>46183</v>
      </c>
      <c r="C27" s="10" t="s">
        <v>22</v>
      </c>
      <c r="D27" s="10" t="s">
        <v>258</v>
      </c>
      <c r="E27" s="10" t="s">
        <v>293</v>
      </c>
      <c r="F27" s="10">
        <v>1</v>
      </c>
      <c r="G27" s="10" t="s">
        <v>25</v>
      </c>
      <c r="H27" s="10" t="s">
        <v>292</v>
      </c>
      <c r="I27" s="10" t="s">
        <v>30</v>
      </c>
      <c r="J27" s="10" t="s">
        <v>52</v>
      </c>
      <c r="K27" s="8">
        <f t="shared" si="1"/>
        <v>1</v>
      </c>
      <c r="L27" s="8">
        <f t="shared" si="2"/>
        <v>0.5</v>
      </c>
      <c r="M27" s="8">
        <f t="shared" si="3"/>
        <v>0</v>
      </c>
      <c r="N27" s="8">
        <f t="shared" si="4"/>
        <v>0</v>
      </c>
      <c r="O27" s="45">
        <f t="shared" si="5"/>
        <v>38</v>
      </c>
      <c r="P27" s="45">
        <f t="shared" si="6"/>
        <v>39.111111111111114</v>
      </c>
      <c r="Q27" s="10" t="s">
        <v>294</v>
      </c>
      <c r="R27" t="s">
        <v>295</v>
      </c>
      <c r="S27" t="s">
        <v>268</v>
      </c>
      <c r="T27" s="41">
        <v>46279</v>
      </c>
      <c r="U27" t="s">
        <v>269</v>
      </c>
    </row>
    <row r="28" spans="1:21" ht="15" customHeight="1" x14ac:dyDescent="0.25">
      <c r="A28" s="8">
        <f t="shared" si="0"/>
        <v>27</v>
      </c>
      <c r="B28" s="44">
        <v>46214</v>
      </c>
      <c r="C28" s="10" t="s">
        <v>248</v>
      </c>
      <c r="D28" s="10" t="s">
        <v>261</v>
      </c>
      <c r="E28" s="10" t="s">
        <v>41</v>
      </c>
      <c r="F28" s="10">
        <v>2</v>
      </c>
      <c r="G28" s="10" t="s">
        <v>25</v>
      </c>
      <c r="H28" s="10" t="s">
        <v>288</v>
      </c>
      <c r="I28" s="10" t="s">
        <v>25</v>
      </c>
      <c r="J28" s="10" t="s">
        <v>14</v>
      </c>
      <c r="K28" s="8">
        <f t="shared" si="1"/>
        <v>1</v>
      </c>
      <c r="L28" s="8">
        <f t="shared" si="2"/>
        <v>0</v>
      </c>
      <c r="M28" s="8">
        <f t="shared" si="3"/>
        <v>1</v>
      </c>
      <c r="N28" s="8">
        <f t="shared" si="4"/>
        <v>1</v>
      </c>
      <c r="O28" s="45">
        <f t="shared" si="5"/>
        <v>75</v>
      </c>
      <c r="P28" s="45">
        <f t="shared" si="6"/>
        <v>92.5</v>
      </c>
      <c r="Q28" s="10" t="s">
        <v>294</v>
      </c>
      <c r="R28" t="s">
        <v>298</v>
      </c>
      <c r="S28" t="s">
        <v>272</v>
      </c>
      <c r="T28" s="41">
        <v>46310</v>
      </c>
      <c r="U28" t="s">
        <v>278</v>
      </c>
    </row>
    <row r="29" spans="1:21" ht="15" customHeight="1" x14ac:dyDescent="0.25">
      <c r="A29" s="8">
        <f t="shared" si="0"/>
        <v>28</v>
      </c>
      <c r="B29" s="44">
        <v>46246</v>
      </c>
      <c r="C29" s="10" t="s">
        <v>251</v>
      </c>
      <c r="D29" s="10" t="s">
        <v>262</v>
      </c>
      <c r="E29" s="10" t="s">
        <v>289</v>
      </c>
      <c r="F29" s="10">
        <v>3</v>
      </c>
      <c r="G29" s="10" t="s">
        <v>25</v>
      </c>
      <c r="H29" s="10" t="s">
        <v>42</v>
      </c>
      <c r="I29" s="10" t="s">
        <v>25</v>
      </c>
      <c r="J29" s="10" t="s">
        <v>26</v>
      </c>
      <c r="K29" s="8">
        <f t="shared" si="1"/>
        <v>1</v>
      </c>
      <c r="L29" s="8">
        <f t="shared" si="2"/>
        <v>1</v>
      </c>
      <c r="M29" s="8">
        <f t="shared" si="3"/>
        <v>1</v>
      </c>
      <c r="N29" s="8">
        <f t="shared" si="4"/>
        <v>-1</v>
      </c>
      <c r="O29" s="45">
        <f t="shared" si="5"/>
        <v>50</v>
      </c>
      <c r="P29" s="45">
        <f t="shared" si="6"/>
        <v>59.375</v>
      </c>
      <c r="Q29" s="10" t="s">
        <v>294</v>
      </c>
      <c r="R29" t="s">
        <v>299</v>
      </c>
      <c r="S29" t="s">
        <v>274</v>
      </c>
      <c r="T29" s="41">
        <v>46342</v>
      </c>
      <c r="U29" t="s">
        <v>281</v>
      </c>
    </row>
    <row r="30" spans="1:21" ht="15" customHeight="1" x14ac:dyDescent="0.25">
      <c r="A30" s="8">
        <f t="shared" si="0"/>
        <v>29</v>
      </c>
      <c r="B30" s="44">
        <v>46186</v>
      </c>
      <c r="C30" s="10" t="s">
        <v>254</v>
      </c>
      <c r="D30" s="10" t="s">
        <v>263</v>
      </c>
      <c r="E30" s="10" t="s">
        <v>290</v>
      </c>
      <c r="F30" s="10">
        <v>4</v>
      </c>
      <c r="G30" s="10" t="s">
        <v>30</v>
      </c>
      <c r="H30" s="10" t="s">
        <v>288</v>
      </c>
      <c r="I30" s="10" t="s">
        <v>25</v>
      </c>
      <c r="J30" s="10" t="s">
        <v>14</v>
      </c>
      <c r="K30" s="8">
        <f t="shared" si="1"/>
        <v>0</v>
      </c>
      <c r="L30" s="8">
        <f t="shared" si="2"/>
        <v>0</v>
      </c>
      <c r="M30" s="8">
        <f t="shared" si="3"/>
        <v>1</v>
      </c>
      <c r="N30" s="8">
        <f t="shared" si="4"/>
        <v>1</v>
      </c>
      <c r="O30" s="45">
        <f t="shared" si="5"/>
        <v>50</v>
      </c>
      <c r="P30" s="45">
        <f t="shared" si="6"/>
        <v>62.75</v>
      </c>
      <c r="Q30" s="10" t="s">
        <v>294</v>
      </c>
      <c r="R30" t="s">
        <v>300</v>
      </c>
      <c r="S30" t="s">
        <v>276</v>
      </c>
      <c r="T30" s="41">
        <v>46282</v>
      </c>
      <c r="U30" t="s">
        <v>269</v>
      </c>
    </row>
    <row r="31" spans="1:21" ht="15" customHeight="1" x14ac:dyDescent="0.25">
      <c r="A31" s="8">
        <f t="shared" si="0"/>
        <v>30</v>
      </c>
      <c r="B31" s="44">
        <v>46217</v>
      </c>
      <c r="C31" s="10" t="s">
        <v>257</v>
      </c>
      <c r="D31" s="10" t="s">
        <v>264</v>
      </c>
      <c r="E31" s="10" t="s">
        <v>291</v>
      </c>
      <c r="F31" s="10">
        <v>5</v>
      </c>
      <c r="G31" s="10" t="s">
        <v>30</v>
      </c>
      <c r="H31" s="10" t="s">
        <v>288</v>
      </c>
      <c r="I31" s="10" t="s">
        <v>30</v>
      </c>
      <c r="J31" s="10" t="s">
        <v>52</v>
      </c>
      <c r="K31" s="8">
        <f t="shared" si="1"/>
        <v>0</v>
      </c>
      <c r="L31" s="8">
        <f t="shared" si="2"/>
        <v>0</v>
      </c>
      <c r="M31" s="8">
        <f t="shared" si="3"/>
        <v>0</v>
      </c>
      <c r="N31" s="8">
        <f t="shared" si="4"/>
        <v>0</v>
      </c>
      <c r="O31" s="45">
        <f t="shared" si="5"/>
        <v>0</v>
      </c>
      <c r="P31" s="45">
        <f t="shared" si="6"/>
        <v>59.375</v>
      </c>
      <c r="Q31" s="10" t="s">
        <v>294</v>
      </c>
      <c r="R31" t="s">
        <v>295</v>
      </c>
      <c r="S31" t="s">
        <v>277</v>
      </c>
      <c r="T31" s="41">
        <v>46313</v>
      </c>
      <c r="U31" t="s">
        <v>278</v>
      </c>
    </row>
    <row r="32" spans="1:21" ht="15" customHeight="1" x14ac:dyDescent="0.25">
      <c r="A32" s="8">
        <f t="shared" si="0"/>
        <v>31</v>
      </c>
      <c r="B32" s="44">
        <v>46249</v>
      </c>
      <c r="C32" s="10" t="s">
        <v>260</v>
      </c>
      <c r="D32" s="10" t="s">
        <v>265</v>
      </c>
      <c r="E32" s="10" t="s">
        <v>293</v>
      </c>
      <c r="F32" s="10">
        <v>6</v>
      </c>
      <c r="G32" s="10" t="s">
        <v>25</v>
      </c>
      <c r="H32" s="10" t="s">
        <v>42</v>
      </c>
      <c r="I32" s="10" t="s">
        <v>25</v>
      </c>
      <c r="J32" s="10" t="s">
        <v>14</v>
      </c>
      <c r="K32" s="8">
        <f t="shared" si="1"/>
        <v>1</v>
      </c>
      <c r="L32" s="8">
        <f t="shared" si="2"/>
        <v>1</v>
      </c>
      <c r="M32" s="8">
        <f t="shared" si="3"/>
        <v>1</v>
      </c>
      <c r="N32" s="8">
        <f t="shared" si="4"/>
        <v>1</v>
      </c>
      <c r="O32" s="45">
        <f t="shared" si="5"/>
        <v>100</v>
      </c>
      <c r="P32" s="45">
        <f t="shared" si="6"/>
        <v>90.625</v>
      </c>
      <c r="Q32" s="10" t="s">
        <v>296</v>
      </c>
      <c r="R32" t="s">
        <v>297</v>
      </c>
      <c r="S32" t="s">
        <v>280</v>
      </c>
      <c r="T32" s="41">
        <v>46345</v>
      </c>
      <c r="U32" t="s">
        <v>273</v>
      </c>
    </row>
    <row r="33" spans="1:21" ht="15" customHeight="1" x14ac:dyDescent="0.25">
      <c r="A33" s="8">
        <f t="shared" si="0"/>
        <v>32</v>
      </c>
      <c r="B33" s="44">
        <v>46189</v>
      </c>
      <c r="C33" s="10" t="s">
        <v>22</v>
      </c>
      <c r="D33" s="10" t="s">
        <v>40</v>
      </c>
      <c r="E33" s="10" t="s">
        <v>41</v>
      </c>
      <c r="F33" s="10">
        <v>7</v>
      </c>
      <c r="G33" s="10" t="s">
        <v>25</v>
      </c>
      <c r="H33" s="10" t="s">
        <v>288</v>
      </c>
      <c r="I33" s="10" t="s">
        <v>25</v>
      </c>
      <c r="J33" s="10" t="s">
        <v>14</v>
      </c>
      <c r="K33" s="8">
        <f t="shared" si="1"/>
        <v>1</v>
      </c>
      <c r="L33" s="8">
        <f t="shared" si="2"/>
        <v>0</v>
      </c>
      <c r="M33" s="8">
        <f t="shared" si="3"/>
        <v>1</v>
      </c>
      <c r="N33" s="8">
        <f t="shared" si="4"/>
        <v>1</v>
      </c>
      <c r="O33" s="45">
        <f t="shared" si="5"/>
        <v>75</v>
      </c>
      <c r="P33" s="45">
        <f t="shared" si="6"/>
        <v>39.111111111111114</v>
      </c>
      <c r="Q33" s="10" t="s">
        <v>294</v>
      </c>
      <c r="R33" t="s">
        <v>299</v>
      </c>
      <c r="S33" t="s">
        <v>268</v>
      </c>
      <c r="T33" s="41">
        <v>46285</v>
      </c>
      <c r="U33" t="s">
        <v>269</v>
      </c>
    </row>
    <row r="34" spans="1:21" ht="15" customHeight="1" x14ac:dyDescent="0.25">
      <c r="A34" s="8">
        <f t="shared" ref="A34:A65" si="7">IF(B34="","",ROW()-1)</f>
        <v>33</v>
      </c>
      <c r="B34" s="44">
        <v>46220</v>
      </c>
      <c r="C34" s="10" t="s">
        <v>248</v>
      </c>
      <c r="D34" s="10" t="s">
        <v>249</v>
      </c>
      <c r="E34" s="10" t="s">
        <v>289</v>
      </c>
      <c r="F34" s="10">
        <v>8</v>
      </c>
      <c r="G34" s="10" t="s">
        <v>25</v>
      </c>
      <c r="H34" s="10" t="s">
        <v>42</v>
      </c>
      <c r="I34" s="10" t="s">
        <v>25</v>
      </c>
      <c r="J34" s="10" t="s">
        <v>14</v>
      </c>
      <c r="K34" s="8">
        <f t="shared" ref="K34:K65" si="8">IF(G34="","",IF(G34="SIM",1,0))</f>
        <v>1</v>
      </c>
      <c r="L34" s="8">
        <f t="shared" ref="L34:L65" si="9">IF(H34="","",IF(H34="Automático",1,IF(H34="Manual",0.5,IF(H34="Não atualizado",0,""))))</f>
        <v>1</v>
      </c>
      <c r="M34" s="8">
        <f t="shared" ref="M34:M65" si="10">IF(I34="","",IF(I34="SIM",1,0))</f>
        <v>1</v>
      </c>
      <c r="N34" s="8">
        <f t="shared" ref="N34:N65" si="11">IF(J34="","",IF(J34="Conformidade",1,IF(J34="Não Conformidade",0,IF(J34="Não Conformidade Grave",-1,""))))</f>
        <v>1</v>
      </c>
      <c r="O34" s="45">
        <f t="shared" ref="O34:O65" si="12">IF(COUNTA(G34:J34)=0,"",ROUND(AVERAGE(K34:N34)*100,0))</f>
        <v>100</v>
      </c>
      <c r="P34" s="45">
        <f t="shared" ref="P34:P65" si="13">IFERROR(AVERAGEIF(C$2:C$201,C34,O$2:O$201),"N/A")</f>
        <v>92.5</v>
      </c>
      <c r="Q34" s="10" t="s">
        <v>296</v>
      </c>
      <c r="R34" t="s">
        <v>297</v>
      </c>
      <c r="S34" t="s">
        <v>272</v>
      </c>
      <c r="T34" s="41">
        <v>46316</v>
      </c>
      <c r="U34" t="s">
        <v>273</v>
      </c>
    </row>
    <row r="35" spans="1:21" ht="15" customHeight="1" x14ac:dyDescent="0.25">
      <c r="A35" s="8">
        <f t="shared" si="7"/>
        <v>34</v>
      </c>
      <c r="B35" s="44">
        <v>46252</v>
      </c>
      <c r="C35" s="10" t="s">
        <v>251</v>
      </c>
      <c r="D35" s="10" t="s">
        <v>252</v>
      </c>
      <c r="E35" s="10" t="s">
        <v>290</v>
      </c>
      <c r="F35" s="10">
        <v>1</v>
      </c>
      <c r="G35" s="10" t="s">
        <v>25</v>
      </c>
      <c r="H35" s="10" t="s">
        <v>42</v>
      </c>
      <c r="I35" s="10" t="s">
        <v>30</v>
      </c>
      <c r="J35" s="10" t="s">
        <v>52</v>
      </c>
      <c r="K35" s="8">
        <f t="shared" si="8"/>
        <v>1</v>
      </c>
      <c r="L35" s="8">
        <f t="shared" si="9"/>
        <v>1</v>
      </c>
      <c r="M35" s="8">
        <f t="shared" si="10"/>
        <v>0</v>
      </c>
      <c r="N35" s="8">
        <f t="shared" si="11"/>
        <v>0</v>
      </c>
      <c r="O35" s="45">
        <f t="shared" si="12"/>
        <v>50</v>
      </c>
      <c r="P35" s="45">
        <f t="shared" si="13"/>
        <v>59.375</v>
      </c>
      <c r="Q35" s="10" t="s">
        <v>294</v>
      </c>
      <c r="R35" t="s">
        <v>295</v>
      </c>
      <c r="S35" t="s">
        <v>274</v>
      </c>
      <c r="T35" s="41">
        <v>46348</v>
      </c>
      <c r="U35" t="s">
        <v>281</v>
      </c>
    </row>
    <row r="36" spans="1:21" ht="15" customHeight="1" x14ac:dyDescent="0.25">
      <c r="A36" s="8">
        <f t="shared" si="7"/>
        <v>35</v>
      </c>
      <c r="B36" s="44">
        <v>46192</v>
      </c>
      <c r="C36" s="10" t="s">
        <v>254</v>
      </c>
      <c r="D36" s="10" t="s">
        <v>255</v>
      </c>
      <c r="E36" s="10" t="s">
        <v>291</v>
      </c>
      <c r="F36" s="10">
        <v>2</v>
      </c>
      <c r="G36" s="10" t="s">
        <v>25</v>
      </c>
      <c r="H36" s="10" t="s">
        <v>292</v>
      </c>
      <c r="I36" s="10" t="s">
        <v>30</v>
      </c>
      <c r="J36" s="10" t="s">
        <v>14</v>
      </c>
      <c r="K36" s="8">
        <f t="shared" si="8"/>
        <v>1</v>
      </c>
      <c r="L36" s="8">
        <f t="shared" si="9"/>
        <v>0.5</v>
      </c>
      <c r="M36" s="8">
        <f t="shared" si="10"/>
        <v>0</v>
      </c>
      <c r="N36" s="8">
        <f t="shared" si="11"/>
        <v>1</v>
      </c>
      <c r="O36" s="45">
        <f t="shared" si="12"/>
        <v>63</v>
      </c>
      <c r="P36" s="45">
        <f t="shared" si="13"/>
        <v>62.75</v>
      </c>
      <c r="Q36" s="10" t="s">
        <v>294</v>
      </c>
      <c r="R36" t="s">
        <v>298</v>
      </c>
      <c r="S36" t="s">
        <v>276</v>
      </c>
      <c r="T36" s="41">
        <v>46288</v>
      </c>
      <c r="U36" t="s">
        <v>269</v>
      </c>
    </row>
    <row r="37" spans="1:21" ht="15" customHeight="1" x14ac:dyDescent="0.25">
      <c r="A37" s="8">
        <f t="shared" si="7"/>
        <v>36</v>
      </c>
      <c r="B37" s="44">
        <v>46223</v>
      </c>
      <c r="C37" s="10" t="s">
        <v>257</v>
      </c>
      <c r="D37" s="10" t="s">
        <v>258</v>
      </c>
      <c r="E37" s="10" t="s">
        <v>293</v>
      </c>
      <c r="F37" s="10">
        <v>3</v>
      </c>
      <c r="G37" s="10" t="s">
        <v>25</v>
      </c>
      <c r="H37" s="10" t="s">
        <v>42</v>
      </c>
      <c r="I37" s="10" t="s">
        <v>25</v>
      </c>
      <c r="J37" s="10" t="s">
        <v>14</v>
      </c>
      <c r="K37" s="8">
        <f t="shared" si="8"/>
        <v>1</v>
      </c>
      <c r="L37" s="8">
        <f t="shared" si="9"/>
        <v>1</v>
      </c>
      <c r="M37" s="8">
        <f t="shared" si="10"/>
        <v>1</v>
      </c>
      <c r="N37" s="8">
        <f t="shared" si="11"/>
        <v>1</v>
      </c>
      <c r="O37" s="45">
        <f t="shared" si="12"/>
        <v>100</v>
      </c>
      <c r="P37" s="45">
        <f t="shared" si="13"/>
        <v>59.375</v>
      </c>
      <c r="Q37" s="10" t="s">
        <v>296</v>
      </c>
      <c r="R37" t="s">
        <v>297</v>
      </c>
      <c r="S37" t="s">
        <v>277</v>
      </c>
      <c r="T37" s="41">
        <v>46319</v>
      </c>
      <c r="U37" t="s">
        <v>273</v>
      </c>
    </row>
    <row r="38" spans="1:21" ht="15" customHeight="1" x14ac:dyDescent="0.25">
      <c r="A38" s="8">
        <f t="shared" si="7"/>
        <v>37</v>
      </c>
      <c r="B38" s="44">
        <v>46255</v>
      </c>
      <c r="C38" s="10" t="s">
        <v>260</v>
      </c>
      <c r="D38" s="10" t="s">
        <v>261</v>
      </c>
      <c r="E38" s="10" t="s">
        <v>41</v>
      </c>
      <c r="F38" s="10">
        <v>4</v>
      </c>
      <c r="G38" s="10" t="s">
        <v>25</v>
      </c>
      <c r="H38" s="10" t="s">
        <v>288</v>
      </c>
      <c r="I38" s="10" t="s">
        <v>25</v>
      </c>
      <c r="J38" s="10" t="s">
        <v>14</v>
      </c>
      <c r="K38" s="8">
        <f t="shared" si="8"/>
        <v>1</v>
      </c>
      <c r="L38" s="8">
        <f t="shared" si="9"/>
        <v>0</v>
      </c>
      <c r="M38" s="8">
        <f t="shared" si="10"/>
        <v>1</v>
      </c>
      <c r="N38" s="8">
        <f t="shared" si="11"/>
        <v>1</v>
      </c>
      <c r="O38" s="45">
        <f t="shared" si="12"/>
        <v>75</v>
      </c>
      <c r="P38" s="45">
        <f t="shared" si="13"/>
        <v>90.625</v>
      </c>
      <c r="Q38" s="10" t="s">
        <v>294</v>
      </c>
      <c r="R38" t="s">
        <v>300</v>
      </c>
      <c r="S38" t="s">
        <v>280</v>
      </c>
      <c r="T38" s="41">
        <v>46351</v>
      </c>
      <c r="U38" t="s">
        <v>281</v>
      </c>
    </row>
    <row r="39" spans="1:21" ht="15" customHeight="1" x14ac:dyDescent="0.25">
      <c r="A39" s="8">
        <f t="shared" si="7"/>
        <v>38</v>
      </c>
      <c r="B39" s="44">
        <v>46195</v>
      </c>
      <c r="C39" s="10" t="s">
        <v>22</v>
      </c>
      <c r="D39" s="10" t="s">
        <v>262</v>
      </c>
      <c r="E39" s="10" t="s">
        <v>289</v>
      </c>
      <c r="F39" s="10">
        <v>5</v>
      </c>
      <c r="G39" s="10" t="s">
        <v>30</v>
      </c>
      <c r="H39" s="10" t="s">
        <v>288</v>
      </c>
      <c r="I39" s="10" t="s">
        <v>30</v>
      </c>
      <c r="J39" s="10" t="s">
        <v>52</v>
      </c>
      <c r="K39" s="8">
        <f t="shared" si="8"/>
        <v>0</v>
      </c>
      <c r="L39" s="8">
        <f t="shared" si="9"/>
        <v>0</v>
      </c>
      <c r="M39" s="8">
        <f t="shared" si="10"/>
        <v>0</v>
      </c>
      <c r="N39" s="8">
        <f t="shared" si="11"/>
        <v>0</v>
      </c>
      <c r="O39" s="45">
        <f t="shared" si="12"/>
        <v>0</v>
      </c>
      <c r="P39" s="45">
        <f t="shared" si="13"/>
        <v>39.111111111111114</v>
      </c>
      <c r="Q39" s="10" t="s">
        <v>294</v>
      </c>
      <c r="R39" t="s">
        <v>295</v>
      </c>
      <c r="S39" t="s">
        <v>268</v>
      </c>
      <c r="T39" s="41">
        <v>46273</v>
      </c>
      <c r="U39" t="s">
        <v>269</v>
      </c>
    </row>
    <row r="40" spans="1:21" ht="15" customHeight="1" x14ac:dyDescent="0.25">
      <c r="A40" s="8">
        <f t="shared" si="7"/>
        <v>39</v>
      </c>
      <c r="B40" s="44">
        <v>46226</v>
      </c>
      <c r="C40" s="10" t="s">
        <v>248</v>
      </c>
      <c r="D40" s="10" t="s">
        <v>263</v>
      </c>
      <c r="E40" s="10" t="s">
        <v>290</v>
      </c>
      <c r="F40" s="10">
        <v>6</v>
      </c>
      <c r="G40" s="10" t="s">
        <v>25</v>
      </c>
      <c r="H40" s="10" t="s">
        <v>42</v>
      </c>
      <c r="I40" s="10" t="s">
        <v>25</v>
      </c>
      <c r="J40" s="10" t="s">
        <v>14</v>
      </c>
      <c r="K40" s="8">
        <f t="shared" si="8"/>
        <v>1</v>
      </c>
      <c r="L40" s="8">
        <f t="shared" si="9"/>
        <v>1</v>
      </c>
      <c r="M40" s="8">
        <f t="shared" si="10"/>
        <v>1</v>
      </c>
      <c r="N40" s="8">
        <f t="shared" si="11"/>
        <v>1</v>
      </c>
      <c r="O40" s="45">
        <f t="shared" si="12"/>
        <v>100</v>
      </c>
      <c r="P40" s="45">
        <f t="shared" si="13"/>
        <v>92.5</v>
      </c>
      <c r="Q40" s="10" t="s">
        <v>296</v>
      </c>
      <c r="R40" t="s">
        <v>297</v>
      </c>
      <c r="S40" t="s">
        <v>272</v>
      </c>
      <c r="T40" s="41">
        <v>46304</v>
      </c>
      <c r="U40" t="s">
        <v>273</v>
      </c>
    </row>
    <row r="41" spans="1:21" ht="15" customHeight="1" x14ac:dyDescent="0.25">
      <c r="A41" s="8">
        <f t="shared" si="7"/>
        <v>40</v>
      </c>
      <c r="B41" s="44">
        <v>46258</v>
      </c>
      <c r="C41" s="10" t="s">
        <v>251</v>
      </c>
      <c r="D41" s="10" t="s">
        <v>264</v>
      </c>
      <c r="E41" s="10" t="s">
        <v>291</v>
      </c>
      <c r="F41" s="10">
        <v>7</v>
      </c>
      <c r="G41" s="10" t="s">
        <v>25</v>
      </c>
      <c r="H41" s="10" t="s">
        <v>42</v>
      </c>
      <c r="I41" s="10" t="s">
        <v>25</v>
      </c>
      <c r="J41" s="10" t="s">
        <v>14</v>
      </c>
      <c r="K41" s="8">
        <f t="shared" si="8"/>
        <v>1</v>
      </c>
      <c r="L41" s="8">
        <f t="shared" si="9"/>
        <v>1</v>
      </c>
      <c r="M41" s="8">
        <f t="shared" si="10"/>
        <v>1</v>
      </c>
      <c r="N41" s="8">
        <f t="shared" si="11"/>
        <v>1</v>
      </c>
      <c r="O41" s="45">
        <f t="shared" si="12"/>
        <v>100</v>
      </c>
      <c r="P41" s="45">
        <f t="shared" si="13"/>
        <v>59.375</v>
      </c>
      <c r="Q41" s="10" t="s">
        <v>296</v>
      </c>
      <c r="R41" t="s">
        <v>297</v>
      </c>
      <c r="S41" t="s">
        <v>274</v>
      </c>
      <c r="T41" s="41">
        <v>46336</v>
      </c>
      <c r="U41" t="s">
        <v>273</v>
      </c>
    </row>
    <row r="42" spans="1:21" ht="15" customHeight="1" x14ac:dyDescent="0.25">
      <c r="A42" s="8">
        <f t="shared" si="7"/>
        <v>41</v>
      </c>
      <c r="B42" s="44">
        <v>46198</v>
      </c>
      <c r="C42" s="10" t="s">
        <v>254</v>
      </c>
      <c r="D42" s="10" t="s">
        <v>265</v>
      </c>
      <c r="E42" s="10" t="s">
        <v>293</v>
      </c>
      <c r="F42" s="10">
        <v>8</v>
      </c>
      <c r="G42" s="10" t="s">
        <v>25</v>
      </c>
      <c r="H42" s="10" t="s">
        <v>292</v>
      </c>
      <c r="I42" s="10" t="s">
        <v>25</v>
      </c>
      <c r="J42" s="10" t="s">
        <v>26</v>
      </c>
      <c r="K42" s="8">
        <f t="shared" si="8"/>
        <v>1</v>
      </c>
      <c r="L42" s="8">
        <f t="shared" si="9"/>
        <v>0.5</v>
      </c>
      <c r="M42" s="8">
        <f t="shared" si="10"/>
        <v>1</v>
      </c>
      <c r="N42" s="8">
        <f t="shared" si="11"/>
        <v>-1</v>
      </c>
      <c r="O42" s="45">
        <f t="shared" si="12"/>
        <v>38</v>
      </c>
      <c r="P42" s="45">
        <f t="shared" si="13"/>
        <v>62.75</v>
      </c>
      <c r="Q42" s="10" t="s">
        <v>294</v>
      </c>
      <c r="R42" t="s">
        <v>300</v>
      </c>
      <c r="S42" t="s">
        <v>276</v>
      </c>
      <c r="T42" s="41">
        <v>46276</v>
      </c>
      <c r="U42" t="s">
        <v>269</v>
      </c>
    </row>
    <row r="43" spans="1:21" ht="15" customHeight="1" x14ac:dyDescent="0.25">
      <c r="A43" s="8">
        <f t="shared" si="7"/>
        <v>42</v>
      </c>
      <c r="B43" s="44">
        <v>46209</v>
      </c>
      <c r="C43" s="10" t="s">
        <v>257</v>
      </c>
      <c r="D43" s="10" t="s">
        <v>40</v>
      </c>
      <c r="E43" s="10" t="s">
        <v>41</v>
      </c>
      <c r="F43" s="10">
        <v>1</v>
      </c>
      <c r="G43" s="10" t="s">
        <v>25</v>
      </c>
      <c r="H43" s="10" t="s">
        <v>288</v>
      </c>
      <c r="I43" s="10" t="s">
        <v>30</v>
      </c>
      <c r="J43" s="10" t="s">
        <v>52</v>
      </c>
      <c r="K43" s="8">
        <f t="shared" si="8"/>
        <v>1</v>
      </c>
      <c r="L43" s="8">
        <f t="shared" si="9"/>
        <v>0</v>
      </c>
      <c r="M43" s="8">
        <f t="shared" si="10"/>
        <v>0</v>
      </c>
      <c r="N43" s="8">
        <f t="shared" si="11"/>
        <v>0</v>
      </c>
      <c r="O43" s="45">
        <f t="shared" si="12"/>
        <v>25</v>
      </c>
      <c r="P43" s="45">
        <f t="shared" si="13"/>
        <v>59.375</v>
      </c>
      <c r="Q43" s="10" t="s">
        <v>294</v>
      </c>
      <c r="R43" t="s">
        <v>295</v>
      </c>
      <c r="S43" t="s">
        <v>277</v>
      </c>
      <c r="T43" s="41">
        <v>46307</v>
      </c>
      <c r="U43" t="s">
        <v>278</v>
      </c>
    </row>
    <row r="44" spans="1:21" ht="15" customHeight="1" x14ac:dyDescent="0.25">
      <c r="A44" s="8">
        <f t="shared" si="7"/>
        <v>43</v>
      </c>
      <c r="B44" s="44">
        <v>46241</v>
      </c>
      <c r="C44" s="10" t="s">
        <v>260</v>
      </c>
      <c r="D44" s="10" t="s">
        <v>249</v>
      </c>
      <c r="E44" s="10" t="s">
        <v>289</v>
      </c>
      <c r="F44" s="10">
        <v>2</v>
      </c>
      <c r="G44" s="10" t="s">
        <v>25</v>
      </c>
      <c r="H44" s="10" t="s">
        <v>42</v>
      </c>
      <c r="I44" s="10" t="s">
        <v>25</v>
      </c>
      <c r="J44" s="10" t="s">
        <v>14</v>
      </c>
      <c r="K44" s="8">
        <f t="shared" si="8"/>
        <v>1</v>
      </c>
      <c r="L44" s="8">
        <f t="shared" si="9"/>
        <v>1</v>
      </c>
      <c r="M44" s="8">
        <f t="shared" si="10"/>
        <v>1</v>
      </c>
      <c r="N44" s="8">
        <f t="shared" si="11"/>
        <v>1</v>
      </c>
      <c r="O44" s="45">
        <f t="shared" si="12"/>
        <v>100</v>
      </c>
      <c r="P44" s="45">
        <f t="shared" si="13"/>
        <v>90.625</v>
      </c>
      <c r="Q44" s="10" t="s">
        <v>296</v>
      </c>
      <c r="R44" t="s">
        <v>297</v>
      </c>
      <c r="S44" t="s">
        <v>280</v>
      </c>
      <c r="T44" s="41">
        <v>46339</v>
      </c>
      <c r="U44" t="s">
        <v>273</v>
      </c>
    </row>
    <row r="45" spans="1:21" ht="15" customHeight="1" x14ac:dyDescent="0.25">
      <c r="A45" s="8">
        <f t="shared" si="7"/>
        <v>44</v>
      </c>
      <c r="B45" s="44">
        <v>46181</v>
      </c>
      <c r="C45" s="10" t="s">
        <v>22</v>
      </c>
      <c r="D45" s="10" t="s">
        <v>252</v>
      </c>
      <c r="E45" s="10" t="s">
        <v>290</v>
      </c>
      <c r="F45" s="10">
        <v>3</v>
      </c>
      <c r="G45" s="10" t="s">
        <v>30</v>
      </c>
      <c r="H45" s="10" t="s">
        <v>288</v>
      </c>
      <c r="I45" s="10" t="s">
        <v>25</v>
      </c>
      <c r="J45" s="10" t="s">
        <v>14</v>
      </c>
      <c r="K45" s="8">
        <f t="shared" si="8"/>
        <v>0</v>
      </c>
      <c r="L45" s="8">
        <f t="shared" si="9"/>
        <v>0</v>
      </c>
      <c r="M45" s="8">
        <f t="shared" si="10"/>
        <v>1</v>
      </c>
      <c r="N45" s="8">
        <f t="shared" si="11"/>
        <v>1</v>
      </c>
      <c r="O45" s="45">
        <f t="shared" si="12"/>
        <v>50</v>
      </c>
      <c r="P45" s="45">
        <f t="shared" si="13"/>
        <v>39.111111111111114</v>
      </c>
      <c r="Q45" s="10" t="s">
        <v>294</v>
      </c>
      <c r="R45" t="s">
        <v>299</v>
      </c>
      <c r="S45" t="s">
        <v>268</v>
      </c>
      <c r="T45" s="41">
        <v>46279</v>
      </c>
      <c r="U45" t="s">
        <v>269</v>
      </c>
    </row>
    <row r="46" spans="1:21" ht="15" customHeight="1" x14ac:dyDescent="0.25">
      <c r="A46" s="8">
        <f t="shared" si="7"/>
        <v>45</v>
      </c>
      <c r="B46" s="44">
        <v>46212</v>
      </c>
      <c r="C46" s="10" t="s">
        <v>248</v>
      </c>
      <c r="D46" s="10" t="s">
        <v>255</v>
      </c>
      <c r="E46" s="10" t="s">
        <v>291</v>
      </c>
      <c r="F46" s="10">
        <v>4</v>
      </c>
      <c r="G46" s="10" t="s">
        <v>25</v>
      </c>
      <c r="H46" s="10" t="s">
        <v>42</v>
      </c>
      <c r="I46" s="10" t="s">
        <v>25</v>
      </c>
      <c r="J46" s="10" t="s">
        <v>14</v>
      </c>
      <c r="K46" s="8">
        <f t="shared" si="8"/>
        <v>1</v>
      </c>
      <c r="L46" s="8">
        <f t="shared" si="9"/>
        <v>1</v>
      </c>
      <c r="M46" s="8">
        <f t="shared" si="10"/>
        <v>1</v>
      </c>
      <c r="N46" s="8">
        <f t="shared" si="11"/>
        <v>1</v>
      </c>
      <c r="O46" s="45">
        <f t="shared" si="12"/>
        <v>100</v>
      </c>
      <c r="P46" s="45">
        <f t="shared" si="13"/>
        <v>92.5</v>
      </c>
      <c r="Q46" s="10" t="s">
        <v>296</v>
      </c>
      <c r="R46" t="s">
        <v>297</v>
      </c>
      <c r="S46" t="s">
        <v>272</v>
      </c>
      <c r="T46" s="41">
        <v>46310</v>
      </c>
      <c r="U46" t="s">
        <v>273</v>
      </c>
    </row>
    <row r="47" spans="1:21" ht="15" customHeight="1" x14ac:dyDescent="0.25">
      <c r="A47" s="8">
        <f t="shared" si="7"/>
        <v>46</v>
      </c>
      <c r="B47" s="44">
        <v>46244</v>
      </c>
      <c r="C47" s="10" t="s">
        <v>251</v>
      </c>
      <c r="D47" s="10" t="s">
        <v>258</v>
      </c>
      <c r="E47" s="10" t="s">
        <v>293</v>
      </c>
      <c r="F47" s="10">
        <v>5</v>
      </c>
      <c r="G47" s="10" t="s">
        <v>25</v>
      </c>
      <c r="H47" s="10" t="s">
        <v>42</v>
      </c>
      <c r="I47" s="10" t="s">
        <v>30</v>
      </c>
      <c r="J47" s="10" t="s">
        <v>52</v>
      </c>
      <c r="K47" s="8">
        <f t="shared" si="8"/>
        <v>1</v>
      </c>
      <c r="L47" s="8">
        <f t="shared" si="9"/>
        <v>1</v>
      </c>
      <c r="M47" s="8">
        <f t="shared" si="10"/>
        <v>0</v>
      </c>
      <c r="N47" s="8">
        <f t="shared" si="11"/>
        <v>0</v>
      </c>
      <c r="O47" s="45">
        <f t="shared" si="12"/>
        <v>50</v>
      </c>
      <c r="P47" s="45">
        <f t="shared" si="13"/>
        <v>59.375</v>
      </c>
      <c r="Q47" s="10" t="s">
        <v>294</v>
      </c>
      <c r="R47" t="s">
        <v>295</v>
      </c>
      <c r="S47" t="s">
        <v>274</v>
      </c>
      <c r="T47" s="41">
        <v>46342</v>
      </c>
      <c r="U47" t="s">
        <v>281</v>
      </c>
    </row>
    <row r="48" spans="1:21" ht="15" customHeight="1" x14ac:dyDescent="0.25">
      <c r="A48" s="8">
        <f t="shared" si="7"/>
        <v>47</v>
      </c>
      <c r="B48" s="44">
        <v>46184</v>
      </c>
      <c r="C48" s="10" t="s">
        <v>254</v>
      </c>
      <c r="D48" s="10" t="s">
        <v>261</v>
      </c>
      <c r="E48" s="10" t="s">
        <v>41</v>
      </c>
      <c r="F48" s="10">
        <v>6</v>
      </c>
      <c r="G48" s="10" t="s">
        <v>30</v>
      </c>
      <c r="H48" s="10" t="s">
        <v>288</v>
      </c>
      <c r="I48" s="10" t="s">
        <v>25</v>
      </c>
      <c r="J48" s="10" t="s">
        <v>14</v>
      </c>
      <c r="K48" s="8">
        <f t="shared" si="8"/>
        <v>0</v>
      </c>
      <c r="L48" s="8">
        <f t="shared" si="9"/>
        <v>0</v>
      </c>
      <c r="M48" s="8">
        <f t="shared" si="10"/>
        <v>1</v>
      </c>
      <c r="N48" s="8">
        <f t="shared" si="11"/>
        <v>1</v>
      </c>
      <c r="O48" s="45">
        <f t="shared" si="12"/>
        <v>50</v>
      </c>
      <c r="P48" s="45">
        <f t="shared" si="13"/>
        <v>62.75</v>
      </c>
      <c r="Q48" s="10" t="s">
        <v>294</v>
      </c>
      <c r="R48" t="s">
        <v>298</v>
      </c>
      <c r="S48" t="s">
        <v>276</v>
      </c>
      <c r="T48" s="41">
        <v>46282</v>
      </c>
      <c r="U48" t="s">
        <v>269</v>
      </c>
    </row>
    <row r="49" spans="1:21" ht="15" customHeight="1" x14ac:dyDescent="0.25">
      <c r="A49" s="8">
        <f t="shared" si="7"/>
        <v>48</v>
      </c>
      <c r="B49" s="44">
        <v>46215</v>
      </c>
      <c r="C49" s="10" t="s">
        <v>257</v>
      </c>
      <c r="D49" s="10" t="s">
        <v>262</v>
      </c>
      <c r="E49" s="10" t="s">
        <v>289</v>
      </c>
      <c r="F49" s="10">
        <v>7</v>
      </c>
      <c r="G49" s="10" t="s">
        <v>25</v>
      </c>
      <c r="H49" s="10" t="s">
        <v>42</v>
      </c>
      <c r="I49" s="10" t="s">
        <v>25</v>
      </c>
      <c r="J49" s="10" t="s">
        <v>14</v>
      </c>
      <c r="K49" s="8">
        <f t="shared" si="8"/>
        <v>1</v>
      </c>
      <c r="L49" s="8">
        <f t="shared" si="9"/>
        <v>1</v>
      </c>
      <c r="M49" s="8">
        <f t="shared" si="10"/>
        <v>1</v>
      </c>
      <c r="N49" s="8">
        <f t="shared" si="11"/>
        <v>1</v>
      </c>
      <c r="O49" s="45">
        <f t="shared" si="12"/>
        <v>100</v>
      </c>
      <c r="P49" s="45">
        <f t="shared" si="13"/>
        <v>59.375</v>
      </c>
      <c r="Q49" s="10" t="s">
        <v>296</v>
      </c>
      <c r="R49" t="s">
        <v>297</v>
      </c>
      <c r="S49" t="s">
        <v>277</v>
      </c>
      <c r="T49" s="41">
        <v>46313</v>
      </c>
      <c r="U49" t="s">
        <v>273</v>
      </c>
    </row>
    <row r="50" spans="1:21" ht="15" customHeight="1" x14ac:dyDescent="0.25">
      <c r="A50" s="8">
        <f t="shared" si="7"/>
        <v>49</v>
      </c>
      <c r="B50" s="44">
        <v>46247</v>
      </c>
      <c r="C50" s="10" t="s">
        <v>260</v>
      </c>
      <c r="D50" s="10" t="s">
        <v>263</v>
      </c>
      <c r="E50" s="10" t="s">
        <v>290</v>
      </c>
      <c r="F50" s="10">
        <v>8</v>
      </c>
      <c r="G50" s="10" t="s">
        <v>25</v>
      </c>
      <c r="H50" s="10" t="s">
        <v>42</v>
      </c>
      <c r="I50" s="10" t="s">
        <v>25</v>
      </c>
      <c r="J50" s="10" t="s">
        <v>14</v>
      </c>
      <c r="K50" s="8">
        <f t="shared" si="8"/>
        <v>1</v>
      </c>
      <c r="L50" s="8">
        <f t="shared" si="9"/>
        <v>1</v>
      </c>
      <c r="M50" s="8">
        <f t="shared" si="10"/>
        <v>1</v>
      </c>
      <c r="N50" s="8">
        <f t="shared" si="11"/>
        <v>1</v>
      </c>
      <c r="O50" s="45">
        <f t="shared" si="12"/>
        <v>100</v>
      </c>
      <c r="P50" s="45">
        <f t="shared" si="13"/>
        <v>90.625</v>
      </c>
      <c r="Q50" s="10" t="s">
        <v>296</v>
      </c>
      <c r="R50" t="s">
        <v>297</v>
      </c>
      <c r="S50" t="s">
        <v>280</v>
      </c>
      <c r="T50" s="41">
        <v>46345</v>
      </c>
      <c r="U50" t="s">
        <v>273</v>
      </c>
    </row>
    <row r="51" spans="1:21" ht="15" customHeight="1" x14ac:dyDescent="0.25">
      <c r="A51" s="8">
        <f t="shared" si="7"/>
        <v>50</v>
      </c>
      <c r="B51" s="44">
        <v>46187</v>
      </c>
      <c r="C51" s="10" t="s">
        <v>22</v>
      </c>
      <c r="D51" s="10" t="s">
        <v>264</v>
      </c>
      <c r="E51" s="10" t="s">
        <v>291</v>
      </c>
      <c r="F51" s="10">
        <v>1</v>
      </c>
      <c r="G51" s="10" t="s">
        <v>25</v>
      </c>
      <c r="H51" s="10" t="s">
        <v>292</v>
      </c>
      <c r="I51" s="10" t="s">
        <v>30</v>
      </c>
      <c r="J51" s="10" t="s">
        <v>52</v>
      </c>
      <c r="K51" s="8">
        <f t="shared" si="8"/>
        <v>1</v>
      </c>
      <c r="L51" s="8">
        <f t="shared" si="9"/>
        <v>0.5</v>
      </c>
      <c r="M51" s="8">
        <f t="shared" si="10"/>
        <v>0</v>
      </c>
      <c r="N51" s="8">
        <f t="shared" si="11"/>
        <v>0</v>
      </c>
      <c r="O51" s="45">
        <f t="shared" si="12"/>
        <v>38</v>
      </c>
      <c r="P51" s="45">
        <f t="shared" si="13"/>
        <v>39.111111111111114</v>
      </c>
      <c r="Q51" s="10" t="s">
        <v>294</v>
      </c>
      <c r="R51" t="s">
        <v>295</v>
      </c>
      <c r="S51" t="s">
        <v>268</v>
      </c>
      <c r="T51" s="41">
        <v>46285</v>
      </c>
      <c r="U51" t="s">
        <v>269</v>
      </c>
    </row>
    <row r="52" spans="1:21" ht="15" customHeight="1" x14ac:dyDescent="0.25">
      <c r="A52" s="8">
        <f t="shared" si="7"/>
        <v>51</v>
      </c>
      <c r="B52" s="44">
        <v>46218</v>
      </c>
      <c r="C52" s="10" t="s">
        <v>248</v>
      </c>
      <c r="D52" s="10" t="s">
        <v>265</v>
      </c>
      <c r="E52" s="10" t="s">
        <v>293</v>
      </c>
      <c r="F52" s="10">
        <v>2</v>
      </c>
      <c r="G52" s="10" t="s">
        <v>25</v>
      </c>
      <c r="H52" s="10" t="s">
        <v>42</v>
      </c>
      <c r="I52" s="10" t="s">
        <v>25</v>
      </c>
      <c r="J52" s="10" t="s">
        <v>14</v>
      </c>
      <c r="K52" s="8">
        <f t="shared" si="8"/>
        <v>1</v>
      </c>
      <c r="L52" s="8">
        <f t="shared" si="9"/>
        <v>1</v>
      </c>
      <c r="M52" s="8">
        <f t="shared" si="10"/>
        <v>1</v>
      </c>
      <c r="N52" s="8">
        <f t="shared" si="11"/>
        <v>1</v>
      </c>
      <c r="O52" s="45">
        <f t="shared" si="12"/>
        <v>100</v>
      </c>
      <c r="P52" s="45">
        <f t="shared" si="13"/>
        <v>92.5</v>
      </c>
      <c r="Q52" s="10" t="s">
        <v>296</v>
      </c>
      <c r="R52" t="s">
        <v>297</v>
      </c>
      <c r="S52" t="s">
        <v>272</v>
      </c>
      <c r="T52" s="41">
        <v>46316</v>
      </c>
      <c r="U52" t="s">
        <v>273</v>
      </c>
    </row>
    <row r="53" spans="1:21" ht="15" customHeight="1" x14ac:dyDescent="0.25">
      <c r="A53" s="8" t="str">
        <f t="shared" si="7"/>
        <v/>
      </c>
      <c r="B53" s="11"/>
      <c r="C53" s="8"/>
      <c r="D53" s="8"/>
      <c r="E53" s="8"/>
      <c r="F53" s="8"/>
      <c r="G53" s="8"/>
      <c r="H53" s="8"/>
      <c r="I53" s="8"/>
      <c r="J53" s="8"/>
      <c r="K53" s="8" t="str">
        <f t="shared" si="8"/>
        <v/>
      </c>
      <c r="L53" s="8" t="str">
        <f t="shared" si="9"/>
        <v/>
      </c>
      <c r="M53" s="8" t="str">
        <f t="shared" si="10"/>
        <v/>
      </c>
      <c r="N53" s="8" t="str">
        <f t="shared" si="11"/>
        <v/>
      </c>
      <c r="O53" s="8" t="str">
        <f t="shared" si="12"/>
        <v/>
      </c>
      <c r="P53" s="8" t="str">
        <f t="shared" si="13"/>
        <v>N/A</v>
      </c>
      <c r="Q53" s="8"/>
    </row>
    <row r="54" spans="1:21" ht="15" customHeight="1" x14ac:dyDescent="0.25">
      <c r="A54" s="8" t="str">
        <f t="shared" si="7"/>
        <v/>
      </c>
      <c r="B54" s="11"/>
      <c r="C54" s="8"/>
      <c r="D54" s="8"/>
      <c r="E54" s="8"/>
      <c r="F54" s="8"/>
      <c r="G54" s="8"/>
      <c r="H54" s="8"/>
      <c r="I54" s="8"/>
      <c r="J54" s="8"/>
      <c r="K54" s="8" t="str">
        <f t="shared" si="8"/>
        <v/>
      </c>
      <c r="L54" s="8" t="str">
        <f t="shared" si="9"/>
        <v/>
      </c>
      <c r="M54" s="8" t="str">
        <f t="shared" si="10"/>
        <v/>
      </c>
      <c r="N54" s="8" t="str">
        <f t="shared" si="11"/>
        <v/>
      </c>
      <c r="O54" s="8" t="str">
        <f t="shared" si="12"/>
        <v/>
      </c>
      <c r="P54" s="8" t="str">
        <f t="shared" si="13"/>
        <v>N/A</v>
      </c>
      <c r="Q54" s="8"/>
    </row>
    <row r="55" spans="1:21" ht="15" customHeight="1" x14ac:dyDescent="0.25">
      <c r="A55" s="8" t="str">
        <f t="shared" si="7"/>
        <v/>
      </c>
      <c r="B55" s="11"/>
      <c r="C55" s="8"/>
      <c r="D55" s="8"/>
      <c r="E55" s="8"/>
      <c r="F55" s="8"/>
      <c r="G55" s="8"/>
      <c r="H55" s="8"/>
      <c r="I55" s="8"/>
      <c r="J55" s="8"/>
      <c r="K55" s="8" t="str">
        <f t="shared" si="8"/>
        <v/>
      </c>
      <c r="L55" s="8" t="str">
        <f t="shared" si="9"/>
        <v/>
      </c>
      <c r="M55" s="8" t="str">
        <f t="shared" si="10"/>
        <v/>
      </c>
      <c r="N55" s="8" t="str">
        <f t="shared" si="11"/>
        <v/>
      </c>
      <c r="O55" s="8" t="str">
        <f t="shared" si="12"/>
        <v/>
      </c>
      <c r="P55" s="8" t="str">
        <f t="shared" si="13"/>
        <v>N/A</v>
      </c>
      <c r="Q55" s="8"/>
    </row>
    <row r="56" spans="1:21" ht="15" customHeight="1" x14ac:dyDescent="0.25">
      <c r="A56" s="8" t="str">
        <f t="shared" si="7"/>
        <v/>
      </c>
      <c r="B56" s="11"/>
      <c r="C56" s="8"/>
      <c r="D56" s="8"/>
      <c r="E56" s="8"/>
      <c r="F56" s="8"/>
      <c r="G56" s="8"/>
      <c r="H56" s="8"/>
      <c r="I56" s="8"/>
      <c r="J56" s="8"/>
      <c r="K56" s="8" t="str">
        <f t="shared" si="8"/>
        <v/>
      </c>
      <c r="L56" s="8" t="str">
        <f t="shared" si="9"/>
        <v/>
      </c>
      <c r="M56" s="8" t="str">
        <f t="shared" si="10"/>
        <v/>
      </c>
      <c r="N56" s="8" t="str">
        <f t="shared" si="11"/>
        <v/>
      </c>
      <c r="O56" s="8" t="str">
        <f t="shared" si="12"/>
        <v/>
      </c>
      <c r="P56" s="8" t="str">
        <f t="shared" si="13"/>
        <v>N/A</v>
      </c>
      <c r="Q56" s="8"/>
    </row>
    <row r="57" spans="1:21" ht="15" customHeight="1" x14ac:dyDescent="0.25">
      <c r="A57" s="8" t="str">
        <f t="shared" si="7"/>
        <v/>
      </c>
      <c r="B57" s="11"/>
      <c r="C57" s="8"/>
      <c r="D57" s="8"/>
      <c r="E57" s="8"/>
      <c r="F57" s="8"/>
      <c r="G57" s="8"/>
      <c r="H57" s="8"/>
      <c r="I57" s="8"/>
      <c r="J57" s="8"/>
      <c r="K57" s="8" t="str">
        <f t="shared" si="8"/>
        <v/>
      </c>
      <c r="L57" s="8" t="str">
        <f t="shared" si="9"/>
        <v/>
      </c>
      <c r="M57" s="8" t="str">
        <f t="shared" si="10"/>
        <v/>
      </c>
      <c r="N57" s="8" t="str">
        <f t="shared" si="11"/>
        <v/>
      </c>
      <c r="O57" s="8" t="str">
        <f t="shared" si="12"/>
        <v/>
      </c>
      <c r="P57" s="8" t="str">
        <f t="shared" si="13"/>
        <v>N/A</v>
      </c>
      <c r="Q57" s="8"/>
    </row>
    <row r="58" spans="1:21" ht="15" customHeight="1" x14ac:dyDescent="0.25">
      <c r="A58" s="8" t="str">
        <f t="shared" si="7"/>
        <v/>
      </c>
      <c r="B58" s="11"/>
      <c r="C58" s="8"/>
      <c r="D58" s="8"/>
      <c r="E58" s="8"/>
      <c r="F58" s="8"/>
      <c r="G58" s="8"/>
      <c r="H58" s="8"/>
      <c r="I58" s="8"/>
      <c r="J58" s="8"/>
      <c r="K58" s="8" t="str">
        <f t="shared" si="8"/>
        <v/>
      </c>
      <c r="L58" s="8" t="str">
        <f t="shared" si="9"/>
        <v/>
      </c>
      <c r="M58" s="8" t="str">
        <f t="shared" si="10"/>
        <v/>
      </c>
      <c r="N58" s="8" t="str">
        <f t="shared" si="11"/>
        <v/>
      </c>
      <c r="O58" s="8" t="str">
        <f t="shared" si="12"/>
        <v/>
      </c>
      <c r="P58" s="8" t="str">
        <f t="shared" si="13"/>
        <v>N/A</v>
      </c>
      <c r="Q58" s="8"/>
    </row>
    <row r="59" spans="1:21" ht="15" customHeight="1" x14ac:dyDescent="0.25">
      <c r="A59" s="8" t="str">
        <f t="shared" si="7"/>
        <v/>
      </c>
      <c r="B59" s="11"/>
      <c r="C59" s="8"/>
      <c r="D59" s="8"/>
      <c r="E59" s="8"/>
      <c r="F59" s="8"/>
      <c r="G59" s="8"/>
      <c r="H59" s="8"/>
      <c r="I59" s="8"/>
      <c r="J59" s="8"/>
      <c r="K59" s="8" t="str">
        <f t="shared" si="8"/>
        <v/>
      </c>
      <c r="L59" s="8" t="str">
        <f t="shared" si="9"/>
        <v/>
      </c>
      <c r="M59" s="8" t="str">
        <f t="shared" si="10"/>
        <v/>
      </c>
      <c r="N59" s="8" t="str">
        <f t="shared" si="11"/>
        <v/>
      </c>
      <c r="O59" s="8" t="str">
        <f t="shared" si="12"/>
        <v/>
      </c>
      <c r="P59" s="8" t="str">
        <f t="shared" si="13"/>
        <v>N/A</v>
      </c>
      <c r="Q59" s="8"/>
    </row>
    <row r="60" spans="1:21" ht="15" customHeight="1" x14ac:dyDescent="0.25">
      <c r="A60" s="8" t="str">
        <f t="shared" si="7"/>
        <v/>
      </c>
      <c r="B60" s="11"/>
      <c r="C60" s="8"/>
      <c r="D60" s="8"/>
      <c r="E60" s="8"/>
      <c r="F60" s="8"/>
      <c r="G60" s="8"/>
      <c r="H60" s="8"/>
      <c r="I60" s="8"/>
      <c r="J60" s="8"/>
      <c r="K60" s="8" t="str">
        <f t="shared" si="8"/>
        <v/>
      </c>
      <c r="L60" s="8" t="str">
        <f t="shared" si="9"/>
        <v/>
      </c>
      <c r="M60" s="8" t="str">
        <f t="shared" si="10"/>
        <v/>
      </c>
      <c r="N60" s="8" t="str">
        <f t="shared" si="11"/>
        <v/>
      </c>
      <c r="O60" s="8" t="str">
        <f t="shared" si="12"/>
        <v/>
      </c>
      <c r="P60" s="8" t="str">
        <f t="shared" si="13"/>
        <v>N/A</v>
      </c>
      <c r="Q60" s="8"/>
    </row>
    <row r="61" spans="1:21" ht="15" customHeight="1" x14ac:dyDescent="0.25">
      <c r="A61" s="8" t="str">
        <f t="shared" si="7"/>
        <v/>
      </c>
      <c r="B61" s="11"/>
      <c r="C61" s="8"/>
      <c r="D61" s="8"/>
      <c r="E61" s="8"/>
      <c r="F61" s="8"/>
      <c r="G61" s="8"/>
      <c r="H61" s="8"/>
      <c r="I61" s="8"/>
      <c r="J61" s="8"/>
      <c r="K61" s="8" t="str">
        <f t="shared" si="8"/>
        <v/>
      </c>
      <c r="L61" s="8" t="str">
        <f t="shared" si="9"/>
        <v/>
      </c>
      <c r="M61" s="8" t="str">
        <f t="shared" si="10"/>
        <v/>
      </c>
      <c r="N61" s="8" t="str">
        <f t="shared" si="11"/>
        <v/>
      </c>
      <c r="O61" s="8" t="str">
        <f t="shared" si="12"/>
        <v/>
      </c>
      <c r="P61" s="8" t="str">
        <f t="shared" si="13"/>
        <v>N/A</v>
      </c>
      <c r="Q61" s="8"/>
    </row>
    <row r="62" spans="1:21" ht="15" customHeight="1" x14ac:dyDescent="0.25">
      <c r="A62" s="8" t="str">
        <f t="shared" si="7"/>
        <v/>
      </c>
      <c r="B62" s="11"/>
      <c r="C62" s="8"/>
      <c r="D62" s="8"/>
      <c r="E62" s="8"/>
      <c r="F62" s="8"/>
      <c r="G62" s="8"/>
      <c r="H62" s="8"/>
      <c r="I62" s="8"/>
      <c r="J62" s="8"/>
      <c r="K62" s="8" t="str">
        <f t="shared" si="8"/>
        <v/>
      </c>
      <c r="L62" s="8" t="str">
        <f t="shared" si="9"/>
        <v/>
      </c>
      <c r="M62" s="8" t="str">
        <f t="shared" si="10"/>
        <v/>
      </c>
      <c r="N62" s="8" t="str">
        <f t="shared" si="11"/>
        <v/>
      </c>
      <c r="O62" s="8" t="str">
        <f t="shared" si="12"/>
        <v/>
      </c>
      <c r="P62" s="8" t="str">
        <f t="shared" si="13"/>
        <v>N/A</v>
      </c>
      <c r="Q62" s="8"/>
    </row>
    <row r="63" spans="1:21" ht="15" customHeight="1" x14ac:dyDescent="0.25">
      <c r="A63" s="8" t="str">
        <f t="shared" si="7"/>
        <v/>
      </c>
      <c r="B63" s="11"/>
      <c r="C63" s="8"/>
      <c r="D63" s="8"/>
      <c r="E63" s="8"/>
      <c r="F63" s="8"/>
      <c r="G63" s="8"/>
      <c r="H63" s="8"/>
      <c r="I63" s="8"/>
      <c r="J63" s="8"/>
      <c r="K63" s="8" t="str">
        <f t="shared" si="8"/>
        <v/>
      </c>
      <c r="L63" s="8" t="str">
        <f t="shared" si="9"/>
        <v/>
      </c>
      <c r="M63" s="8" t="str">
        <f t="shared" si="10"/>
        <v/>
      </c>
      <c r="N63" s="8" t="str">
        <f t="shared" si="11"/>
        <v/>
      </c>
      <c r="O63" s="8" t="str">
        <f t="shared" si="12"/>
        <v/>
      </c>
      <c r="P63" s="8" t="str">
        <f t="shared" si="13"/>
        <v>N/A</v>
      </c>
      <c r="Q63" s="8"/>
    </row>
    <row r="64" spans="1:21" ht="15" customHeight="1" x14ac:dyDescent="0.25">
      <c r="A64" s="8" t="str">
        <f t="shared" si="7"/>
        <v/>
      </c>
      <c r="B64" s="11"/>
      <c r="C64" s="8"/>
      <c r="D64" s="8"/>
      <c r="E64" s="8"/>
      <c r="F64" s="8"/>
      <c r="G64" s="8"/>
      <c r="H64" s="8"/>
      <c r="I64" s="8"/>
      <c r="J64" s="8"/>
      <c r="K64" s="8" t="str">
        <f t="shared" si="8"/>
        <v/>
      </c>
      <c r="L64" s="8" t="str">
        <f t="shared" si="9"/>
        <v/>
      </c>
      <c r="M64" s="8" t="str">
        <f t="shared" si="10"/>
        <v/>
      </c>
      <c r="N64" s="8" t="str">
        <f t="shared" si="11"/>
        <v/>
      </c>
      <c r="O64" s="8" t="str">
        <f t="shared" si="12"/>
        <v/>
      </c>
      <c r="P64" s="8" t="str">
        <f t="shared" si="13"/>
        <v>N/A</v>
      </c>
      <c r="Q64" s="8"/>
    </row>
    <row r="65" spans="1:17" ht="15" customHeight="1" x14ac:dyDescent="0.25">
      <c r="A65" s="8" t="str">
        <f t="shared" si="7"/>
        <v/>
      </c>
      <c r="B65" s="11"/>
      <c r="C65" s="8"/>
      <c r="D65" s="8"/>
      <c r="E65" s="8"/>
      <c r="F65" s="8"/>
      <c r="G65" s="8"/>
      <c r="H65" s="8"/>
      <c r="I65" s="8"/>
      <c r="J65" s="8"/>
      <c r="K65" s="8" t="str">
        <f t="shared" si="8"/>
        <v/>
      </c>
      <c r="L65" s="8" t="str">
        <f t="shared" si="9"/>
        <v/>
      </c>
      <c r="M65" s="8" t="str">
        <f t="shared" si="10"/>
        <v/>
      </c>
      <c r="N65" s="8" t="str">
        <f t="shared" si="11"/>
        <v/>
      </c>
      <c r="O65" s="8" t="str">
        <f t="shared" si="12"/>
        <v/>
      </c>
      <c r="P65" s="8" t="str">
        <f t="shared" si="13"/>
        <v>N/A</v>
      </c>
      <c r="Q65" s="8"/>
    </row>
    <row r="66" spans="1:17" ht="15" customHeight="1" x14ac:dyDescent="0.25">
      <c r="A66" s="8" t="str">
        <f t="shared" ref="A66:A97" si="14">IF(B66="","",ROW()-1)</f>
        <v/>
      </c>
      <c r="B66" s="11"/>
      <c r="C66" s="8"/>
      <c r="D66" s="8"/>
      <c r="E66" s="8"/>
      <c r="F66" s="8"/>
      <c r="G66" s="8"/>
      <c r="H66" s="8"/>
      <c r="I66" s="8"/>
      <c r="J66" s="8"/>
      <c r="K66" s="8" t="str">
        <f t="shared" ref="K66:K97" si="15">IF(G66="","",IF(G66="SIM",1,0))</f>
        <v/>
      </c>
      <c r="L66" s="8" t="str">
        <f t="shared" ref="L66:L97" si="16">IF(H66="","",IF(H66="Automático",1,IF(H66="Manual",0.5,IF(H66="Não atualizado",0,""))))</f>
        <v/>
      </c>
      <c r="M66" s="8" t="str">
        <f t="shared" ref="M66:M97" si="17">IF(I66="","",IF(I66="SIM",1,0))</f>
        <v/>
      </c>
      <c r="N66" s="8" t="str">
        <f t="shared" ref="N66:N97" si="18">IF(J66="","",IF(J66="Conformidade",1,IF(J66="Não Conformidade",0,IF(J66="Não Conformidade Grave",-1,""))))</f>
        <v/>
      </c>
      <c r="O66" s="8" t="str">
        <f t="shared" ref="O66:O97" si="19">IF(COUNTA(G66:J66)=0,"",ROUND(AVERAGE(K66:N66)*100,0))</f>
        <v/>
      </c>
      <c r="P66" s="8" t="str">
        <f t="shared" ref="P66:P97" si="20">IFERROR(AVERAGEIF(C$2:C$201,C66,O$2:O$201),"N/A")</f>
        <v>N/A</v>
      </c>
      <c r="Q66" s="8"/>
    </row>
    <row r="67" spans="1:17" ht="15" customHeight="1" x14ac:dyDescent="0.25">
      <c r="A67" s="8" t="str">
        <f t="shared" si="14"/>
        <v/>
      </c>
      <c r="B67" s="11"/>
      <c r="C67" s="8"/>
      <c r="D67" s="8"/>
      <c r="E67" s="8"/>
      <c r="F67" s="8"/>
      <c r="G67" s="8"/>
      <c r="H67" s="8"/>
      <c r="I67" s="8"/>
      <c r="J67" s="8"/>
      <c r="K67" s="8" t="str">
        <f t="shared" si="15"/>
        <v/>
      </c>
      <c r="L67" s="8" t="str">
        <f t="shared" si="16"/>
        <v/>
      </c>
      <c r="M67" s="8" t="str">
        <f t="shared" si="17"/>
        <v/>
      </c>
      <c r="N67" s="8" t="str">
        <f t="shared" si="18"/>
        <v/>
      </c>
      <c r="O67" s="8" t="str">
        <f t="shared" si="19"/>
        <v/>
      </c>
      <c r="P67" s="8" t="str">
        <f t="shared" si="20"/>
        <v>N/A</v>
      </c>
      <c r="Q67" s="8"/>
    </row>
    <row r="68" spans="1:17" ht="15" customHeight="1" x14ac:dyDescent="0.25">
      <c r="A68" s="8" t="str">
        <f t="shared" si="14"/>
        <v/>
      </c>
      <c r="B68" s="11"/>
      <c r="C68" s="8"/>
      <c r="D68" s="8"/>
      <c r="E68" s="8"/>
      <c r="F68" s="8"/>
      <c r="G68" s="8"/>
      <c r="H68" s="8"/>
      <c r="I68" s="8"/>
      <c r="J68" s="8"/>
      <c r="K68" s="8" t="str">
        <f t="shared" si="15"/>
        <v/>
      </c>
      <c r="L68" s="8" t="str">
        <f t="shared" si="16"/>
        <v/>
      </c>
      <c r="M68" s="8" t="str">
        <f t="shared" si="17"/>
        <v/>
      </c>
      <c r="N68" s="8" t="str">
        <f t="shared" si="18"/>
        <v/>
      </c>
      <c r="O68" s="8" t="str">
        <f t="shared" si="19"/>
        <v/>
      </c>
      <c r="P68" s="8" t="str">
        <f t="shared" si="20"/>
        <v>N/A</v>
      </c>
      <c r="Q68" s="8"/>
    </row>
    <row r="69" spans="1:17" ht="15" customHeight="1" x14ac:dyDescent="0.25">
      <c r="A69" s="8" t="str">
        <f t="shared" si="14"/>
        <v/>
      </c>
      <c r="B69" s="11"/>
      <c r="C69" s="8"/>
      <c r="D69" s="8"/>
      <c r="E69" s="8"/>
      <c r="F69" s="8"/>
      <c r="G69" s="8"/>
      <c r="H69" s="8"/>
      <c r="I69" s="8"/>
      <c r="J69" s="8"/>
      <c r="K69" s="8" t="str">
        <f t="shared" si="15"/>
        <v/>
      </c>
      <c r="L69" s="8" t="str">
        <f t="shared" si="16"/>
        <v/>
      </c>
      <c r="M69" s="8" t="str">
        <f t="shared" si="17"/>
        <v/>
      </c>
      <c r="N69" s="8" t="str">
        <f t="shared" si="18"/>
        <v/>
      </c>
      <c r="O69" s="8" t="str">
        <f t="shared" si="19"/>
        <v/>
      </c>
      <c r="P69" s="8" t="str">
        <f t="shared" si="20"/>
        <v>N/A</v>
      </c>
      <c r="Q69" s="8"/>
    </row>
    <row r="70" spans="1:17" ht="15" customHeight="1" x14ac:dyDescent="0.25">
      <c r="A70" s="8" t="str">
        <f t="shared" si="14"/>
        <v/>
      </c>
      <c r="B70" s="11"/>
      <c r="C70" s="8"/>
      <c r="D70" s="8"/>
      <c r="E70" s="8"/>
      <c r="F70" s="8"/>
      <c r="G70" s="8"/>
      <c r="H70" s="8"/>
      <c r="I70" s="8"/>
      <c r="J70" s="8"/>
      <c r="K70" s="8" t="str">
        <f t="shared" si="15"/>
        <v/>
      </c>
      <c r="L70" s="8" t="str">
        <f t="shared" si="16"/>
        <v/>
      </c>
      <c r="M70" s="8" t="str">
        <f t="shared" si="17"/>
        <v/>
      </c>
      <c r="N70" s="8" t="str">
        <f t="shared" si="18"/>
        <v/>
      </c>
      <c r="O70" s="8" t="str">
        <f t="shared" si="19"/>
        <v/>
      </c>
      <c r="P70" s="8" t="str">
        <f t="shared" si="20"/>
        <v>N/A</v>
      </c>
      <c r="Q70" s="8"/>
    </row>
    <row r="71" spans="1:17" ht="15" customHeight="1" x14ac:dyDescent="0.25">
      <c r="A71" s="8" t="str">
        <f t="shared" si="14"/>
        <v/>
      </c>
      <c r="B71" s="11"/>
      <c r="C71" s="8"/>
      <c r="D71" s="8"/>
      <c r="E71" s="8"/>
      <c r="F71" s="8"/>
      <c r="G71" s="8"/>
      <c r="H71" s="8"/>
      <c r="I71" s="8"/>
      <c r="J71" s="8"/>
      <c r="K71" s="8" t="str">
        <f t="shared" si="15"/>
        <v/>
      </c>
      <c r="L71" s="8" t="str">
        <f t="shared" si="16"/>
        <v/>
      </c>
      <c r="M71" s="8" t="str">
        <f t="shared" si="17"/>
        <v/>
      </c>
      <c r="N71" s="8" t="str">
        <f t="shared" si="18"/>
        <v/>
      </c>
      <c r="O71" s="8" t="str">
        <f t="shared" si="19"/>
        <v/>
      </c>
      <c r="P71" s="8" t="str">
        <f t="shared" si="20"/>
        <v>N/A</v>
      </c>
      <c r="Q71" s="8"/>
    </row>
    <row r="72" spans="1:17" ht="15" customHeight="1" x14ac:dyDescent="0.25">
      <c r="A72" s="8" t="str">
        <f t="shared" si="14"/>
        <v/>
      </c>
      <c r="B72" s="11"/>
      <c r="C72" s="8"/>
      <c r="D72" s="8"/>
      <c r="E72" s="8"/>
      <c r="F72" s="8"/>
      <c r="G72" s="8"/>
      <c r="H72" s="8"/>
      <c r="I72" s="8"/>
      <c r="J72" s="8"/>
      <c r="K72" s="8" t="str">
        <f t="shared" si="15"/>
        <v/>
      </c>
      <c r="L72" s="8" t="str">
        <f t="shared" si="16"/>
        <v/>
      </c>
      <c r="M72" s="8" t="str">
        <f t="shared" si="17"/>
        <v/>
      </c>
      <c r="N72" s="8" t="str">
        <f t="shared" si="18"/>
        <v/>
      </c>
      <c r="O72" s="8" t="str">
        <f t="shared" si="19"/>
        <v/>
      </c>
      <c r="P72" s="8" t="str">
        <f t="shared" si="20"/>
        <v>N/A</v>
      </c>
      <c r="Q72" s="8"/>
    </row>
    <row r="73" spans="1:17" ht="15" customHeight="1" x14ac:dyDescent="0.25">
      <c r="A73" s="8" t="str">
        <f t="shared" si="14"/>
        <v/>
      </c>
      <c r="B73" s="11"/>
      <c r="C73" s="8"/>
      <c r="D73" s="8"/>
      <c r="E73" s="8"/>
      <c r="F73" s="8"/>
      <c r="G73" s="8"/>
      <c r="H73" s="8"/>
      <c r="I73" s="8"/>
      <c r="J73" s="8"/>
      <c r="K73" s="8" t="str">
        <f t="shared" si="15"/>
        <v/>
      </c>
      <c r="L73" s="8" t="str">
        <f t="shared" si="16"/>
        <v/>
      </c>
      <c r="M73" s="8" t="str">
        <f t="shared" si="17"/>
        <v/>
      </c>
      <c r="N73" s="8" t="str">
        <f t="shared" si="18"/>
        <v/>
      </c>
      <c r="O73" s="8" t="str">
        <f t="shared" si="19"/>
        <v/>
      </c>
      <c r="P73" s="8" t="str">
        <f t="shared" si="20"/>
        <v>N/A</v>
      </c>
      <c r="Q73" s="8"/>
    </row>
    <row r="74" spans="1:17" ht="15" customHeight="1" x14ac:dyDescent="0.25">
      <c r="A74" s="8" t="str">
        <f t="shared" si="14"/>
        <v/>
      </c>
      <c r="B74" s="11"/>
      <c r="C74" s="8"/>
      <c r="D74" s="8"/>
      <c r="E74" s="8"/>
      <c r="F74" s="8"/>
      <c r="G74" s="8"/>
      <c r="H74" s="8"/>
      <c r="I74" s="8"/>
      <c r="J74" s="8"/>
      <c r="K74" s="8" t="str">
        <f t="shared" si="15"/>
        <v/>
      </c>
      <c r="L74" s="8" t="str">
        <f t="shared" si="16"/>
        <v/>
      </c>
      <c r="M74" s="8" t="str">
        <f t="shared" si="17"/>
        <v/>
      </c>
      <c r="N74" s="8" t="str">
        <f t="shared" si="18"/>
        <v/>
      </c>
      <c r="O74" s="8" t="str">
        <f t="shared" si="19"/>
        <v/>
      </c>
      <c r="P74" s="8" t="str">
        <f t="shared" si="20"/>
        <v>N/A</v>
      </c>
      <c r="Q74" s="8"/>
    </row>
    <row r="75" spans="1:17" ht="15" customHeight="1" x14ac:dyDescent="0.25">
      <c r="A75" s="8" t="str">
        <f t="shared" si="14"/>
        <v/>
      </c>
      <c r="B75" s="11"/>
      <c r="C75" s="8"/>
      <c r="D75" s="8"/>
      <c r="E75" s="8"/>
      <c r="F75" s="8"/>
      <c r="G75" s="8"/>
      <c r="H75" s="8"/>
      <c r="I75" s="8"/>
      <c r="J75" s="8"/>
      <c r="K75" s="8" t="str">
        <f t="shared" si="15"/>
        <v/>
      </c>
      <c r="L75" s="8" t="str">
        <f t="shared" si="16"/>
        <v/>
      </c>
      <c r="M75" s="8" t="str">
        <f t="shared" si="17"/>
        <v/>
      </c>
      <c r="N75" s="8" t="str">
        <f t="shared" si="18"/>
        <v/>
      </c>
      <c r="O75" s="8" t="str">
        <f t="shared" si="19"/>
        <v/>
      </c>
      <c r="P75" s="8" t="str">
        <f t="shared" si="20"/>
        <v>N/A</v>
      </c>
      <c r="Q75" s="8"/>
    </row>
    <row r="76" spans="1:17" ht="15" customHeight="1" x14ac:dyDescent="0.25">
      <c r="A76" s="8" t="str">
        <f t="shared" si="14"/>
        <v/>
      </c>
      <c r="B76" s="11"/>
      <c r="C76" s="8"/>
      <c r="D76" s="8"/>
      <c r="E76" s="8"/>
      <c r="F76" s="8"/>
      <c r="G76" s="8"/>
      <c r="H76" s="8"/>
      <c r="I76" s="8"/>
      <c r="J76" s="8"/>
      <c r="K76" s="8" t="str">
        <f t="shared" si="15"/>
        <v/>
      </c>
      <c r="L76" s="8" t="str">
        <f t="shared" si="16"/>
        <v/>
      </c>
      <c r="M76" s="8" t="str">
        <f t="shared" si="17"/>
        <v/>
      </c>
      <c r="N76" s="8" t="str">
        <f t="shared" si="18"/>
        <v/>
      </c>
      <c r="O76" s="8" t="str">
        <f t="shared" si="19"/>
        <v/>
      </c>
      <c r="P76" s="8" t="str">
        <f t="shared" si="20"/>
        <v>N/A</v>
      </c>
      <c r="Q76" s="8"/>
    </row>
    <row r="77" spans="1:17" ht="15" customHeight="1" x14ac:dyDescent="0.25">
      <c r="A77" s="8" t="str">
        <f t="shared" si="14"/>
        <v/>
      </c>
      <c r="B77" s="11"/>
      <c r="C77" s="8"/>
      <c r="D77" s="8"/>
      <c r="E77" s="8"/>
      <c r="F77" s="8"/>
      <c r="G77" s="8"/>
      <c r="H77" s="8"/>
      <c r="I77" s="8"/>
      <c r="J77" s="8"/>
      <c r="K77" s="8" t="str">
        <f t="shared" si="15"/>
        <v/>
      </c>
      <c r="L77" s="8" t="str">
        <f t="shared" si="16"/>
        <v/>
      </c>
      <c r="M77" s="8" t="str">
        <f t="shared" si="17"/>
        <v/>
      </c>
      <c r="N77" s="8" t="str">
        <f t="shared" si="18"/>
        <v/>
      </c>
      <c r="O77" s="8" t="str">
        <f t="shared" si="19"/>
        <v/>
      </c>
      <c r="P77" s="8" t="str">
        <f t="shared" si="20"/>
        <v>N/A</v>
      </c>
      <c r="Q77" s="8"/>
    </row>
    <row r="78" spans="1:17" ht="15" customHeight="1" x14ac:dyDescent="0.25">
      <c r="A78" s="8" t="str">
        <f t="shared" si="14"/>
        <v/>
      </c>
      <c r="B78" s="11"/>
      <c r="C78" s="8"/>
      <c r="D78" s="8"/>
      <c r="E78" s="8"/>
      <c r="F78" s="8"/>
      <c r="G78" s="8"/>
      <c r="H78" s="8"/>
      <c r="I78" s="8"/>
      <c r="J78" s="8"/>
      <c r="K78" s="8" t="str">
        <f t="shared" si="15"/>
        <v/>
      </c>
      <c r="L78" s="8" t="str">
        <f t="shared" si="16"/>
        <v/>
      </c>
      <c r="M78" s="8" t="str">
        <f t="shared" si="17"/>
        <v/>
      </c>
      <c r="N78" s="8" t="str">
        <f t="shared" si="18"/>
        <v/>
      </c>
      <c r="O78" s="8" t="str">
        <f t="shared" si="19"/>
        <v/>
      </c>
      <c r="P78" s="8" t="str">
        <f t="shared" si="20"/>
        <v>N/A</v>
      </c>
      <c r="Q78" s="8"/>
    </row>
    <row r="79" spans="1:17" ht="15" customHeight="1" x14ac:dyDescent="0.25">
      <c r="A79" s="8" t="str">
        <f t="shared" si="14"/>
        <v/>
      </c>
      <c r="B79" s="11"/>
      <c r="C79" s="8"/>
      <c r="D79" s="8"/>
      <c r="E79" s="8"/>
      <c r="F79" s="8"/>
      <c r="G79" s="8"/>
      <c r="H79" s="8"/>
      <c r="I79" s="8"/>
      <c r="J79" s="8"/>
      <c r="K79" s="8" t="str">
        <f t="shared" si="15"/>
        <v/>
      </c>
      <c r="L79" s="8" t="str">
        <f t="shared" si="16"/>
        <v/>
      </c>
      <c r="M79" s="8" t="str">
        <f t="shared" si="17"/>
        <v/>
      </c>
      <c r="N79" s="8" t="str">
        <f t="shared" si="18"/>
        <v/>
      </c>
      <c r="O79" s="8" t="str">
        <f t="shared" si="19"/>
        <v/>
      </c>
      <c r="P79" s="8" t="str">
        <f t="shared" si="20"/>
        <v>N/A</v>
      </c>
      <c r="Q79" s="8"/>
    </row>
    <row r="80" spans="1:17" ht="15" customHeight="1" x14ac:dyDescent="0.25">
      <c r="A80" s="8" t="str">
        <f t="shared" si="14"/>
        <v/>
      </c>
      <c r="B80" s="11"/>
      <c r="C80" s="8"/>
      <c r="D80" s="8"/>
      <c r="E80" s="8"/>
      <c r="F80" s="8"/>
      <c r="G80" s="8"/>
      <c r="H80" s="8"/>
      <c r="I80" s="8"/>
      <c r="J80" s="8"/>
      <c r="K80" s="8" t="str">
        <f t="shared" si="15"/>
        <v/>
      </c>
      <c r="L80" s="8" t="str">
        <f t="shared" si="16"/>
        <v/>
      </c>
      <c r="M80" s="8" t="str">
        <f t="shared" si="17"/>
        <v/>
      </c>
      <c r="N80" s="8" t="str">
        <f t="shared" si="18"/>
        <v/>
      </c>
      <c r="O80" s="8" t="str">
        <f t="shared" si="19"/>
        <v/>
      </c>
      <c r="P80" s="8" t="str">
        <f t="shared" si="20"/>
        <v>N/A</v>
      </c>
      <c r="Q80" s="8"/>
    </row>
    <row r="81" spans="1:17" ht="15" customHeight="1" x14ac:dyDescent="0.25">
      <c r="A81" s="8" t="str">
        <f t="shared" si="14"/>
        <v/>
      </c>
      <c r="B81" s="11"/>
      <c r="C81" s="8"/>
      <c r="D81" s="8"/>
      <c r="E81" s="8"/>
      <c r="F81" s="8"/>
      <c r="G81" s="8"/>
      <c r="H81" s="8"/>
      <c r="I81" s="8"/>
      <c r="J81" s="8"/>
      <c r="K81" s="8" t="str">
        <f t="shared" si="15"/>
        <v/>
      </c>
      <c r="L81" s="8" t="str">
        <f t="shared" si="16"/>
        <v/>
      </c>
      <c r="M81" s="8" t="str">
        <f t="shared" si="17"/>
        <v/>
      </c>
      <c r="N81" s="8" t="str">
        <f t="shared" si="18"/>
        <v/>
      </c>
      <c r="O81" s="8" t="str">
        <f t="shared" si="19"/>
        <v/>
      </c>
      <c r="P81" s="8" t="str">
        <f t="shared" si="20"/>
        <v>N/A</v>
      </c>
      <c r="Q81" s="8"/>
    </row>
    <row r="82" spans="1:17" ht="15" customHeight="1" x14ac:dyDescent="0.25">
      <c r="A82" s="8" t="str">
        <f t="shared" si="14"/>
        <v/>
      </c>
      <c r="B82" s="11"/>
      <c r="C82" s="8"/>
      <c r="D82" s="8"/>
      <c r="E82" s="8"/>
      <c r="F82" s="8"/>
      <c r="G82" s="8"/>
      <c r="H82" s="8"/>
      <c r="I82" s="8"/>
      <c r="J82" s="8"/>
      <c r="K82" s="8" t="str">
        <f t="shared" si="15"/>
        <v/>
      </c>
      <c r="L82" s="8" t="str">
        <f t="shared" si="16"/>
        <v/>
      </c>
      <c r="M82" s="8" t="str">
        <f t="shared" si="17"/>
        <v/>
      </c>
      <c r="N82" s="8" t="str">
        <f t="shared" si="18"/>
        <v/>
      </c>
      <c r="O82" s="8" t="str">
        <f t="shared" si="19"/>
        <v/>
      </c>
      <c r="P82" s="8" t="str">
        <f t="shared" si="20"/>
        <v>N/A</v>
      </c>
      <c r="Q82" s="8"/>
    </row>
    <row r="83" spans="1:17" ht="15" customHeight="1" x14ac:dyDescent="0.25">
      <c r="A83" s="8" t="str">
        <f t="shared" si="14"/>
        <v/>
      </c>
      <c r="B83" s="11"/>
      <c r="C83" s="8"/>
      <c r="D83" s="8"/>
      <c r="E83" s="8"/>
      <c r="F83" s="8"/>
      <c r="G83" s="8"/>
      <c r="H83" s="8"/>
      <c r="I83" s="8"/>
      <c r="J83" s="8"/>
      <c r="K83" s="8" t="str">
        <f t="shared" si="15"/>
        <v/>
      </c>
      <c r="L83" s="8" t="str">
        <f t="shared" si="16"/>
        <v/>
      </c>
      <c r="M83" s="8" t="str">
        <f t="shared" si="17"/>
        <v/>
      </c>
      <c r="N83" s="8" t="str">
        <f t="shared" si="18"/>
        <v/>
      </c>
      <c r="O83" s="8" t="str">
        <f t="shared" si="19"/>
        <v/>
      </c>
      <c r="P83" s="8" t="str">
        <f t="shared" si="20"/>
        <v>N/A</v>
      </c>
      <c r="Q83" s="8"/>
    </row>
    <row r="84" spans="1:17" ht="15" customHeight="1" x14ac:dyDescent="0.25">
      <c r="A84" s="8" t="str">
        <f t="shared" si="14"/>
        <v/>
      </c>
      <c r="B84" s="11"/>
      <c r="C84" s="8"/>
      <c r="D84" s="8"/>
      <c r="E84" s="8"/>
      <c r="F84" s="8"/>
      <c r="G84" s="8"/>
      <c r="H84" s="8"/>
      <c r="I84" s="8"/>
      <c r="J84" s="8"/>
      <c r="K84" s="8" t="str">
        <f t="shared" si="15"/>
        <v/>
      </c>
      <c r="L84" s="8" t="str">
        <f t="shared" si="16"/>
        <v/>
      </c>
      <c r="M84" s="8" t="str">
        <f t="shared" si="17"/>
        <v/>
      </c>
      <c r="N84" s="8" t="str">
        <f t="shared" si="18"/>
        <v/>
      </c>
      <c r="O84" s="8" t="str">
        <f t="shared" si="19"/>
        <v/>
      </c>
      <c r="P84" s="8" t="str">
        <f t="shared" si="20"/>
        <v>N/A</v>
      </c>
      <c r="Q84" s="8"/>
    </row>
    <row r="85" spans="1:17" ht="15" customHeight="1" x14ac:dyDescent="0.25">
      <c r="A85" s="8" t="str">
        <f t="shared" si="14"/>
        <v/>
      </c>
      <c r="B85" s="11"/>
      <c r="C85" s="8"/>
      <c r="D85" s="8"/>
      <c r="E85" s="8"/>
      <c r="F85" s="8"/>
      <c r="G85" s="8"/>
      <c r="H85" s="8"/>
      <c r="I85" s="8"/>
      <c r="J85" s="8"/>
      <c r="K85" s="8" t="str">
        <f t="shared" si="15"/>
        <v/>
      </c>
      <c r="L85" s="8" t="str">
        <f t="shared" si="16"/>
        <v/>
      </c>
      <c r="M85" s="8" t="str">
        <f t="shared" si="17"/>
        <v/>
      </c>
      <c r="N85" s="8" t="str">
        <f t="shared" si="18"/>
        <v/>
      </c>
      <c r="O85" s="8" t="str">
        <f t="shared" si="19"/>
        <v/>
      </c>
      <c r="P85" s="8" t="str">
        <f t="shared" si="20"/>
        <v>N/A</v>
      </c>
      <c r="Q85" s="8"/>
    </row>
    <row r="86" spans="1:17" ht="15" customHeight="1" x14ac:dyDescent="0.25">
      <c r="A86" s="8" t="str">
        <f t="shared" si="14"/>
        <v/>
      </c>
      <c r="B86" s="11"/>
      <c r="C86" s="8"/>
      <c r="D86" s="8"/>
      <c r="E86" s="8"/>
      <c r="F86" s="8"/>
      <c r="G86" s="8"/>
      <c r="H86" s="8"/>
      <c r="I86" s="8"/>
      <c r="J86" s="8"/>
      <c r="K86" s="8" t="str">
        <f t="shared" si="15"/>
        <v/>
      </c>
      <c r="L86" s="8" t="str">
        <f t="shared" si="16"/>
        <v/>
      </c>
      <c r="M86" s="8" t="str">
        <f t="shared" si="17"/>
        <v/>
      </c>
      <c r="N86" s="8" t="str">
        <f t="shared" si="18"/>
        <v/>
      </c>
      <c r="O86" s="8" t="str">
        <f t="shared" si="19"/>
        <v/>
      </c>
      <c r="P86" s="8" t="str">
        <f t="shared" si="20"/>
        <v>N/A</v>
      </c>
      <c r="Q86" s="8"/>
    </row>
    <row r="87" spans="1:17" ht="15" customHeight="1" x14ac:dyDescent="0.25">
      <c r="A87" s="8" t="str">
        <f t="shared" si="14"/>
        <v/>
      </c>
      <c r="B87" s="11"/>
      <c r="C87" s="8"/>
      <c r="D87" s="8"/>
      <c r="E87" s="8"/>
      <c r="F87" s="8"/>
      <c r="G87" s="8"/>
      <c r="H87" s="8"/>
      <c r="I87" s="8"/>
      <c r="J87" s="8"/>
      <c r="K87" s="8" t="str">
        <f t="shared" si="15"/>
        <v/>
      </c>
      <c r="L87" s="8" t="str">
        <f t="shared" si="16"/>
        <v/>
      </c>
      <c r="M87" s="8" t="str">
        <f t="shared" si="17"/>
        <v/>
      </c>
      <c r="N87" s="8" t="str">
        <f t="shared" si="18"/>
        <v/>
      </c>
      <c r="O87" s="8" t="str">
        <f t="shared" si="19"/>
        <v/>
      </c>
      <c r="P87" s="8" t="str">
        <f t="shared" si="20"/>
        <v>N/A</v>
      </c>
      <c r="Q87" s="8"/>
    </row>
    <row r="88" spans="1:17" ht="15" customHeight="1" x14ac:dyDescent="0.25">
      <c r="A88" s="8" t="str">
        <f t="shared" si="14"/>
        <v/>
      </c>
      <c r="B88" s="11"/>
      <c r="C88" s="8"/>
      <c r="D88" s="8"/>
      <c r="E88" s="8"/>
      <c r="F88" s="8"/>
      <c r="G88" s="8"/>
      <c r="H88" s="8"/>
      <c r="I88" s="8"/>
      <c r="J88" s="8"/>
      <c r="K88" s="8" t="str">
        <f t="shared" si="15"/>
        <v/>
      </c>
      <c r="L88" s="8" t="str">
        <f t="shared" si="16"/>
        <v/>
      </c>
      <c r="M88" s="8" t="str">
        <f t="shared" si="17"/>
        <v/>
      </c>
      <c r="N88" s="8" t="str">
        <f t="shared" si="18"/>
        <v/>
      </c>
      <c r="O88" s="8" t="str">
        <f t="shared" si="19"/>
        <v/>
      </c>
      <c r="P88" s="8" t="str">
        <f t="shared" si="20"/>
        <v>N/A</v>
      </c>
      <c r="Q88" s="8"/>
    </row>
    <row r="89" spans="1:17" ht="15" customHeight="1" x14ac:dyDescent="0.25">
      <c r="A89" s="8" t="str">
        <f t="shared" si="14"/>
        <v/>
      </c>
      <c r="B89" s="11"/>
      <c r="C89" s="8"/>
      <c r="D89" s="8"/>
      <c r="E89" s="8"/>
      <c r="F89" s="8"/>
      <c r="G89" s="8"/>
      <c r="H89" s="8"/>
      <c r="I89" s="8"/>
      <c r="J89" s="8"/>
      <c r="K89" s="8" t="str">
        <f t="shared" si="15"/>
        <v/>
      </c>
      <c r="L89" s="8" t="str">
        <f t="shared" si="16"/>
        <v/>
      </c>
      <c r="M89" s="8" t="str">
        <f t="shared" si="17"/>
        <v/>
      </c>
      <c r="N89" s="8" t="str">
        <f t="shared" si="18"/>
        <v/>
      </c>
      <c r="O89" s="8" t="str">
        <f t="shared" si="19"/>
        <v/>
      </c>
      <c r="P89" s="8" t="str">
        <f t="shared" si="20"/>
        <v>N/A</v>
      </c>
      <c r="Q89" s="8"/>
    </row>
    <row r="90" spans="1:17" ht="15" customHeight="1" x14ac:dyDescent="0.25">
      <c r="A90" s="8" t="str">
        <f t="shared" si="14"/>
        <v/>
      </c>
      <c r="B90" s="11"/>
      <c r="C90" s="8"/>
      <c r="D90" s="8"/>
      <c r="E90" s="8"/>
      <c r="F90" s="8"/>
      <c r="G90" s="8"/>
      <c r="H90" s="8"/>
      <c r="I90" s="8"/>
      <c r="J90" s="8"/>
      <c r="K90" s="8" t="str">
        <f t="shared" si="15"/>
        <v/>
      </c>
      <c r="L90" s="8" t="str">
        <f t="shared" si="16"/>
        <v/>
      </c>
      <c r="M90" s="8" t="str">
        <f t="shared" si="17"/>
        <v/>
      </c>
      <c r="N90" s="8" t="str">
        <f t="shared" si="18"/>
        <v/>
      </c>
      <c r="O90" s="8" t="str">
        <f t="shared" si="19"/>
        <v/>
      </c>
      <c r="P90" s="8" t="str">
        <f t="shared" si="20"/>
        <v>N/A</v>
      </c>
      <c r="Q90" s="8"/>
    </row>
    <row r="91" spans="1:17" ht="15" customHeight="1" x14ac:dyDescent="0.25">
      <c r="A91" s="8" t="str">
        <f t="shared" si="14"/>
        <v/>
      </c>
      <c r="B91" s="11"/>
      <c r="C91" s="8"/>
      <c r="D91" s="8"/>
      <c r="E91" s="8"/>
      <c r="F91" s="8"/>
      <c r="G91" s="8"/>
      <c r="H91" s="8"/>
      <c r="I91" s="8"/>
      <c r="J91" s="8"/>
      <c r="K91" s="8" t="str">
        <f t="shared" si="15"/>
        <v/>
      </c>
      <c r="L91" s="8" t="str">
        <f t="shared" si="16"/>
        <v/>
      </c>
      <c r="M91" s="8" t="str">
        <f t="shared" si="17"/>
        <v/>
      </c>
      <c r="N91" s="8" t="str">
        <f t="shared" si="18"/>
        <v/>
      </c>
      <c r="O91" s="8" t="str">
        <f t="shared" si="19"/>
        <v/>
      </c>
      <c r="P91" s="8" t="str">
        <f t="shared" si="20"/>
        <v>N/A</v>
      </c>
      <c r="Q91" s="8"/>
    </row>
    <row r="92" spans="1:17" ht="15" customHeight="1" x14ac:dyDescent="0.25">
      <c r="A92" s="8" t="str">
        <f t="shared" si="14"/>
        <v/>
      </c>
      <c r="B92" s="11"/>
      <c r="C92" s="8"/>
      <c r="D92" s="8"/>
      <c r="E92" s="8"/>
      <c r="F92" s="8"/>
      <c r="G92" s="8"/>
      <c r="H92" s="8"/>
      <c r="I92" s="8"/>
      <c r="J92" s="8"/>
      <c r="K92" s="8" t="str">
        <f t="shared" si="15"/>
        <v/>
      </c>
      <c r="L92" s="8" t="str">
        <f t="shared" si="16"/>
        <v/>
      </c>
      <c r="M92" s="8" t="str">
        <f t="shared" si="17"/>
        <v/>
      </c>
      <c r="N92" s="8" t="str">
        <f t="shared" si="18"/>
        <v/>
      </c>
      <c r="O92" s="8" t="str">
        <f t="shared" si="19"/>
        <v/>
      </c>
      <c r="P92" s="8" t="str">
        <f t="shared" si="20"/>
        <v>N/A</v>
      </c>
      <c r="Q92" s="8"/>
    </row>
    <row r="93" spans="1:17" ht="15" customHeight="1" x14ac:dyDescent="0.25">
      <c r="A93" s="8" t="str">
        <f t="shared" si="14"/>
        <v/>
      </c>
      <c r="B93" s="11"/>
      <c r="C93" s="8"/>
      <c r="D93" s="8"/>
      <c r="E93" s="8"/>
      <c r="F93" s="8"/>
      <c r="G93" s="8"/>
      <c r="H93" s="8"/>
      <c r="I93" s="8"/>
      <c r="J93" s="8"/>
      <c r="K93" s="8" t="str">
        <f t="shared" si="15"/>
        <v/>
      </c>
      <c r="L93" s="8" t="str">
        <f t="shared" si="16"/>
        <v/>
      </c>
      <c r="M93" s="8" t="str">
        <f t="shared" si="17"/>
        <v/>
      </c>
      <c r="N93" s="8" t="str">
        <f t="shared" si="18"/>
        <v/>
      </c>
      <c r="O93" s="8" t="str">
        <f t="shared" si="19"/>
        <v/>
      </c>
      <c r="P93" s="8" t="str">
        <f t="shared" si="20"/>
        <v>N/A</v>
      </c>
      <c r="Q93" s="8"/>
    </row>
    <row r="94" spans="1:17" ht="15" customHeight="1" x14ac:dyDescent="0.25">
      <c r="A94" s="8" t="str">
        <f t="shared" si="14"/>
        <v/>
      </c>
      <c r="B94" s="11"/>
      <c r="C94" s="8"/>
      <c r="D94" s="8"/>
      <c r="E94" s="8"/>
      <c r="F94" s="8"/>
      <c r="G94" s="8"/>
      <c r="H94" s="8"/>
      <c r="I94" s="8"/>
      <c r="J94" s="8"/>
      <c r="K94" s="8" t="str">
        <f t="shared" si="15"/>
        <v/>
      </c>
      <c r="L94" s="8" t="str">
        <f t="shared" si="16"/>
        <v/>
      </c>
      <c r="M94" s="8" t="str">
        <f t="shared" si="17"/>
        <v/>
      </c>
      <c r="N94" s="8" t="str">
        <f t="shared" si="18"/>
        <v/>
      </c>
      <c r="O94" s="8" t="str">
        <f t="shared" si="19"/>
        <v/>
      </c>
      <c r="P94" s="8" t="str">
        <f t="shared" si="20"/>
        <v>N/A</v>
      </c>
      <c r="Q94" s="8"/>
    </row>
    <row r="95" spans="1:17" ht="15" customHeight="1" x14ac:dyDescent="0.25">
      <c r="A95" s="8" t="str">
        <f t="shared" si="14"/>
        <v/>
      </c>
      <c r="B95" s="11"/>
      <c r="C95" s="8"/>
      <c r="D95" s="8"/>
      <c r="E95" s="8"/>
      <c r="F95" s="8"/>
      <c r="G95" s="8"/>
      <c r="H95" s="8"/>
      <c r="I95" s="8"/>
      <c r="J95" s="8"/>
      <c r="K95" s="8" t="str">
        <f t="shared" si="15"/>
        <v/>
      </c>
      <c r="L95" s="8" t="str">
        <f t="shared" si="16"/>
        <v/>
      </c>
      <c r="M95" s="8" t="str">
        <f t="shared" si="17"/>
        <v/>
      </c>
      <c r="N95" s="8" t="str">
        <f t="shared" si="18"/>
        <v/>
      </c>
      <c r="O95" s="8" t="str">
        <f t="shared" si="19"/>
        <v/>
      </c>
      <c r="P95" s="8" t="str">
        <f t="shared" si="20"/>
        <v>N/A</v>
      </c>
      <c r="Q95" s="8"/>
    </row>
    <row r="96" spans="1:17" ht="15" customHeight="1" x14ac:dyDescent="0.25">
      <c r="A96" s="8" t="str">
        <f t="shared" si="14"/>
        <v/>
      </c>
      <c r="B96" s="11"/>
      <c r="C96" s="8"/>
      <c r="D96" s="8"/>
      <c r="E96" s="8"/>
      <c r="F96" s="8"/>
      <c r="G96" s="8"/>
      <c r="H96" s="8"/>
      <c r="I96" s="8"/>
      <c r="J96" s="8"/>
      <c r="K96" s="8" t="str">
        <f t="shared" si="15"/>
        <v/>
      </c>
      <c r="L96" s="8" t="str">
        <f t="shared" si="16"/>
        <v/>
      </c>
      <c r="M96" s="8" t="str">
        <f t="shared" si="17"/>
        <v/>
      </c>
      <c r="N96" s="8" t="str">
        <f t="shared" si="18"/>
        <v/>
      </c>
      <c r="O96" s="8" t="str">
        <f t="shared" si="19"/>
        <v/>
      </c>
      <c r="P96" s="8" t="str">
        <f t="shared" si="20"/>
        <v>N/A</v>
      </c>
      <c r="Q96" s="8"/>
    </row>
    <row r="97" spans="1:17" ht="15" customHeight="1" x14ac:dyDescent="0.25">
      <c r="A97" s="8" t="str">
        <f t="shared" si="14"/>
        <v/>
      </c>
      <c r="B97" s="11"/>
      <c r="C97" s="8"/>
      <c r="D97" s="8"/>
      <c r="E97" s="8"/>
      <c r="F97" s="8"/>
      <c r="G97" s="8"/>
      <c r="H97" s="8"/>
      <c r="I97" s="8"/>
      <c r="J97" s="8"/>
      <c r="K97" s="8" t="str">
        <f t="shared" si="15"/>
        <v/>
      </c>
      <c r="L97" s="8" t="str">
        <f t="shared" si="16"/>
        <v/>
      </c>
      <c r="M97" s="8" t="str">
        <f t="shared" si="17"/>
        <v/>
      </c>
      <c r="N97" s="8" t="str">
        <f t="shared" si="18"/>
        <v/>
      </c>
      <c r="O97" s="8" t="str">
        <f t="shared" si="19"/>
        <v/>
      </c>
      <c r="P97" s="8" t="str">
        <f t="shared" si="20"/>
        <v>N/A</v>
      </c>
      <c r="Q97" s="8"/>
    </row>
    <row r="98" spans="1:17" ht="15" customHeight="1" x14ac:dyDescent="0.25">
      <c r="A98" s="8" t="str">
        <f t="shared" ref="A98:A129" si="21">IF(B98="","",ROW()-1)</f>
        <v/>
      </c>
      <c r="B98" s="11"/>
      <c r="C98" s="8"/>
      <c r="D98" s="8"/>
      <c r="E98" s="8"/>
      <c r="F98" s="8"/>
      <c r="G98" s="8"/>
      <c r="H98" s="8"/>
      <c r="I98" s="8"/>
      <c r="J98" s="8"/>
      <c r="K98" s="8" t="str">
        <f t="shared" ref="K98:K129" si="22">IF(G98="","",IF(G98="SIM",1,0))</f>
        <v/>
      </c>
      <c r="L98" s="8" t="str">
        <f t="shared" ref="L98:L129" si="23">IF(H98="","",IF(H98="Automático",1,IF(H98="Manual",0.5,IF(H98="Não atualizado",0,""))))</f>
        <v/>
      </c>
      <c r="M98" s="8" t="str">
        <f t="shared" ref="M98:M129" si="24">IF(I98="","",IF(I98="SIM",1,0))</f>
        <v/>
      </c>
      <c r="N98" s="8" t="str">
        <f t="shared" ref="N98:N129" si="25">IF(J98="","",IF(J98="Conformidade",1,IF(J98="Não Conformidade",0,IF(J98="Não Conformidade Grave",-1,""))))</f>
        <v/>
      </c>
      <c r="O98" s="8" t="str">
        <f t="shared" ref="O98:O129" si="26">IF(COUNTA(G98:J98)=0,"",ROUND(AVERAGE(K98:N98)*100,0))</f>
        <v/>
      </c>
      <c r="P98" s="8" t="str">
        <f t="shared" ref="P98:P129" si="27">IFERROR(AVERAGEIF(C$2:C$201,C98,O$2:O$201),"N/A")</f>
        <v>N/A</v>
      </c>
      <c r="Q98" s="8"/>
    </row>
    <row r="99" spans="1:17" ht="15" customHeight="1" x14ac:dyDescent="0.25">
      <c r="A99" s="8" t="str">
        <f t="shared" si="21"/>
        <v/>
      </c>
      <c r="B99" s="11"/>
      <c r="C99" s="8"/>
      <c r="D99" s="8"/>
      <c r="E99" s="8"/>
      <c r="F99" s="8"/>
      <c r="G99" s="8"/>
      <c r="H99" s="8"/>
      <c r="I99" s="8"/>
      <c r="J99" s="8"/>
      <c r="K99" s="8" t="str">
        <f t="shared" si="22"/>
        <v/>
      </c>
      <c r="L99" s="8" t="str">
        <f t="shared" si="23"/>
        <v/>
      </c>
      <c r="M99" s="8" t="str">
        <f t="shared" si="24"/>
        <v/>
      </c>
      <c r="N99" s="8" t="str">
        <f t="shared" si="25"/>
        <v/>
      </c>
      <c r="O99" s="8" t="str">
        <f t="shared" si="26"/>
        <v/>
      </c>
      <c r="P99" s="8" t="str">
        <f t="shared" si="27"/>
        <v>N/A</v>
      </c>
      <c r="Q99" s="8"/>
    </row>
    <row r="100" spans="1:17" ht="15" customHeight="1" x14ac:dyDescent="0.25">
      <c r="A100" s="8" t="str">
        <f t="shared" si="21"/>
        <v/>
      </c>
      <c r="B100" s="11"/>
      <c r="C100" s="8"/>
      <c r="D100" s="8"/>
      <c r="E100" s="8"/>
      <c r="F100" s="8"/>
      <c r="G100" s="8"/>
      <c r="H100" s="8"/>
      <c r="I100" s="8"/>
      <c r="J100" s="8"/>
      <c r="K100" s="8" t="str">
        <f t="shared" si="22"/>
        <v/>
      </c>
      <c r="L100" s="8" t="str">
        <f t="shared" si="23"/>
        <v/>
      </c>
      <c r="M100" s="8" t="str">
        <f t="shared" si="24"/>
        <v/>
      </c>
      <c r="N100" s="8" t="str">
        <f t="shared" si="25"/>
        <v/>
      </c>
      <c r="O100" s="8" t="str">
        <f t="shared" si="26"/>
        <v/>
      </c>
      <c r="P100" s="8" t="str">
        <f t="shared" si="27"/>
        <v>N/A</v>
      </c>
      <c r="Q100" s="8"/>
    </row>
    <row r="101" spans="1:17" ht="15" customHeight="1" x14ac:dyDescent="0.25">
      <c r="A101" s="8" t="str">
        <f t="shared" si="21"/>
        <v/>
      </c>
      <c r="B101" s="11"/>
      <c r="C101" s="8"/>
      <c r="D101" s="8"/>
      <c r="E101" s="8"/>
      <c r="F101" s="8"/>
      <c r="G101" s="8"/>
      <c r="H101" s="8"/>
      <c r="I101" s="8"/>
      <c r="J101" s="8"/>
      <c r="K101" s="8" t="str">
        <f t="shared" si="22"/>
        <v/>
      </c>
      <c r="L101" s="8" t="str">
        <f t="shared" si="23"/>
        <v/>
      </c>
      <c r="M101" s="8" t="str">
        <f t="shared" si="24"/>
        <v/>
      </c>
      <c r="N101" s="8" t="str">
        <f t="shared" si="25"/>
        <v/>
      </c>
      <c r="O101" s="8" t="str">
        <f t="shared" si="26"/>
        <v/>
      </c>
      <c r="P101" s="8" t="str">
        <f t="shared" si="27"/>
        <v>N/A</v>
      </c>
      <c r="Q101" s="8"/>
    </row>
    <row r="102" spans="1:17" ht="15" customHeight="1" x14ac:dyDescent="0.25">
      <c r="A102" s="8" t="str">
        <f t="shared" si="21"/>
        <v/>
      </c>
      <c r="B102" s="11"/>
      <c r="C102" s="8"/>
      <c r="D102" s="8"/>
      <c r="E102" s="8"/>
      <c r="F102" s="8"/>
      <c r="G102" s="8"/>
      <c r="H102" s="8"/>
      <c r="I102" s="8"/>
      <c r="J102" s="8"/>
      <c r="K102" s="8" t="str">
        <f t="shared" si="22"/>
        <v/>
      </c>
      <c r="L102" s="8" t="str">
        <f t="shared" si="23"/>
        <v/>
      </c>
      <c r="M102" s="8" t="str">
        <f t="shared" si="24"/>
        <v/>
      </c>
      <c r="N102" s="8" t="str">
        <f t="shared" si="25"/>
        <v/>
      </c>
      <c r="O102" s="8" t="str">
        <f t="shared" si="26"/>
        <v/>
      </c>
      <c r="P102" s="8" t="str">
        <f t="shared" si="27"/>
        <v>N/A</v>
      </c>
      <c r="Q102" s="8"/>
    </row>
    <row r="103" spans="1:17" ht="15" customHeight="1" x14ac:dyDescent="0.25">
      <c r="A103" s="8" t="str">
        <f t="shared" si="21"/>
        <v/>
      </c>
      <c r="B103" s="11"/>
      <c r="C103" s="8"/>
      <c r="D103" s="8"/>
      <c r="E103" s="8"/>
      <c r="F103" s="8"/>
      <c r="G103" s="8"/>
      <c r="H103" s="8"/>
      <c r="I103" s="8"/>
      <c r="J103" s="8"/>
      <c r="K103" s="8" t="str">
        <f t="shared" si="22"/>
        <v/>
      </c>
      <c r="L103" s="8" t="str">
        <f t="shared" si="23"/>
        <v/>
      </c>
      <c r="M103" s="8" t="str">
        <f t="shared" si="24"/>
        <v/>
      </c>
      <c r="N103" s="8" t="str">
        <f t="shared" si="25"/>
        <v/>
      </c>
      <c r="O103" s="8" t="str">
        <f t="shared" si="26"/>
        <v/>
      </c>
      <c r="P103" s="8" t="str">
        <f t="shared" si="27"/>
        <v>N/A</v>
      </c>
      <c r="Q103" s="8"/>
    </row>
    <row r="104" spans="1:17" ht="15" customHeight="1" x14ac:dyDescent="0.25">
      <c r="A104" s="8" t="str">
        <f t="shared" si="21"/>
        <v/>
      </c>
      <c r="B104" s="11"/>
      <c r="C104" s="8"/>
      <c r="D104" s="8"/>
      <c r="E104" s="8"/>
      <c r="F104" s="8"/>
      <c r="G104" s="8"/>
      <c r="H104" s="8"/>
      <c r="I104" s="8"/>
      <c r="J104" s="8"/>
      <c r="K104" s="8" t="str">
        <f t="shared" si="22"/>
        <v/>
      </c>
      <c r="L104" s="8" t="str">
        <f t="shared" si="23"/>
        <v/>
      </c>
      <c r="M104" s="8" t="str">
        <f t="shared" si="24"/>
        <v/>
      </c>
      <c r="N104" s="8" t="str">
        <f t="shared" si="25"/>
        <v/>
      </c>
      <c r="O104" s="8" t="str">
        <f t="shared" si="26"/>
        <v/>
      </c>
      <c r="P104" s="8" t="str">
        <f t="shared" si="27"/>
        <v>N/A</v>
      </c>
      <c r="Q104" s="8"/>
    </row>
    <row r="105" spans="1:17" ht="15" customHeight="1" x14ac:dyDescent="0.25">
      <c r="A105" s="8" t="str">
        <f t="shared" si="21"/>
        <v/>
      </c>
      <c r="B105" s="11"/>
      <c r="C105" s="8"/>
      <c r="D105" s="8"/>
      <c r="E105" s="8"/>
      <c r="F105" s="8"/>
      <c r="G105" s="8"/>
      <c r="H105" s="8"/>
      <c r="I105" s="8"/>
      <c r="J105" s="8"/>
      <c r="K105" s="8" t="str">
        <f t="shared" si="22"/>
        <v/>
      </c>
      <c r="L105" s="8" t="str">
        <f t="shared" si="23"/>
        <v/>
      </c>
      <c r="M105" s="8" t="str">
        <f t="shared" si="24"/>
        <v/>
      </c>
      <c r="N105" s="8" t="str">
        <f t="shared" si="25"/>
        <v/>
      </c>
      <c r="O105" s="8" t="str">
        <f t="shared" si="26"/>
        <v/>
      </c>
      <c r="P105" s="8" t="str">
        <f t="shared" si="27"/>
        <v>N/A</v>
      </c>
      <c r="Q105" s="8"/>
    </row>
    <row r="106" spans="1:17" ht="15" customHeight="1" x14ac:dyDescent="0.25">
      <c r="A106" s="8" t="str">
        <f t="shared" si="21"/>
        <v/>
      </c>
      <c r="B106" s="11"/>
      <c r="C106" s="8"/>
      <c r="D106" s="8"/>
      <c r="E106" s="8"/>
      <c r="F106" s="8"/>
      <c r="G106" s="8"/>
      <c r="H106" s="8"/>
      <c r="I106" s="8"/>
      <c r="J106" s="8"/>
      <c r="K106" s="8" t="str">
        <f t="shared" si="22"/>
        <v/>
      </c>
      <c r="L106" s="8" t="str">
        <f t="shared" si="23"/>
        <v/>
      </c>
      <c r="M106" s="8" t="str">
        <f t="shared" si="24"/>
        <v/>
      </c>
      <c r="N106" s="8" t="str">
        <f t="shared" si="25"/>
        <v/>
      </c>
      <c r="O106" s="8" t="str">
        <f t="shared" si="26"/>
        <v/>
      </c>
      <c r="P106" s="8" t="str">
        <f t="shared" si="27"/>
        <v>N/A</v>
      </c>
      <c r="Q106" s="8"/>
    </row>
    <row r="107" spans="1:17" ht="15" customHeight="1" x14ac:dyDescent="0.25">
      <c r="A107" s="8" t="str">
        <f t="shared" si="21"/>
        <v/>
      </c>
      <c r="B107" s="11"/>
      <c r="C107" s="8"/>
      <c r="D107" s="8"/>
      <c r="E107" s="8"/>
      <c r="F107" s="8"/>
      <c r="G107" s="8"/>
      <c r="H107" s="8"/>
      <c r="I107" s="8"/>
      <c r="J107" s="8"/>
      <c r="K107" s="8" t="str">
        <f t="shared" si="22"/>
        <v/>
      </c>
      <c r="L107" s="8" t="str">
        <f t="shared" si="23"/>
        <v/>
      </c>
      <c r="M107" s="8" t="str">
        <f t="shared" si="24"/>
        <v/>
      </c>
      <c r="N107" s="8" t="str">
        <f t="shared" si="25"/>
        <v/>
      </c>
      <c r="O107" s="8" t="str">
        <f t="shared" si="26"/>
        <v/>
      </c>
      <c r="P107" s="8" t="str">
        <f t="shared" si="27"/>
        <v>N/A</v>
      </c>
      <c r="Q107" s="8"/>
    </row>
    <row r="108" spans="1:17" ht="15" customHeight="1" x14ac:dyDescent="0.25">
      <c r="A108" s="8" t="str">
        <f t="shared" si="21"/>
        <v/>
      </c>
      <c r="B108" s="11"/>
      <c r="C108" s="8"/>
      <c r="D108" s="8"/>
      <c r="E108" s="8"/>
      <c r="F108" s="8"/>
      <c r="G108" s="8"/>
      <c r="H108" s="8"/>
      <c r="I108" s="8"/>
      <c r="J108" s="8"/>
      <c r="K108" s="8" t="str">
        <f t="shared" si="22"/>
        <v/>
      </c>
      <c r="L108" s="8" t="str">
        <f t="shared" si="23"/>
        <v/>
      </c>
      <c r="M108" s="8" t="str">
        <f t="shared" si="24"/>
        <v/>
      </c>
      <c r="N108" s="8" t="str">
        <f t="shared" si="25"/>
        <v/>
      </c>
      <c r="O108" s="8" t="str">
        <f t="shared" si="26"/>
        <v/>
      </c>
      <c r="P108" s="8" t="str">
        <f t="shared" si="27"/>
        <v>N/A</v>
      </c>
      <c r="Q108" s="8"/>
    </row>
    <row r="109" spans="1:17" ht="15" customHeight="1" x14ac:dyDescent="0.25">
      <c r="A109" s="8" t="str">
        <f t="shared" si="21"/>
        <v/>
      </c>
      <c r="B109" s="11"/>
      <c r="C109" s="8"/>
      <c r="D109" s="8"/>
      <c r="E109" s="8"/>
      <c r="F109" s="8"/>
      <c r="G109" s="8"/>
      <c r="H109" s="8"/>
      <c r="I109" s="8"/>
      <c r="J109" s="8"/>
      <c r="K109" s="8" t="str">
        <f t="shared" si="22"/>
        <v/>
      </c>
      <c r="L109" s="8" t="str">
        <f t="shared" si="23"/>
        <v/>
      </c>
      <c r="M109" s="8" t="str">
        <f t="shared" si="24"/>
        <v/>
      </c>
      <c r="N109" s="8" t="str">
        <f t="shared" si="25"/>
        <v/>
      </c>
      <c r="O109" s="8" t="str">
        <f t="shared" si="26"/>
        <v/>
      </c>
      <c r="P109" s="8" t="str">
        <f t="shared" si="27"/>
        <v>N/A</v>
      </c>
      <c r="Q109" s="8"/>
    </row>
    <row r="110" spans="1:17" ht="15" customHeight="1" x14ac:dyDescent="0.25">
      <c r="A110" s="8" t="str">
        <f t="shared" si="21"/>
        <v/>
      </c>
      <c r="B110" s="11"/>
      <c r="C110" s="8"/>
      <c r="D110" s="8"/>
      <c r="E110" s="8"/>
      <c r="F110" s="8"/>
      <c r="G110" s="8"/>
      <c r="H110" s="8"/>
      <c r="I110" s="8"/>
      <c r="J110" s="8"/>
      <c r="K110" s="8" t="str">
        <f t="shared" si="22"/>
        <v/>
      </c>
      <c r="L110" s="8" t="str">
        <f t="shared" si="23"/>
        <v/>
      </c>
      <c r="M110" s="8" t="str">
        <f t="shared" si="24"/>
        <v/>
      </c>
      <c r="N110" s="8" t="str">
        <f t="shared" si="25"/>
        <v/>
      </c>
      <c r="O110" s="8" t="str">
        <f t="shared" si="26"/>
        <v/>
      </c>
      <c r="P110" s="8" t="str">
        <f t="shared" si="27"/>
        <v>N/A</v>
      </c>
      <c r="Q110" s="8"/>
    </row>
    <row r="111" spans="1:17" ht="15" customHeight="1" x14ac:dyDescent="0.25">
      <c r="A111" s="8" t="str">
        <f t="shared" si="21"/>
        <v/>
      </c>
      <c r="B111" s="11"/>
      <c r="C111" s="8"/>
      <c r="D111" s="8"/>
      <c r="E111" s="8"/>
      <c r="F111" s="8"/>
      <c r="G111" s="8"/>
      <c r="H111" s="8"/>
      <c r="I111" s="8"/>
      <c r="J111" s="8"/>
      <c r="K111" s="8" t="str">
        <f t="shared" si="22"/>
        <v/>
      </c>
      <c r="L111" s="8" t="str">
        <f t="shared" si="23"/>
        <v/>
      </c>
      <c r="M111" s="8" t="str">
        <f t="shared" si="24"/>
        <v/>
      </c>
      <c r="N111" s="8" t="str">
        <f t="shared" si="25"/>
        <v/>
      </c>
      <c r="O111" s="8" t="str">
        <f t="shared" si="26"/>
        <v/>
      </c>
      <c r="P111" s="8" t="str">
        <f t="shared" si="27"/>
        <v>N/A</v>
      </c>
      <c r="Q111" s="8"/>
    </row>
    <row r="112" spans="1:17" ht="15" customHeight="1" x14ac:dyDescent="0.25">
      <c r="A112" s="8" t="str">
        <f t="shared" si="21"/>
        <v/>
      </c>
      <c r="B112" s="11"/>
      <c r="C112" s="8"/>
      <c r="D112" s="8"/>
      <c r="E112" s="8"/>
      <c r="F112" s="8"/>
      <c r="G112" s="8"/>
      <c r="H112" s="8"/>
      <c r="I112" s="8"/>
      <c r="J112" s="8"/>
      <c r="K112" s="8" t="str">
        <f t="shared" si="22"/>
        <v/>
      </c>
      <c r="L112" s="8" t="str">
        <f t="shared" si="23"/>
        <v/>
      </c>
      <c r="M112" s="8" t="str">
        <f t="shared" si="24"/>
        <v/>
      </c>
      <c r="N112" s="8" t="str">
        <f t="shared" si="25"/>
        <v/>
      </c>
      <c r="O112" s="8" t="str">
        <f t="shared" si="26"/>
        <v/>
      </c>
      <c r="P112" s="8" t="str">
        <f t="shared" si="27"/>
        <v>N/A</v>
      </c>
      <c r="Q112" s="8"/>
    </row>
    <row r="113" spans="1:17" ht="15" customHeight="1" x14ac:dyDescent="0.25">
      <c r="A113" s="8" t="str">
        <f t="shared" si="21"/>
        <v/>
      </c>
      <c r="B113" s="11"/>
      <c r="C113" s="8"/>
      <c r="D113" s="8"/>
      <c r="E113" s="8"/>
      <c r="F113" s="8"/>
      <c r="G113" s="8"/>
      <c r="H113" s="8"/>
      <c r="I113" s="8"/>
      <c r="J113" s="8"/>
      <c r="K113" s="8" t="str">
        <f t="shared" si="22"/>
        <v/>
      </c>
      <c r="L113" s="8" t="str">
        <f t="shared" si="23"/>
        <v/>
      </c>
      <c r="M113" s="8" t="str">
        <f t="shared" si="24"/>
        <v/>
      </c>
      <c r="N113" s="8" t="str">
        <f t="shared" si="25"/>
        <v/>
      </c>
      <c r="O113" s="8" t="str">
        <f t="shared" si="26"/>
        <v/>
      </c>
      <c r="P113" s="8" t="str">
        <f t="shared" si="27"/>
        <v>N/A</v>
      </c>
      <c r="Q113" s="8"/>
    </row>
    <row r="114" spans="1:17" ht="15" customHeight="1" x14ac:dyDescent="0.25">
      <c r="A114" s="8" t="str">
        <f t="shared" si="21"/>
        <v/>
      </c>
      <c r="B114" s="11"/>
      <c r="C114" s="8"/>
      <c r="D114" s="8"/>
      <c r="E114" s="8"/>
      <c r="F114" s="8"/>
      <c r="G114" s="8"/>
      <c r="H114" s="8"/>
      <c r="I114" s="8"/>
      <c r="J114" s="8"/>
      <c r="K114" s="8" t="str">
        <f t="shared" si="22"/>
        <v/>
      </c>
      <c r="L114" s="8" t="str">
        <f t="shared" si="23"/>
        <v/>
      </c>
      <c r="M114" s="8" t="str">
        <f t="shared" si="24"/>
        <v/>
      </c>
      <c r="N114" s="8" t="str">
        <f t="shared" si="25"/>
        <v/>
      </c>
      <c r="O114" s="8" t="str">
        <f t="shared" si="26"/>
        <v/>
      </c>
      <c r="P114" s="8" t="str">
        <f t="shared" si="27"/>
        <v>N/A</v>
      </c>
      <c r="Q114" s="8"/>
    </row>
    <row r="115" spans="1:17" ht="15" customHeight="1" x14ac:dyDescent="0.25">
      <c r="A115" s="8" t="str">
        <f t="shared" si="21"/>
        <v/>
      </c>
      <c r="B115" s="11"/>
      <c r="C115" s="8"/>
      <c r="D115" s="8"/>
      <c r="E115" s="8"/>
      <c r="F115" s="8"/>
      <c r="G115" s="8"/>
      <c r="H115" s="8"/>
      <c r="I115" s="8"/>
      <c r="J115" s="8"/>
      <c r="K115" s="8" t="str">
        <f t="shared" si="22"/>
        <v/>
      </c>
      <c r="L115" s="8" t="str">
        <f t="shared" si="23"/>
        <v/>
      </c>
      <c r="M115" s="8" t="str">
        <f t="shared" si="24"/>
        <v/>
      </c>
      <c r="N115" s="8" t="str">
        <f t="shared" si="25"/>
        <v/>
      </c>
      <c r="O115" s="8" t="str">
        <f t="shared" si="26"/>
        <v/>
      </c>
      <c r="P115" s="8" t="str">
        <f t="shared" si="27"/>
        <v>N/A</v>
      </c>
      <c r="Q115" s="8"/>
    </row>
    <row r="116" spans="1:17" ht="15" customHeight="1" x14ac:dyDescent="0.25">
      <c r="A116" s="8" t="str">
        <f t="shared" si="21"/>
        <v/>
      </c>
      <c r="B116" s="11"/>
      <c r="C116" s="8"/>
      <c r="D116" s="8"/>
      <c r="E116" s="8"/>
      <c r="F116" s="8"/>
      <c r="G116" s="8"/>
      <c r="H116" s="8"/>
      <c r="I116" s="8"/>
      <c r="J116" s="8"/>
      <c r="K116" s="8" t="str">
        <f t="shared" si="22"/>
        <v/>
      </c>
      <c r="L116" s="8" t="str">
        <f t="shared" si="23"/>
        <v/>
      </c>
      <c r="M116" s="8" t="str">
        <f t="shared" si="24"/>
        <v/>
      </c>
      <c r="N116" s="8" t="str">
        <f t="shared" si="25"/>
        <v/>
      </c>
      <c r="O116" s="8" t="str">
        <f t="shared" si="26"/>
        <v/>
      </c>
      <c r="P116" s="8" t="str">
        <f t="shared" si="27"/>
        <v>N/A</v>
      </c>
      <c r="Q116" s="8"/>
    </row>
    <row r="117" spans="1:17" ht="15" customHeight="1" x14ac:dyDescent="0.25">
      <c r="A117" s="8" t="str">
        <f t="shared" si="21"/>
        <v/>
      </c>
      <c r="B117" s="11"/>
      <c r="C117" s="8"/>
      <c r="D117" s="8"/>
      <c r="E117" s="8"/>
      <c r="F117" s="8"/>
      <c r="G117" s="8"/>
      <c r="H117" s="8"/>
      <c r="I117" s="8"/>
      <c r="J117" s="8"/>
      <c r="K117" s="8" t="str">
        <f t="shared" si="22"/>
        <v/>
      </c>
      <c r="L117" s="8" t="str">
        <f t="shared" si="23"/>
        <v/>
      </c>
      <c r="M117" s="8" t="str">
        <f t="shared" si="24"/>
        <v/>
      </c>
      <c r="N117" s="8" t="str">
        <f t="shared" si="25"/>
        <v/>
      </c>
      <c r="O117" s="8" t="str">
        <f t="shared" si="26"/>
        <v/>
      </c>
      <c r="P117" s="8" t="str">
        <f t="shared" si="27"/>
        <v>N/A</v>
      </c>
      <c r="Q117" s="8"/>
    </row>
    <row r="118" spans="1:17" ht="15" customHeight="1" x14ac:dyDescent="0.25">
      <c r="A118" s="8" t="str">
        <f t="shared" si="21"/>
        <v/>
      </c>
      <c r="B118" s="11"/>
      <c r="C118" s="8"/>
      <c r="D118" s="8"/>
      <c r="E118" s="8"/>
      <c r="F118" s="8"/>
      <c r="G118" s="8"/>
      <c r="H118" s="8"/>
      <c r="I118" s="8"/>
      <c r="J118" s="8"/>
      <c r="K118" s="8" t="str">
        <f t="shared" si="22"/>
        <v/>
      </c>
      <c r="L118" s="8" t="str">
        <f t="shared" si="23"/>
        <v/>
      </c>
      <c r="M118" s="8" t="str">
        <f t="shared" si="24"/>
        <v/>
      </c>
      <c r="N118" s="8" t="str">
        <f t="shared" si="25"/>
        <v/>
      </c>
      <c r="O118" s="8" t="str">
        <f t="shared" si="26"/>
        <v/>
      </c>
      <c r="P118" s="8" t="str">
        <f t="shared" si="27"/>
        <v>N/A</v>
      </c>
      <c r="Q118" s="8"/>
    </row>
    <row r="119" spans="1:17" ht="15" customHeight="1" x14ac:dyDescent="0.25">
      <c r="A119" s="8" t="str">
        <f t="shared" si="21"/>
        <v/>
      </c>
      <c r="B119" s="11"/>
      <c r="C119" s="8"/>
      <c r="D119" s="8"/>
      <c r="E119" s="8"/>
      <c r="F119" s="8"/>
      <c r="G119" s="8"/>
      <c r="H119" s="8"/>
      <c r="I119" s="8"/>
      <c r="J119" s="8"/>
      <c r="K119" s="8" t="str">
        <f t="shared" si="22"/>
        <v/>
      </c>
      <c r="L119" s="8" t="str">
        <f t="shared" si="23"/>
        <v/>
      </c>
      <c r="M119" s="8" t="str">
        <f t="shared" si="24"/>
        <v/>
      </c>
      <c r="N119" s="8" t="str">
        <f t="shared" si="25"/>
        <v/>
      </c>
      <c r="O119" s="8" t="str">
        <f t="shared" si="26"/>
        <v/>
      </c>
      <c r="P119" s="8" t="str">
        <f t="shared" si="27"/>
        <v>N/A</v>
      </c>
      <c r="Q119" s="8"/>
    </row>
    <row r="120" spans="1:17" ht="15" customHeight="1" x14ac:dyDescent="0.25">
      <c r="A120" s="8" t="str">
        <f t="shared" si="21"/>
        <v/>
      </c>
      <c r="B120" s="11"/>
      <c r="C120" s="8"/>
      <c r="D120" s="8"/>
      <c r="E120" s="8"/>
      <c r="F120" s="8"/>
      <c r="G120" s="8"/>
      <c r="H120" s="8"/>
      <c r="I120" s="8"/>
      <c r="J120" s="8"/>
      <c r="K120" s="8" t="str">
        <f t="shared" si="22"/>
        <v/>
      </c>
      <c r="L120" s="8" t="str">
        <f t="shared" si="23"/>
        <v/>
      </c>
      <c r="M120" s="8" t="str">
        <f t="shared" si="24"/>
        <v/>
      </c>
      <c r="N120" s="8" t="str">
        <f t="shared" si="25"/>
        <v/>
      </c>
      <c r="O120" s="8" t="str">
        <f t="shared" si="26"/>
        <v/>
      </c>
      <c r="P120" s="8" t="str">
        <f t="shared" si="27"/>
        <v>N/A</v>
      </c>
      <c r="Q120" s="8"/>
    </row>
    <row r="121" spans="1:17" ht="15" customHeight="1" x14ac:dyDescent="0.25">
      <c r="A121" s="8" t="str">
        <f t="shared" si="21"/>
        <v/>
      </c>
      <c r="B121" s="11"/>
      <c r="C121" s="8"/>
      <c r="D121" s="8"/>
      <c r="E121" s="8"/>
      <c r="F121" s="8"/>
      <c r="G121" s="8"/>
      <c r="H121" s="8"/>
      <c r="I121" s="8"/>
      <c r="J121" s="8"/>
      <c r="K121" s="8" t="str">
        <f t="shared" si="22"/>
        <v/>
      </c>
      <c r="L121" s="8" t="str">
        <f t="shared" si="23"/>
        <v/>
      </c>
      <c r="M121" s="8" t="str">
        <f t="shared" si="24"/>
        <v/>
      </c>
      <c r="N121" s="8" t="str">
        <f t="shared" si="25"/>
        <v/>
      </c>
      <c r="O121" s="8" t="str">
        <f t="shared" si="26"/>
        <v/>
      </c>
      <c r="P121" s="8" t="str">
        <f t="shared" si="27"/>
        <v>N/A</v>
      </c>
      <c r="Q121" s="8"/>
    </row>
    <row r="122" spans="1:17" ht="15" customHeight="1" x14ac:dyDescent="0.25">
      <c r="A122" s="8" t="str">
        <f t="shared" si="21"/>
        <v/>
      </c>
      <c r="B122" s="11"/>
      <c r="C122" s="8"/>
      <c r="D122" s="8"/>
      <c r="E122" s="8"/>
      <c r="F122" s="8"/>
      <c r="G122" s="8"/>
      <c r="H122" s="8"/>
      <c r="I122" s="8"/>
      <c r="J122" s="8"/>
      <c r="K122" s="8" t="str">
        <f t="shared" si="22"/>
        <v/>
      </c>
      <c r="L122" s="8" t="str">
        <f t="shared" si="23"/>
        <v/>
      </c>
      <c r="M122" s="8" t="str">
        <f t="shared" si="24"/>
        <v/>
      </c>
      <c r="N122" s="8" t="str">
        <f t="shared" si="25"/>
        <v/>
      </c>
      <c r="O122" s="8" t="str">
        <f t="shared" si="26"/>
        <v/>
      </c>
      <c r="P122" s="8" t="str">
        <f t="shared" si="27"/>
        <v>N/A</v>
      </c>
      <c r="Q122" s="8"/>
    </row>
    <row r="123" spans="1:17" ht="15" customHeight="1" x14ac:dyDescent="0.25">
      <c r="A123" s="8" t="str">
        <f t="shared" si="21"/>
        <v/>
      </c>
      <c r="B123" s="11"/>
      <c r="C123" s="8"/>
      <c r="D123" s="8"/>
      <c r="E123" s="8"/>
      <c r="F123" s="8"/>
      <c r="G123" s="8"/>
      <c r="H123" s="8"/>
      <c r="I123" s="8"/>
      <c r="J123" s="8"/>
      <c r="K123" s="8" t="str">
        <f t="shared" si="22"/>
        <v/>
      </c>
      <c r="L123" s="8" t="str">
        <f t="shared" si="23"/>
        <v/>
      </c>
      <c r="M123" s="8" t="str">
        <f t="shared" si="24"/>
        <v/>
      </c>
      <c r="N123" s="8" t="str">
        <f t="shared" si="25"/>
        <v/>
      </c>
      <c r="O123" s="8" t="str">
        <f t="shared" si="26"/>
        <v/>
      </c>
      <c r="P123" s="8" t="str">
        <f t="shared" si="27"/>
        <v>N/A</v>
      </c>
      <c r="Q123" s="8"/>
    </row>
    <row r="124" spans="1:17" ht="15" customHeight="1" x14ac:dyDescent="0.25">
      <c r="A124" s="8" t="str">
        <f t="shared" si="21"/>
        <v/>
      </c>
      <c r="B124" s="11"/>
      <c r="C124" s="8"/>
      <c r="D124" s="8"/>
      <c r="E124" s="8"/>
      <c r="F124" s="8"/>
      <c r="G124" s="8"/>
      <c r="H124" s="8"/>
      <c r="I124" s="8"/>
      <c r="J124" s="8"/>
      <c r="K124" s="8" t="str">
        <f t="shared" si="22"/>
        <v/>
      </c>
      <c r="L124" s="8" t="str">
        <f t="shared" si="23"/>
        <v/>
      </c>
      <c r="M124" s="8" t="str">
        <f t="shared" si="24"/>
        <v/>
      </c>
      <c r="N124" s="8" t="str">
        <f t="shared" si="25"/>
        <v/>
      </c>
      <c r="O124" s="8" t="str">
        <f t="shared" si="26"/>
        <v/>
      </c>
      <c r="P124" s="8" t="str">
        <f t="shared" si="27"/>
        <v>N/A</v>
      </c>
      <c r="Q124" s="8"/>
    </row>
    <row r="125" spans="1:17" ht="15" customHeight="1" x14ac:dyDescent="0.25">
      <c r="A125" s="8" t="str">
        <f t="shared" si="21"/>
        <v/>
      </c>
      <c r="B125" s="11"/>
      <c r="C125" s="8"/>
      <c r="D125" s="8"/>
      <c r="E125" s="8"/>
      <c r="F125" s="8"/>
      <c r="G125" s="8"/>
      <c r="H125" s="8"/>
      <c r="I125" s="8"/>
      <c r="J125" s="8"/>
      <c r="K125" s="8" t="str">
        <f t="shared" si="22"/>
        <v/>
      </c>
      <c r="L125" s="8" t="str">
        <f t="shared" si="23"/>
        <v/>
      </c>
      <c r="M125" s="8" t="str">
        <f t="shared" si="24"/>
        <v/>
      </c>
      <c r="N125" s="8" t="str">
        <f t="shared" si="25"/>
        <v/>
      </c>
      <c r="O125" s="8" t="str">
        <f t="shared" si="26"/>
        <v/>
      </c>
      <c r="P125" s="8" t="str">
        <f t="shared" si="27"/>
        <v>N/A</v>
      </c>
      <c r="Q125" s="8"/>
    </row>
    <row r="126" spans="1:17" ht="15" customHeight="1" x14ac:dyDescent="0.25">
      <c r="A126" s="8" t="str">
        <f t="shared" si="21"/>
        <v/>
      </c>
      <c r="B126" s="11"/>
      <c r="C126" s="8"/>
      <c r="D126" s="8"/>
      <c r="E126" s="8"/>
      <c r="F126" s="8"/>
      <c r="G126" s="8"/>
      <c r="H126" s="8"/>
      <c r="I126" s="8"/>
      <c r="J126" s="8"/>
      <c r="K126" s="8" t="str">
        <f t="shared" si="22"/>
        <v/>
      </c>
      <c r="L126" s="8" t="str">
        <f t="shared" si="23"/>
        <v/>
      </c>
      <c r="M126" s="8" t="str">
        <f t="shared" si="24"/>
        <v/>
      </c>
      <c r="N126" s="8" t="str">
        <f t="shared" si="25"/>
        <v/>
      </c>
      <c r="O126" s="8" t="str">
        <f t="shared" si="26"/>
        <v/>
      </c>
      <c r="P126" s="8" t="str">
        <f t="shared" si="27"/>
        <v>N/A</v>
      </c>
      <c r="Q126" s="8"/>
    </row>
    <row r="127" spans="1:17" ht="15" customHeight="1" x14ac:dyDescent="0.25">
      <c r="A127" s="8" t="str">
        <f t="shared" si="21"/>
        <v/>
      </c>
      <c r="B127" s="11"/>
      <c r="C127" s="8"/>
      <c r="D127" s="8"/>
      <c r="E127" s="8"/>
      <c r="F127" s="8"/>
      <c r="G127" s="8"/>
      <c r="H127" s="8"/>
      <c r="I127" s="8"/>
      <c r="J127" s="8"/>
      <c r="K127" s="8" t="str">
        <f t="shared" si="22"/>
        <v/>
      </c>
      <c r="L127" s="8" t="str">
        <f t="shared" si="23"/>
        <v/>
      </c>
      <c r="M127" s="8" t="str">
        <f t="shared" si="24"/>
        <v/>
      </c>
      <c r="N127" s="8" t="str">
        <f t="shared" si="25"/>
        <v/>
      </c>
      <c r="O127" s="8" t="str">
        <f t="shared" si="26"/>
        <v/>
      </c>
      <c r="P127" s="8" t="str">
        <f t="shared" si="27"/>
        <v>N/A</v>
      </c>
      <c r="Q127" s="8"/>
    </row>
    <row r="128" spans="1:17" ht="15" customHeight="1" x14ac:dyDescent="0.25">
      <c r="A128" s="8" t="str">
        <f t="shared" si="21"/>
        <v/>
      </c>
      <c r="B128" s="11"/>
      <c r="C128" s="8"/>
      <c r="D128" s="8"/>
      <c r="E128" s="8"/>
      <c r="F128" s="8"/>
      <c r="G128" s="8"/>
      <c r="H128" s="8"/>
      <c r="I128" s="8"/>
      <c r="J128" s="8"/>
      <c r="K128" s="8" t="str">
        <f t="shared" si="22"/>
        <v/>
      </c>
      <c r="L128" s="8" t="str">
        <f t="shared" si="23"/>
        <v/>
      </c>
      <c r="M128" s="8" t="str">
        <f t="shared" si="24"/>
        <v/>
      </c>
      <c r="N128" s="8" t="str">
        <f t="shared" si="25"/>
        <v/>
      </c>
      <c r="O128" s="8" t="str">
        <f t="shared" si="26"/>
        <v/>
      </c>
      <c r="P128" s="8" t="str">
        <f t="shared" si="27"/>
        <v>N/A</v>
      </c>
      <c r="Q128" s="8"/>
    </row>
    <row r="129" spans="1:17" ht="15" customHeight="1" x14ac:dyDescent="0.25">
      <c r="A129" s="8" t="str">
        <f t="shared" si="21"/>
        <v/>
      </c>
      <c r="B129" s="11"/>
      <c r="C129" s="8"/>
      <c r="D129" s="8"/>
      <c r="E129" s="8"/>
      <c r="F129" s="8"/>
      <c r="G129" s="8"/>
      <c r="H129" s="8"/>
      <c r="I129" s="8"/>
      <c r="J129" s="8"/>
      <c r="K129" s="8" t="str">
        <f t="shared" si="22"/>
        <v/>
      </c>
      <c r="L129" s="8" t="str">
        <f t="shared" si="23"/>
        <v/>
      </c>
      <c r="M129" s="8" t="str">
        <f t="shared" si="24"/>
        <v/>
      </c>
      <c r="N129" s="8" t="str">
        <f t="shared" si="25"/>
        <v/>
      </c>
      <c r="O129" s="8" t="str">
        <f t="shared" si="26"/>
        <v/>
      </c>
      <c r="P129" s="8" t="str">
        <f t="shared" si="27"/>
        <v>N/A</v>
      </c>
      <c r="Q129" s="8"/>
    </row>
    <row r="130" spans="1:17" ht="15" customHeight="1" x14ac:dyDescent="0.25">
      <c r="A130" s="8" t="str">
        <f t="shared" ref="A130:A161" si="28">IF(B130="","",ROW()-1)</f>
        <v/>
      </c>
      <c r="B130" s="11"/>
      <c r="C130" s="8"/>
      <c r="D130" s="8"/>
      <c r="E130" s="8"/>
      <c r="F130" s="8"/>
      <c r="G130" s="8"/>
      <c r="H130" s="8"/>
      <c r="I130" s="8"/>
      <c r="J130" s="8"/>
      <c r="K130" s="8" t="str">
        <f t="shared" ref="K130:K161" si="29">IF(G130="","",IF(G130="SIM",1,0))</f>
        <v/>
      </c>
      <c r="L130" s="8" t="str">
        <f t="shared" ref="L130:L161" si="30">IF(H130="","",IF(H130="Automático",1,IF(H130="Manual",0.5,IF(H130="Não atualizado",0,""))))</f>
        <v/>
      </c>
      <c r="M130" s="8" t="str">
        <f t="shared" ref="M130:M161" si="31">IF(I130="","",IF(I130="SIM",1,0))</f>
        <v/>
      </c>
      <c r="N130" s="8" t="str">
        <f t="shared" ref="N130:N161" si="32">IF(J130="","",IF(J130="Conformidade",1,IF(J130="Não Conformidade",0,IF(J130="Não Conformidade Grave",-1,""))))</f>
        <v/>
      </c>
      <c r="O130" s="8" t="str">
        <f t="shared" ref="O130:O161" si="33">IF(COUNTA(G130:J130)=0,"",ROUND(AVERAGE(K130:N130)*100,0))</f>
        <v/>
      </c>
      <c r="P130" s="8" t="str">
        <f t="shared" ref="P130:P161" si="34">IFERROR(AVERAGEIF(C$2:C$201,C130,O$2:O$201),"N/A")</f>
        <v>N/A</v>
      </c>
      <c r="Q130" s="8"/>
    </row>
    <row r="131" spans="1:17" ht="15" customHeight="1" x14ac:dyDescent="0.25">
      <c r="A131" s="8" t="str">
        <f t="shared" si="28"/>
        <v/>
      </c>
      <c r="B131" s="11"/>
      <c r="C131" s="8"/>
      <c r="D131" s="8"/>
      <c r="E131" s="8"/>
      <c r="F131" s="8"/>
      <c r="G131" s="8"/>
      <c r="H131" s="8"/>
      <c r="I131" s="8"/>
      <c r="J131" s="8"/>
      <c r="K131" s="8" t="str">
        <f t="shared" si="29"/>
        <v/>
      </c>
      <c r="L131" s="8" t="str">
        <f t="shared" si="30"/>
        <v/>
      </c>
      <c r="M131" s="8" t="str">
        <f t="shared" si="31"/>
        <v/>
      </c>
      <c r="N131" s="8" t="str">
        <f t="shared" si="32"/>
        <v/>
      </c>
      <c r="O131" s="8" t="str">
        <f t="shared" si="33"/>
        <v/>
      </c>
      <c r="P131" s="8" t="str">
        <f t="shared" si="34"/>
        <v>N/A</v>
      </c>
      <c r="Q131" s="8"/>
    </row>
    <row r="132" spans="1:17" ht="15" customHeight="1" x14ac:dyDescent="0.25">
      <c r="A132" s="8" t="str">
        <f t="shared" si="28"/>
        <v/>
      </c>
      <c r="B132" s="11"/>
      <c r="C132" s="8"/>
      <c r="D132" s="8"/>
      <c r="E132" s="8"/>
      <c r="F132" s="8"/>
      <c r="G132" s="8"/>
      <c r="H132" s="8"/>
      <c r="I132" s="8"/>
      <c r="J132" s="8"/>
      <c r="K132" s="8" t="str">
        <f t="shared" si="29"/>
        <v/>
      </c>
      <c r="L132" s="8" t="str">
        <f t="shared" si="30"/>
        <v/>
      </c>
      <c r="M132" s="8" t="str">
        <f t="shared" si="31"/>
        <v/>
      </c>
      <c r="N132" s="8" t="str">
        <f t="shared" si="32"/>
        <v/>
      </c>
      <c r="O132" s="8" t="str">
        <f t="shared" si="33"/>
        <v/>
      </c>
      <c r="P132" s="8" t="str">
        <f t="shared" si="34"/>
        <v>N/A</v>
      </c>
      <c r="Q132" s="8"/>
    </row>
    <row r="133" spans="1:17" ht="15" customHeight="1" x14ac:dyDescent="0.25">
      <c r="A133" s="8" t="str">
        <f t="shared" si="28"/>
        <v/>
      </c>
      <c r="B133" s="11"/>
      <c r="C133" s="8"/>
      <c r="D133" s="8"/>
      <c r="E133" s="8"/>
      <c r="F133" s="8"/>
      <c r="G133" s="8"/>
      <c r="H133" s="8"/>
      <c r="I133" s="8"/>
      <c r="J133" s="8"/>
      <c r="K133" s="8" t="str">
        <f t="shared" si="29"/>
        <v/>
      </c>
      <c r="L133" s="8" t="str">
        <f t="shared" si="30"/>
        <v/>
      </c>
      <c r="M133" s="8" t="str">
        <f t="shared" si="31"/>
        <v/>
      </c>
      <c r="N133" s="8" t="str">
        <f t="shared" si="32"/>
        <v/>
      </c>
      <c r="O133" s="8" t="str">
        <f t="shared" si="33"/>
        <v/>
      </c>
      <c r="P133" s="8" t="str">
        <f t="shared" si="34"/>
        <v>N/A</v>
      </c>
      <c r="Q133" s="8"/>
    </row>
    <row r="134" spans="1:17" ht="15" customHeight="1" x14ac:dyDescent="0.25">
      <c r="A134" s="8" t="str">
        <f t="shared" si="28"/>
        <v/>
      </c>
      <c r="B134" s="11"/>
      <c r="C134" s="8"/>
      <c r="D134" s="8"/>
      <c r="E134" s="8"/>
      <c r="F134" s="8"/>
      <c r="G134" s="8"/>
      <c r="H134" s="8"/>
      <c r="I134" s="8"/>
      <c r="J134" s="8"/>
      <c r="K134" s="8" t="str">
        <f t="shared" si="29"/>
        <v/>
      </c>
      <c r="L134" s="8" t="str">
        <f t="shared" si="30"/>
        <v/>
      </c>
      <c r="M134" s="8" t="str">
        <f t="shared" si="31"/>
        <v/>
      </c>
      <c r="N134" s="8" t="str">
        <f t="shared" si="32"/>
        <v/>
      </c>
      <c r="O134" s="8" t="str">
        <f t="shared" si="33"/>
        <v/>
      </c>
      <c r="P134" s="8" t="str">
        <f t="shared" si="34"/>
        <v>N/A</v>
      </c>
      <c r="Q134" s="8"/>
    </row>
    <row r="135" spans="1:17" ht="15" customHeight="1" x14ac:dyDescent="0.25">
      <c r="A135" s="8" t="str">
        <f t="shared" si="28"/>
        <v/>
      </c>
      <c r="B135" s="11"/>
      <c r="C135" s="8"/>
      <c r="D135" s="8"/>
      <c r="E135" s="8"/>
      <c r="F135" s="8"/>
      <c r="G135" s="8"/>
      <c r="H135" s="8"/>
      <c r="I135" s="8"/>
      <c r="J135" s="8"/>
      <c r="K135" s="8" t="str">
        <f t="shared" si="29"/>
        <v/>
      </c>
      <c r="L135" s="8" t="str">
        <f t="shared" si="30"/>
        <v/>
      </c>
      <c r="M135" s="8" t="str">
        <f t="shared" si="31"/>
        <v/>
      </c>
      <c r="N135" s="8" t="str">
        <f t="shared" si="32"/>
        <v/>
      </c>
      <c r="O135" s="8" t="str">
        <f t="shared" si="33"/>
        <v/>
      </c>
      <c r="P135" s="8" t="str">
        <f t="shared" si="34"/>
        <v>N/A</v>
      </c>
      <c r="Q135" s="8"/>
    </row>
    <row r="136" spans="1:17" ht="15" customHeight="1" x14ac:dyDescent="0.25">
      <c r="A136" s="8" t="str">
        <f t="shared" si="28"/>
        <v/>
      </c>
      <c r="B136" s="11"/>
      <c r="C136" s="8"/>
      <c r="D136" s="8"/>
      <c r="E136" s="8"/>
      <c r="F136" s="8"/>
      <c r="G136" s="8"/>
      <c r="H136" s="8"/>
      <c r="I136" s="8"/>
      <c r="J136" s="8"/>
      <c r="K136" s="8" t="str">
        <f t="shared" si="29"/>
        <v/>
      </c>
      <c r="L136" s="8" t="str">
        <f t="shared" si="30"/>
        <v/>
      </c>
      <c r="M136" s="8" t="str">
        <f t="shared" si="31"/>
        <v/>
      </c>
      <c r="N136" s="8" t="str">
        <f t="shared" si="32"/>
        <v/>
      </c>
      <c r="O136" s="8" t="str">
        <f t="shared" si="33"/>
        <v/>
      </c>
      <c r="P136" s="8" t="str">
        <f t="shared" si="34"/>
        <v>N/A</v>
      </c>
      <c r="Q136" s="8"/>
    </row>
    <row r="137" spans="1:17" ht="15" customHeight="1" x14ac:dyDescent="0.25">
      <c r="A137" s="8" t="str">
        <f t="shared" si="28"/>
        <v/>
      </c>
      <c r="B137" s="11"/>
      <c r="C137" s="8"/>
      <c r="D137" s="8"/>
      <c r="E137" s="8"/>
      <c r="F137" s="8"/>
      <c r="G137" s="8"/>
      <c r="H137" s="8"/>
      <c r="I137" s="8"/>
      <c r="J137" s="8"/>
      <c r="K137" s="8" t="str">
        <f t="shared" si="29"/>
        <v/>
      </c>
      <c r="L137" s="8" t="str">
        <f t="shared" si="30"/>
        <v/>
      </c>
      <c r="M137" s="8" t="str">
        <f t="shared" si="31"/>
        <v/>
      </c>
      <c r="N137" s="8" t="str">
        <f t="shared" si="32"/>
        <v/>
      </c>
      <c r="O137" s="8" t="str">
        <f t="shared" si="33"/>
        <v/>
      </c>
      <c r="P137" s="8" t="str">
        <f t="shared" si="34"/>
        <v>N/A</v>
      </c>
      <c r="Q137" s="8"/>
    </row>
    <row r="138" spans="1:17" ht="15" customHeight="1" x14ac:dyDescent="0.25">
      <c r="A138" s="8" t="str">
        <f t="shared" si="28"/>
        <v/>
      </c>
      <c r="B138" s="11"/>
      <c r="C138" s="8"/>
      <c r="D138" s="8"/>
      <c r="E138" s="8"/>
      <c r="F138" s="8"/>
      <c r="G138" s="8"/>
      <c r="H138" s="8"/>
      <c r="I138" s="8"/>
      <c r="J138" s="8"/>
      <c r="K138" s="8" t="str">
        <f t="shared" si="29"/>
        <v/>
      </c>
      <c r="L138" s="8" t="str">
        <f t="shared" si="30"/>
        <v/>
      </c>
      <c r="M138" s="8" t="str">
        <f t="shared" si="31"/>
        <v/>
      </c>
      <c r="N138" s="8" t="str">
        <f t="shared" si="32"/>
        <v/>
      </c>
      <c r="O138" s="8" t="str">
        <f t="shared" si="33"/>
        <v/>
      </c>
      <c r="P138" s="8" t="str">
        <f t="shared" si="34"/>
        <v>N/A</v>
      </c>
      <c r="Q138" s="8"/>
    </row>
    <row r="139" spans="1:17" ht="15" customHeight="1" x14ac:dyDescent="0.25">
      <c r="A139" s="8" t="str">
        <f t="shared" si="28"/>
        <v/>
      </c>
      <c r="B139" s="11"/>
      <c r="C139" s="8"/>
      <c r="D139" s="8"/>
      <c r="E139" s="8"/>
      <c r="F139" s="8"/>
      <c r="G139" s="8"/>
      <c r="H139" s="8"/>
      <c r="I139" s="8"/>
      <c r="J139" s="8"/>
      <c r="K139" s="8" t="str">
        <f t="shared" si="29"/>
        <v/>
      </c>
      <c r="L139" s="8" t="str">
        <f t="shared" si="30"/>
        <v/>
      </c>
      <c r="M139" s="8" t="str">
        <f t="shared" si="31"/>
        <v/>
      </c>
      <c r="N139" s="8" t="str">
        <f t="shared" si="32"/>
        <v/>
      </c>
      <c r="O139" s="8" t="str">
        <f t="shared" si="33"/>
        <v/>
      </c>
      <c r="P139" s="8" t="str">
        <f t="shared" si="34"/>
        <v>N/A</v>
      </c>
      <c r="Q139" s="8"/>
    </row>
    <row r="140" spans="1:17" ht="15" customHeight="1" x14ac:dyDescent="0.25">
      <c r="A140" s="8" t="str">
        <f t="shared" si="28"/>
        <v/>
      </c>
      <c r="B140" s="11"/>
      <c r="C140" s="8"/>
      <c r="D140" s="8"/>
      <c r="E140" s="8"/>
      <c r="F140" s="8"/>
      <c r="G140" s="8"/>
      <c r="H140" s="8"/>
      <c r="I140" s="8"/>
      <c r="J140" s="8"/>
      <c r="K140" s="8" t="str">
        <f t="shared" si="29"/>
        <v/>
      </c>
      <c r="L140" s="8" t="str">
        <f t="shared" si="30"/>
        <v/>
      </c>
      <c r="M140" s="8" t="str">
        <f t="shared" si="31"/>
        <v/>
      </c>
      <c r="N140" s="8" t="str">
        <f t="shared" si="32"/>
        <v/>
      </c>
      <c r="O140" s="8" t="str">
        <f t="shared" si="33"/>
        <v/>
      </c>
      <c r="P140" s="8" t="str">
        <f t="shared" si="34"/>
        <v>N/A</v>
      </c>
      <c r="Q140" s="8"/>
    </row>
    <row r="141" spans="1:17" ht="15" customHeight="1" x14ac:dyDescent="0.25">
      <c r="A141" s="8" t="str">
        <f t="shared" si="28"/>
        <v/>
      </c>
      <c r="B141" s="11"/>
      <c r="C141" s="8"/>
      <c r="D141" s="8"/>
      <c r="E141" s="8"/>
      <c r="F141" s="8"/>
      <c r="G141" s="8"/>
      <c r="H141" s="8"/>
      <c r="I141" s="8"/>
      <c r="J141" s="8"/>
      <c r="K141" s="8" t="str">
        <f t="shared" si="29"/>
        <v/>
      </c>
      <c r="L141" s="8" t="str">
        <f t="shared" si="30"/>
        <v/>
      </c>
      <c r="M141" s="8" t="str">
        <f t="shared" si="31"/>
        <v/>
      </c>
      <c r="N141" s="8" t="str">
        <f t="shared" si="32"/>
        <v/>
      </c>
      <c r="O141" s="8" t="str">
        <f t="shared" si="33"/>
        <v/>
      </c>
      <c r="P141" s="8" t="str">
        <f t="shared" si="34"/>
        <v>N/A</v>
      </c>
      <c r="Q141" s="8"/>
    </row>
    <row r="142" spans="1:17" ht="15" customHeight="1" x14ac:dyDescent="0.25">
      <c r="A142" s="8" t="str">
        <f t="shared" si="28"/>
        <v/>
      </c>
      <c r="B142" s="11"/>
      <c r="C142" s="8"/>
      <c r="D142" s="8"/>
      <c r="E142" s="8"/>
      <c r="F142" s="8"/>
      <c r="G142" s="8"/>
      <c r="H142" s="8"/>
      <c r="I142" s="8"/>
      <c r="J142" s="8"/>
      <c r="K142" s="8" t="str">
        <f t="shared" si="29"/>
        <v/>
      </c>
      <c r="L142" s="8" t="str">
        <f t="shared" si="30"/>
        <v/>
      </c>
      <c r="M142" s="8" t="str">
        <f t="shared" si="31"/>
        <v/>
      </c>
      <c r="N142" s="8" t="str">
        <f t="shared" si="32"/>
        <v/>
      </c>
      <c r="O142" s="8" t="str">
        <f t="shared" si="33"/>
        <v/>
      </c>
      <c r="P142" s="8" t="str">
        <f t="shared" si="34"/>
        <v>N/A</v>
      </c>
      <c r="Q142" s="8"/>
    </row>
    <row r="143" spans="1:17" ht="15" customHeight="1" x14ac:dyDescent="0.25">
      <c r="A143" s="8" t="str">
        <f t="shared" si="28"/>
        <v/>
      </c>
      <c r="B143" s="11"/>
      <c r="C143" s="8"/>
      <c r="D143" s="8"/>
      <c r="E143" s="8"/>
      <c r="F143" s="8"/>
      <c r="G143" s="8"/>
      <c r="H143" s="8"/>
      <c r="I143" s="8"/>
      <c r="J143" s="8"/>
      <c r="K143" s="8" t="str">
        <f t="shared" si="29"/>
        <v/>
      </c>
      <c r="L143" s="8" t="str">
        <f t="shared" si="30"/>
        <v/>
      </c>
      <c r="M143" s="8" t="str">
        <f t="shared" si="31"/>
        <v/>
      </c>
      <c r="N143" s="8" t="str">
        <f t="shared" si="32"/>
        <v/>
      </c>
      <c r="O143" s="8" t="str">
        <f t="shared" si="33"/>
        <v/>
      </c>
      <c r="P143" s="8" t="str">
        <f t="shared" si="34"/>
        <v>N/A</v>
      </c>
      <c r="Q143" s="8"/>
    </row>
    <row r="144" spans="1:17" ht="15" customHeight="1" x14ac:dyDescent="0.25">
      <c r="A144" s="8" t="str">
        <f t="shared" si="28"/>
        <v/>
      </c>
      <c r="B144" s="11"/>
      <c r="C144" s="8"/>
      <c r="D144" s="8"/>
      <c r="E144" s="8"/>
      <c r="F144" s="8"/>
      <c r="G144" s="8"/>
      <c r="H144" s="8"/>
      <c r="I144" s="8"/>
      <c r="J144" s="8"/>
      <c r="K144" s="8" t="str">
        <f t="shared" si="29"/>
        <v/>
      </c>
      <c r="L144" s="8" t="str">
        <f t="shared" si="30"/>
        <v/>
      </c>
      <c r="M144" s="8" t="str">
        <f t="shared" si="31"/>
        <v/>
      </c>
      <c r="N144" s="8" t="str">
        <f t="shared" si="32"/>
        <v/>
      </c>
      <c r="O144" s="8" t="str">
        <f t="shared" si="33"/>
        <v/>
      </c>
      <c r="P144" s="8" t="str">
        <f t="shared" si="34"/>
        <v>N/A</v>
      </c>
      <c r="Q144" s="8"/>
    </row>
    <row r="145" spans="1:17" ht="15" customHeight="1" x14ac:dyDescent="0.25">
      <c r="A145" s="8" t="str">
        <f t="shared" si="28"/>
        <v/>
      </c>
      <c r="B145" s="11"/>
      <c r="C145" s="8"/>
      <c r="D145" s="8"/>
      <c r="E145" s="8"/>
      <c r="F145" s="8"/>
      <c r="G145" s="8"/>
      <c r="H145" s="8"/>
      <c r="I145" s="8"/>
      <c r="J145" s="8"/>
      <c r="K145" s="8" t="str">
        <f t="shared" si="29"/>
        <v/>
      </c>
      <c r="L145" s="8" t="str">
        <f t="shared" si="30"/>
        <v/>
      </c>
      <c r="M145" s="8" t="str">
        <f t="shared" si="31"/>
        <v/>
      </c>
      <c r="N145" s="8" t="str">
        <f t="shared" si="32"/>
        <v/>
      </c>
      <c r="O145" s="8" t="str">
        <f t="shared" si="33"/>
        <v/>
      </c>
      <c r="P145" s="8" t="str">
        <f t="shared" si="34"/>
        <v>N/A</v>
      </c>
      <c r="Q145" s="8"/>
    </row>
    <row r="146" spans="1:17" ht="15" customHeight="1" x14ac:dyDescent="0.25">
      <c r="A146" s="8" t="str">
        <f t="shared" si="28"/>
        <v/>
      </c>
      <c r="B146" s="11"/>
      <c r="C146" s="8"/>
      <c r="D146" s="8"/>
      <c r="E146" s="8"/>
      <c r="F146" s="8"/>
      <c r="G146" s="8"/>
      <c r="H146" s="8"/>
      <c r="I146" s="8"/>
      <c r="J146" s="8"/>
      <c r="K146" s="8" t="str">
        <f t="shared" si="29"/>
        <v/>
      </c>
      <c r="L146" s="8" t="str">
        <f t="shared" si="30"/>
        <v/>
      </c>
      <c r="M146" s="8" t="str">
        <f t="shared" si="31"/>
        <v/>
      </c>
      <c r="N146" s="8" t="str">
        <f t="shared" si="32"/>
        <v/>
      </c>
      <c r="O146" s="8" t="str">
        <f t="shared" si="33"/>
        <v/>
      </c>
      <c r="P146" s="8" t="str">
        <f t="shared" si="34"/>
        <v>N/A</v>
      </c>
      <c r="Q146" s="8"/>
    </row>
    <row r="147" spans="1:17" ht="15" customHeight="1" x14ac:dyDescent="0.25">
      <c r="A147" s="8" t="str">
        <f t="shared" si="28"/>
        <v/>
      </c>
      <c r="B147" s="11"/>
      <c r="C147" s="8"/>
      <c r="D147" s="8"/>
      <c r="E147" s="8"/>
      <c r="F147" s="8"/>
      <c r="G147" s="8"/>
      <c r="H147" s="8"/>
      <c r="I147" s="8"/>
      <c r="J147" s="8"/>
      <c r="K147" s="8" t="str">
        <f t="shared" si="29"/>
        <v/>
      </c>
      <c r="L147" s="8" t="str">
        <f t="shared" si="30"/>
        <v/>
      </c>
      <c r="M147" s="8" t="str">
        <f t="shared" si="31"/>
        <v/>
      </c>
      <c r="N147" s="8" t="str">
        <f t="shared" si="32"/>
        <v/>
      </c>
      <c r="O147" s="8" t="str">
        <f t="shared" si="33"/>
        <v/>
      </c>
      <c r="P147" s="8" t="str">
        <f t="shared" si="34"/>
        <v>N/A</v>
      </c>
      <c r="Q147" s="8"/>
    </row>
    <row r="148" spans="1:17" ht="15" customHeight="1" x14ac:dyDescent="0.25">
      <c r="A148" s="8" t="str">
        <f t="shared" si="28"/>
        <v/>
      </c>
      <c r="B148" s="11"/>
      <c r="C148" s="8"/>
      <c r="D148" s="8"/>
      <c r="E148" s="8"/>
      <c r="F148" s="8"/>
      <c r="G148" s="8"/>
      <c r="H148" s="8"/>
      <c r="I148" s="8"/>
      <c r="J148" s="8"/>
      <c r="K148" s="8" t="str">
        <f t="shared" si="29"/>
        <v/>
      </c>
      <c r="L148" s="8" t="str">
        <f t="shared" si="30"/>
        <v/>
      </c>
      <c r="M148" s="8" t="str">
        <f t="shared" si="31"/>
        <v/>
      </c>
      <c r="N148" s="8" t="str">
        <f t="shared" si="32"/>
        <v/>
      </c>
      <c r="O148" s="8" t="str">
        <f t="shared" si="33"/>
        <v/>
      </c>
      <c r="P148" s="8" t="str">
        <f t="shared" si="34"/>
        <v>N/A</v>
      </c>
      <c r="Q148" s="8"/>
    </row>
    <row r="149" spans="1:17" ht="15" customHeight="1" x14ac:dyDescent="0.25">
      <c r="A149" s="8" t="str">
        <f t="shared" si="28"/>
        <v/>
      </c>
      <c r="B149" s="11"/>
      <c r="C149" s="8"/>
      <c r="D149" s="8"/>
      <c r="E149" s="8"/>
      <c r="F149" s="8"/>
      <c r="G149" s="8"/>
      <c r="H149" s="8"/>
      <c r="I149" s="8"/>
      <c r="J149" s="8"/>
      <c r="K149" s="8" t="str">
        <f t="shared" si="29"/>
        <v/>
      </c>
      <c r="L149" s="8" t="str">
        <f t="shared" si="30"/>
        <v/>
      </c>
      <c r="M149" s="8" t="str">
        <f t="shared" si="31"/>
        <v/>
      </c>
      <c r="N149" s="8" t="str">
        <f t="shared" si="32"/>
        <v/>
      </c>
      <c r="O149" s="8" t="str">
        <f t="shared" si="33"/>
        <v/>
      </c>
      <c r="P149" s="8" t="str">
        <f t="shared" si="34"/>
        <v>N/A</v>
      </c>
      <c r="Q149" s="8"/>
    </row>
    <row r="150" spans="1:17" ht="15" customHeight="1" x14ac:dyDescent="0.25">
      <c r="A150" s="8" t="str">
        <f t="shared" si="28"/>
        <v/>
      </c>
      <c r="B150" s="11"/>
      <c r="C150" s="8"/>
      <c r="D150" s="8"/>
      <c r="E150" s="8"/>
      <c r="F150" s="8"/>
      <c r="G150" s="8"/>
      <c r="H150" s="8"/>
      <c r="I150" s="8"/>
      <c r="J150" s="8"/>
      <c r="K150" s="8" t="str">
        <f t="shared" si="29"/>
        <v/>
      </c>
      <c r="L150" s="8" t="str">
        <f t="shared" si="30"/>
        <v/>
      </c>
      <c r="M150" s="8" t="str">
        <f t="shared" si="31"/>
        <v/>
      </c>
      <c r="N150" s="8" t="str">
        <f t="shared" si="32"/>
        <v/>
      </c>
      <c r="O150" s="8" t="str">
        <f t="shared" si="33"/>
        <v/>
      </c>
      <c r="P150" s="8" t="str">
        <f t="shared" si="34"/>
        <v>N/A</v>
      </c>
      <c r="Q150" s="8"/>
    </row>
    <row r="151" spans="1:17" ht="15" customHeight="1" x14ac:dyDescent="0.25">
      <c r="A151" s="8" t="str">
        <f t="shared" si="28"/>
        <v/>
      </c>
      <c r="B151" s="11"/>
      <c r="C151" s="8"/>
      <c r="D151" s="8"/>
      <c r="E151" s="8"/>
      <c r="F151" s="8"/>
      <c r="G151" s="8"/>
      <c r="H151" s="8"/>
      <c r="I151" s="8"/>
      <c r="J151" s="8"/>
      <c r="K151" s="8" t="str">
        <f t="shared" si="29"/>
        <v/>
      </c>
      <c r="L151" s="8" t="str">
        <f t="shared" si="30"/>
        <v/>
      </c>
      <c r="M151" s="8" t="str">
        <f t="shared" si="31"/>
        <v/>
      </c>
      <c r="N151" s="8" t="str">
        <f t="shared" si="32"/>
        <v/>
      </c>
      <c r="O151" s="8" t="str">
        <f t="shared" si="33"/>
        <v/>
      </c>
      <c r="P151" s="8" t="str">
        <f t="shared" si="34"/>
        <v>N/A</v>
      </c>
      <c r="Q151" s="8"/>
    </row>
    <row r="152" spans="1:17" ht="15" customHeight="1" x14ac:dyDescent="0.25">
      <c r="A152" s="8" t="str">
        <f t="shared" si="28"/>
        <v/>
      </c>
      <c r="B152" s="11"/>
      <c r="C152" s="8"/>
      <c r="D152" s="8"/>
      <c r="E152" s="8"/>
      <c r="F152" s="8"/>
      <c r="G152" s="8"/>
      <c r="H152" s="8"/>
      <c r="I152" s="8"/>
      <c r="J152" s="8"/>
      <c r="K152" s="8" t="str">
        <f t="shared" si="29"/>
        <v/>
      </c>
      <c r="L152" s="8" t="str">
        <f t="shared" si="30"/>
        <v/>
      </c>
      <c r="M152" s="8" t="str">
        <f t="shared" si="31"/>
        <v/>
      </c>
      <c r="N152" s="8" t="str">
        <f t="shared" si="32"/>
        <v/>
      </c>
      <c r="O152" s="8" t="str">
        <f t="shared" si="33"/>
        <v/>
      </c>
      <c r="P152" s="8" t="str">
        <f t="shared" si="34"/>
        <v>N/A</v>
      </c>
      <c r="Q152" s="8"/>
    </row>
    <row r="153" spans="1:17" ht="15" customHeight="1" x14ac:dyDescent="0.25">
      <c r="A153" s="8" t="str">
        <f t="shared" si="28"/>
        <v/>
      </c>
      <c r="B153" s="11"/>
      <c r="C153" s="8"/>
      <c r="D153" s="8"/>
      <c r="E153" s="8"/>
      <c r="F153" s="8"/>
      <c r="G153" s="8"/>
      <c r="H153" s="8"/>
      <c r="I153" s="8"/>
      <c r="J153" s="8"/>
      <c r="K153" s="8" t="str">
        <f t="shared" si="29"/>
        <v/>
      </c>
      <c r="L153" s="8" t="str">
        <f t="shared" si="30"/>
        <v/>
      </c>
      <c r="M153" s="8" t="str">
        <f t="shared" si="31"/>
        <v/>
      </c>
      <c r="N153" s="8" t="str">
        <f t="shared" si="32"/>
        <v/>
      </c>
      <c r="O153" s="8" t="str">
        <f t="shared" si="33"/>
        <v/>
      </c>
      <c r="P153" s="8" t="str">
        <f t="shared" si="34"/>
        <v>N/A</v>
      </c>
      <c r="Q153" s="8"/>
    </row>
    <row r="154" spans="1:17" ht="15" customHeight="1" x14ac:dyDescent="0.25">
      <c r="A154" s="8" t="str">
        <f t="shared" si="28"/>
        <v/>
      </c>
      <c r="B154" s="11"/>
      <c r="C154" s="8"/>
      <c r="D154" s="8"/>
      <c r="E154" s="8"/>
      <c r="F154" s="8"/>
      <c r="G154" s="8"/>
      <c r="H154" s="8"/>
      <c r="I154" s="8"/>
      <c r="J154" s="8"/>
      <c r="K154" s="8" t="str">
        <f t="shared" si="29"/>
        <v/>
      </c>
      <c r="L154" s="8" t="str">
        <f t="shared" si="30"/>
        <v/>
      </c>
      <c r="M154" s="8" t="str">
        <f t="shared" si="31"/>
        <v/>
      </c>
      <c r="N154" s="8" t="str">
        <f t="shared" si="32"/>
        <v/>
      </c>
      <c r="O154" s="8" t="str">
        <f t="shared" si="33"/>
        <v/>
      </c>
      <c r="P154" s="8" t="str">
        <f t="shared" si="34"/>
        <v>N/A</v>
      </c>
      <c r="Q154" s="8"/>
    </row>
    <row r="155" spans="1:17" ht="15" customHeight="1" x14ac:dyDescent="0.25">
      <c r="A155" s="8" t="str">
        <f t="shared" si="28"/>
        <v/>
      </c>
      <c r="B155" s="11"/>
      <c r="C155" s="8"/>
      <c r="D155" s="8"/>
      <c r="E155" s="8"/>
      <c r="F155" s="8"/>
      <c r="G155" s="8"/>
      <c r="H155" s="8"/>
      <c r="I155" s="8"/>
      <c r="J155" s="8"/>
      <c r="K155" s="8" t="str">
        <f t="shared" si="29"/>
        <v/>
      </c>
      <c r="L155" s="8" t="str">
        <f t="shared" si="30"/>
        <v/>
      </c>
      <c r="M155" s="8" t="str">
        <f t="shared" si="31"/>
        <v/>
      </c>
      <c r="N155" s="8" t="str">
        <f t="shared" si="32"/>
        <v/>
      </c>
      <c r="O155" s="8" t="str">
        <f t="shared" si="33"/>
        <v/>
      </c>
      <c r="P155" s="8" t="str">
        <f t="shared" si="34"/>
        <v>N/A</v>
      </c>
      <c r="Q155" s="8"/>
    </row>
    <row r="156" spans="1:17" ht="15" customHeight="1" x14ac:dyDescent="0.25">
      <c r="A156" s="8" t="str">
        <f t="shared" si="28"/>
        <v/>
      </c>
      <c r="B156" s="11"/>
      <c r="C156" s="8"/>
      <c r="D156" s="8"/>
      <c r="E156" s="8"/>
      <c r="F156" s="8"/>
      <c r="G156" s="8"/>
      <c r="H156" s="8"/>
      <c r="I156" s="8"/>
      <c r="J156" s="8"/>
      <c r="K156" s="8" t="str">
        <f t="shared" si="29"/>
        <v/>
      </c>
      <c r="L156" s="8" t="str">
        <f t="shared" si="30"/>
        <v/>
      </c>
      <c r="M156" s="8" t="str">
        <f t="shared" si="31"/>
        <v/>
      </c>
      <c r="N156" s="8" t="str">
        <f t="shared" si="32"/>
        <v/>
      </c>
      <c r="O156" s="8" t="str">
        <f t="shared" si="33"/>
        <v/>
      </c>
      <c r="P156" s="8" t="str">
        <f t="shared" si="34"/>
        <v>N/A</v>
      </c>
      <c r="Q156" s="8"/>
    </row>
    <row r="157" spans="1:17" ht="15" customHeight="1" x14ac:dyDescent="0.25">
      <c r="A157" s="8" t="str">
        <f t="shared" si="28"/>
        <v/>
      </c>
      <c r="B157" s="11"/>
      <c r="C157" s="8"/>
      <c r="D157" s="8"/>
      <c r="E157" s="8"/>
      <c r="F157" s="8"/>
      <c r="G157" s="8"/>
      <c r="H157" s="8"/>
      <c r="I157" s="8"/>
      <c r="J157" s="8"/>
      <c r="K157" s="8" t="str">
        <f t="shared" si="29"/>
        <v/>
      </c>
      <c r="L157" s="8" t="str">
        <f t="shared" si="30"/>
        <v/>
      </c>
      <c r="M157" s="8" t="str">
        <f t="shared" si="31"/>
        <v/>
      </c>
      <c r="N157" s="8" t="str">
        <f t="shared" si="32"/>
        <v/>
      </c>
      <c r="O157" s="8" t="str">
        <f t="shared" si="33"/>
        <v/>
      </c>
      <c r="P157" s="8" t="str">
        <f t="shared" si="34"/>
        <v>N/A</v>
      </c>
      <c r="Q157" s="8"/>
    </row>
    <row r="158" spans="1:17" ht="15" customHeight="1" x14ac:dyDescent="0.25">
      <c r="A158" s="8" t="str">
        <f t="shared" si="28"/>
        <v/>
      </c>
      <c r="B158" s="11"/>
      <c r="C158" s="8"/>
      <c r="D158" s="8"/>
      <c r="E158" s="8"/>
      <c r="F158" s="8"/>
      <c r="G158" s="8"/>
      <c r="H158" s="8"/>
      <c r="I158" s="8"/>
      <c r="J158" s="8"/>
      <c r="K158" s="8" t="str">
        <f t="shared" si="29"/>
        <v/>
      </c>
      <c r="L158" s="8" t="str">
        <f t="shared" si="30"/>
        <v/>
      </c>
      <c r="M158" s="8" t="str">
        <f t="shared" si="31"/>
        <v/>
      </c>
      <c r="N158" s="8" t="str">
        <f t="shared" si="32"/>
        <v/>
      </c>
      <c r="O158" s="8" t="str">
        <f t="shared" si="33"/>
        <v/>
      </c>
      <c r="P158" s="8" t="str">
        <f t="shared" si="34"/>
        <v>N/A</v>
      </c>
      <c r="Q158" s="8"/>
    </row>
    <row r="159" spans="1:17" ht="15" customHeight="1" x14ac:dyDescent="0.25">
      <c r="A159" s="8" t="str">
        <f t="shared" si="28"/>
        <v/>
      </c>
      <c r="B159" s="11"/>
      <c r="C159" s="8"/>
      <c r="D159" s="8"/>
      <c r="E159" s="8"/>
      <c r="F159" s="8"/>
      <c r="G159" s="8"/>
      <c r="H159" s="8"/>
      <c r="I159" s="8"/>
      <c r="J159" s="8"/>
      <c r="K159" s="8" t="str">
        <f t="shared" si="29"/>
        <v/>
      </c>
      <c r="L159" s="8" t="str">
        <f t="shared" si="30"/>
        <v/>
      </c>
      <c r="M159" s="8" t="str">
        <f t="shared" si="31"/>
        <v/>
      </c>
      <c r="N159" s="8" t="str">
        <f t="shared" si="32"/>
        <v/>
      </c>
      <c r="O159" s="8" t="str">
        <f t="shared" si="33"/>
        <v/>
      </c>
      <c r="P159" s="8" t="str">
        <f t="shared" si="34"/>
        <v>N/A</v>
      </c>
      <c r="Q159" s="8"/>
    </row>
    <row r="160" spans="1:17" ht="15" customHeight="1" x14ac:dyDescent="0.25">
      <c r="A160" s="8" t="str">
        <f t="shared" si="28"/>
        <v/>
      </c>
      <c r="B160" s="11"/>
      <c r="C160" s="8"/>
      <c r="D160" s="8"/>
      <c r="E160" s="8"/>
      <c r="F160" s="8"/>
      <c r="G160" s="8"/>
      <c r="H160" s="8"/>
      <c r="I160" s="8"/>
      <c r="J160" s="8"/>
      <c r="K160" s="8" t="str">
        <f t="shared" si="29"/>
        <v/>
      </c>
      <c r="L160" s="8" t="str">
        <f t="shared" si="30"/>
        <v/>
      </c>
      <c r="M160" s="8" t="str">
        <f t="shared" si="31"/>
        <v/>
      </c>
      <c r="N160" s="8" t="str">
        <f t="shared" si="32"/>
        <v/>
      </c>
      <c r="O160" s="8" t="str">
        <f t="shared" si="33"/>
        <v/>
      </c>
      <c r="P160" s="8" t="str">
        <f t="shared" si="34"/>
        <v>N/A</v>
      </c>
      <c r="Q160" s="8"/>
    </row>
    <row r="161" spans="1:17" ht="15" customHeight="1" x14ac:dyDescent="0.25">
      <c r="A161" s="8" t="str">
        <f t="shared" si="28"/>
        <v/>
      </c>
      <c r="B161" s="11"/>
      <c r="C161" s="8"/>
      <c r="D161" s="8"/>
      <c r="E161" s="8"/>
      <c r="F161" s="8"/>
      <c r="G161" s="8"/>
      <c r="H161" s="8"/>
      <c r="I161" s="8"/>
      <c r="J161" s="8"/>
      <c r="K161" s="8" t="str">
        <f t="shared" si="29"/>
        <v/>
      </c>
      <c r="L161" s="8" t="str">
        <f t="shared" si="30"/>
        <v/>
      </c>
      <c r="M161" s="8" t="str">
        <f t="shared" si="31"/>
        <v/>
      </c>
      <c r="N161" s="8" t="str">
        <f t="shared" si="32"/>
        <v/>
      </c>
      <c r="O161" s="8" t="str">
        <f t="shared" si="33"/>
        <v/>
      </c>
      <c r="P161" s="8" t="str">
        <f t="shared" si="34"/>
        <v>N/A</v>
      </c>
      <c r="Q161" s="8"/>
    </row>
    <row r="162" spans="1:17" ht="15" customHeight="1" x14ac:dyDescent="0.25">
      <c r="A162" s="8" t="str">
        <f t="shared" ref="A162:A193" si="35">IF(B162="","",ROW()-1)</f>
        <v/>
      </c>
      <c r="B162" s="11"/>
      <c r="C162" s="8"/>
      <c r="D162" s="8"/>
      <c r="E162" s="8"/>
      <c r="F162" s="8"/>
      <c r="G162" s="8"/>
      <c r="H162" s="8"/>
      <c r="I162" s="8"/>
      <c r="J162" s="8"/>
      <c r="K162" s="8" t="str">
        <f t="shared" ref="K162:K193" si="36">IF(G162="","",IF(G162="SIM",1,0))</f>
        <v/>
      </c>
      <c r="L162" s="8" t="str">
        <f t="shared" ref="L162:L193" si="37">IF(H162="","",IF(H162="Automático",1,IF(H162="Manual",0.5,IF(H162="Não atualizado",0,""))))</f>
        <v/>
      </c>
      <c r="M162" s="8" t="str">
        <f t="shared" ref="M162:M193" si="38">IF(I162="","",IF(I162="SIM",1,0))</f>
        <v/>
      </c>
      <c r="N162" s="8" t="str">
        <f t="shared" ref="N162:N193" si="39">IF(J162="","",IF(J162="Conformidade",1,IF(J162="Não Conformidade",0,IF(J162="Não Conformidade Grave",-1,""))))</f>
        <v/>
      </c>
      <c r="O162" s="8" t="str">
        <f t="shared" ref="O162:O193" si="40">IF(COUNTA(G162:J162)=0,"",ROUND(AVERAGE(K162:N162)*100,0))</f>
        <v/>
      </c>
      <c r="P162" s="8" t="str">
        <f t="shared" ref="P162:P193" si="41">IFERROR(AVERAGEIF(C$2:C$201,C162,O$2:O$201),"N/A")</f>
        <v>N/A</v>
      </c>
      <c r="Q162" s="8"/>
    </row>
    <row r="163" spans="1:17" ht="15" customHeight="1" x14ac:dyDescent="0.25">
      <c r="A163" s="8" t="str">
        <f t="shared" si="35"/>
        <v/>
      </c>
      <c r="B163" s="11"/>
      <c r="C163" s="8"/>
      <c r="D163" s="8"/>
      <c r="E163" s="8"/>
      <c r="F163" s="8"/>
      <c r="G163" s="8"/>
      <c r="H163" s="8"/>
      <c r="I163" s="8"/>
      <c r="J163" s="8"/>
      <c r="K163" s="8" t="str">
        <f t="shared" si="36"/>
        <v/>
      </c>
      <c r="L163" s="8" t="str">
        <f t="shared" si="37"/>
        <v/>
      </c>
      <c r="M163" s="8" t="str">
        <f t="shared" si="38"/>
        <v/>
      </c>
      <c r="N163" s="8" t="str">
        <f t="shared" si="39"/>
        <v/>
      </c>
      <c r="O163" s="8" t="str">
        <f t="shared" si="40"/>
        <v/>
      </c>
      <c r="P163" s="8" t="str">
        <f t="shared" si="41"/>
        <v>N/A</v>
      </c>
      <c r="Q163" s="8"/>
    </row>
    <row r="164" spans="1:17" ht="15" customHeight="1" x14ac:dyDescent="0.25">
      <c r="A164" s="8" t="str">
        <f t="shared" si="35"/>
        <v/>
      </c>
      <c r="B164" s="11"/>
      <c r="C164" s="8"/>
      <c r="D164" s="8"/>
      <c r="E164" s="8"/>
      <c r="F164" s="8"/>
      <c r="G164" s="8"/>
      <c r="H164" s="8"/>
      <c r="I164" s="8"/>
      <c r="J164" s="8"/>
      <c r="K164" s="8" t="str">
        <f t="shared" si="36"/>
        <v/>
      </c>
      <c r="L164" s="8" t="str">
        <f t="shared" si="37"/>
        <v/>
      </c>
      <c r="M164" s="8" t="str">
        <f t="shared" si="38"/>
        <v/>
      </c>
      <c r="N164" s="8" t="str">
        <f t="shared" si="39"/>
        <v/>
      </c>
      <c r="O164" s="8" t="str">
        <f t="shared" si="40"/>
        <v/>
      </c>
      <c r="P164" s="8" t="str">
        <f t="shared" si="41"/>
        <v>N/A</v>
      </c>
      <c r="Q164" s="8"/>
    </row>
    <row r="165" spans="1:17" ht="15" customHeight="1" x14ac:dyDescent="0.25">
      <c r="A165" s="8" t="str">
        <f t="shared" si="35"/>
        <v/>
      </c>
      <c r="B165" s="11"/>
      <c r="C165" s="8"/>
      <c r="D165" s="8"/>
      <c r="E165" s="8"/>
      <c r="F165" s="8"/>
      <c r="G165" s="8"/>
      <c r="H165" s="8"/>
      <c r="I165" s="8"/>
      <c r="J165" s="8"/>
      <c r="K165" s="8" t="str">
        <f t="shared" si="36"/>
        <v/>
      </c>
      <c r="L165" s="8" t="str">
        <f t="shared" si="37"/>
        <v/>
      </c>
      <c r="M165" s="8" t="str">
        <f t="shared" si="38"/>
        <v/>
      </c>
      <c r="N165" s="8" t="str">
        <f t="shared" si="39"/>
        <v/>
      </c>
      <c r="O165" s="8" t="str">
        <f t="shared" si="40"/>
        <v/>
      </c>
      <c r="P165" s="8" t="str">
        <f t="shared" si="41"/>
        <v>N/A</v>
      </c>
      <c r="Q165" s="8"/>
    </row>
    <row r="166" spans="1:17" ht="15" customHeight="1" x14ac:dyDescent="0.25">
      <c r="A166" s="8" t="str">
        <f t="shared" si="35"/>
        <v/>
      </c>
      <c r="B166" s="11"/>
      <c r="C166" s="8"/>
      <c r="D166" s="8"/>
      <c r="E166" s="8"/>
      <c r="F166" s="8"/>
      <c r="G166" s="8"/>
      <c r="H166" s="8"/>
      <c r="I166" s="8"/>
      <c r="J166" s="8"/>
      <c r="K166" s="8" t="str">
        <f t="shared" si="36"/>
        <v/>
      </c>
      <c r="L166" s="8" t="str">
        <f t="shared" si="37"/>
        <v/>
      </c>
      <c r="M166" s="8" t="str">
        <f t="shared" si="38"/>
        <v/>
      </c>
      <c r="N166" s="8" t="str">
        <f t="shared" si="39"/>
        <v/>
      </c>
      <c r="O166" s="8" t="str">
        <f t="shared" si="40"/>
        <v/>
      </c>
      <c r="P166" s="8" t="str">
        <f t="shared" si="41"/>
        <v>N/A</v>
      </c>
      <c r="Q166" s="8"/>
    </row>
    <row r="167" spans="1:17" ht="15" customHeight="1" x14ac:dyDescent="0.25">
      <c r="A167" s="8" t="str">
        <f t="shared" si="35"/>
        <v/>
      </c>
      <c r="B167" s="11"/>
      <c r="C167" s="8"/>
      <c r="D167" s="8"/>
      <c r="E167" s="8"/>
      <c r="F167" s="8"/>
      <c r="G167" s="8"/>
      <c r="H167" s="8"/>
      <c r="I167" s="8"/>
      <c r="J167" s="8"/>
      <c r="K167" s="8" t="str">
        <f t="shared" si="36"/>
        <v/>
      </c>
      <c r="L167" s="8" t="str">
        <f t="shared" si="37"/>
        <v/>
      </c>
      <c r="M167" s="8" t="str">
        <f t="shared" si="38"/>
        <v/>
      </c>
      <c r="N167" s="8" t="str">
        <f t="shared" si="39"/>
        <v/>
      </c>
      <c r="O167" s="8" t="str">
        <f t="shared" si="40"/>
        <v/>
      </c>
      <c r="P167" s="8" t="str">
        <f t="shared" si="41"/>
        <v>N/A</v>
      </c>
      <c r="Q167" s="8"/>
    </row>
    <row r="168" spans="1:17" ht="15" customHeight="1" x14ac:dyDescent="0.25">
      <c r="A168" s="8" t="str">
        <f t="shared" si="35"/>
        <v/>
      </c>
      <c r="B168" s="11"/>
      <c r="C168" s="8"/>
      <c r="D168" s="8"/>
      <c r="E168" s="8"/>
      <c r="F168" s="8"/>
      <c r="G168" s="8"/>
      <c r="H168" s="8"/>
      <c r="I168" s="8"/>
      <c r="J168" s="8"/>
      <c r="K168" s="8" t="str">
        <f t="shared" si="36"/>
        <v/>
      </c>
      <c r="L168" s="8" t="str">
        <f t="shared" si="37"/>
        <v/>
      </c>
      <c r="M168" s="8" t="str">
        <f t="shared" si="38"/>
        <v/>
      </c>
      <c r="N168" s="8" t="str">
        <f t="shared" si="39"/>
        <v/>
      </c>
      <c r="O168" s="8" t="str">
        <f t="shared" si="40"/>
        <v/>
      </c>
      <c r="P168" s="8" t="str">
        <f t="shared" si="41"/>
        <v>N/A</v>
      </c>
      <c r="Q168" s="8"/>
    </row>
    <row r="169" spans="1:17" ht="15" customHeight="1" x14ac:dyDescent="0.25">
      <c r="A169" s="8" t="str">
        <f t="shared" si="35"/>
        <v/>
      </c>
      <c r="B169" s="11"/>
      <c r="C169" s="8"/>
      <c r="D169" s="8"/>
      <c r="E169" s="8"/>
      <c r="F169" s="8"/>
      <c r="G169" s="8"/>
      <c r="H169" s="8"/>
      <c r="I169" s="8"/>
      <c r="J169" s="8"/>
      <c r="K169" s="8" t="str">
        <f t="shared" si="36"/>
        <v/>
      </c>
      <c r="L169" s="8" t="str">
        <f t="shared" si="37"/>
        <v/>
      </c>
      <c r="M169" s="8" t="str">
        <f t="shared" si="38"/>
        <v/>
      </c>
      <c r="N169" s="8" t="str">
        <f t="shared" si="39"/>
        <v/>
      </c>
      <c r="O169" s="8" t="str">
        <f t="shared" si="40"/>
        <v/>
      </c>
      <c r="P169" s="8" t="str">
        <f t="shared" si="41"/>
        <v>N/A</v>
      </c>
      <c r="Q169" s="8"/>
    </row>
    <row r="170" spans="1:17" ht="15" customHeight="1" x14ac:dyDescent="0.25">
      <c r="A170" s="8" t="str">
        <f t="shared" si="35"/>
        <v/>
      </c>
      <c r="B170" s="11"/>
      <c r="C170" s="8"/>
      <c r="D170" s="8"/>
      <c r="E170" s="8"/>
      <c r="F170" s="8"/>
      <c r="G170" s="8"/>
      <c r="H170" s="8"/>
      <c r="I170" s="8"/>
      <c r="J170" s="8"/>
      <c r="K170" s="8" t="str">
        <f t="shared" si="36"/>
        <v/>
      </c>
      <c r="L170" s="8" t="str">
        <f t="shared" si="37"/>
        <v/>
      </c>
      <c r="M170" s="8" t="str">
        <f t="shared" si="38"/>
        <v/>
      </c>
      <c r="N170" s="8" t="str">
        <f t="shared" si="39"/>
        <v/>
      </c>
      <c r="O170" s="8" t="str">
        <f t="shared" si="40"/>
        <v/>
      </c>
      <c r="P170" s="8" t="str">
        <f t="shared" si="41"/>
        <v>N/A</v>
      </c>
      <c r="Q170" s="8"/>
    </row>
    <row r="171" spans="1:17" ht="15" customHeight="1" x14ac:dyDescent="0.25">
      <c r="A171" s="8" t="str">
        <f t="shared" si="35"/>
        <v/>
      </c>
      <c r="B171" s="11"/>
      <c r="C171" s="8"/>
      <c r="D171" s="8"/>
      <c r="E171" s="8"/>
      <c r="F171" s="8"/>
      <c r="G171" s="8"/>
      <c r="H171" s="8"/>
      <c r="I171" s="8"/>
      <c r="J171" s="8"/>
      <c r="K171" s="8" t="str">
        <f t="shared" si="36"/>
        <v/>
      </c>
      <c r="L171" s="8" t="str">
        <f t="shared" si="37"/>
        <v/>
      </c>
      <c r="M171" s="8" t="str">
        <f t="shared" si="38"/>
        <v/>
      </c>
      <c r="N171" s="8" t="str">
        <f t="shared" si="39"/>
        <v/>
      </c>
      <c r="O171" s="8" t="str">
        <f t="shared" si="40"/>
        <v/>
      </c>
      <c r="P171" s="8" t="str">
        <f t="shared" si="41"/>
        <v>N/A</v>
      </c>
      <c r="Q171" s="8"/>
    </row>
    <row r="172" spans="1:17" ht="15" customHeight="1" x14ac:dyDescent="0.25">
      <c r="A172" s="8" t="str">
        <f t="shared" si="35"/>
        <v/>
      </c>
      <c r="B172" s="11"/>
      <c r="C172" s="8"/>
      <c r="D172" s="8"/>
      <c r="E172" s="8"/>
      <c r="F172" s="8"/>
      <c r="G172" s="8"/>
      <c r="H172" s="8"/>
      <c r="I172" s="8"/>
      <c r="J172" s="8"/>
      <c r="K172" s="8" t="str">
        <f t="shared" si="36"/>
        <v/>
      </c>
      <c r="L172" s="8" t="str">
        <f t="shared" si="37"/>
        <v/>
      </c>
      <c r="M172" s="8" t="str">
        <f t="shared" si="38"/>
        <v/>
      </c>
      <c r="N172" s="8" t="str">
        <f t="shared" si="39"/>
        <v/>
      </c>
      <c r="O172" s="8" t="str">
        <f t="shared" si="40"/>
        <v/>
      </c>
      <c r="P172" s="8" t="str">
        <f t="shared" si="41"/>
        <v>N/A</v>
      </c>
      <c r="Q172" s="8"/>
    </row>
    <row r="173" spans="1:17" ht="15" customHeight="1" x14ac:dyDescent="0.25">
      <c r="A173" s="8" t="str">
        <f t="shared" si="35"/>
        <v/>
      </c>
      <c r="B173" s="11"/>
      <c r="C173" s="8"/>
      <c r="D173" s="8"/>
      <c r="E173" s="8"/>
      <c r="F173" s="8"/>
      <c r="G173" s="8"/>
      <c r="H173" s="8"/>
      <c r="I173" s="8"/>
      <c r="J173" s="8"/>
      <c r="K173" s="8" t="str">
        <f t="shared" si="36"/>
        <v/>
      </c>
      <c r="L173" s="8" t="str">
        <f t="shared" si="37"/>
        <v/>
      </c>
      <c r="M173" s="8" t="str">
        <f t="shared" si="38"/>
        <v/>
      </c>
      <c r="N173" s="8" t="str">
        <f t="shared" si="39"/>
        <v/>
      </c>
      <c r="O173" s="8" t="str">
        <f t="shared" si="40"/>
        <v/>
      </c>
      <c r="P173" s="8" t="str">
        <f t="shared" si="41"/>
        <v>N/A</v>
      </c>
      <c r="Q173" s="8"/>
    </row>
    <row r="174" spans="1:17" ht="15" customHeight="1" x14ac:dyDescent="0.25">
      <c r="A174" s="8" t="str">
        <f t="shared" si="35"/>
        <v/>
      </c>
      <c r="B174" s="11"/>
      <c r="C174" s="8"/>
      <c r="D174" s="8"/>
      <c r="E174" s="8"/>
      <c r="F174" s="8"/>
      <c r="G174" s="8"/>
      <c r="H174" s="8"/>
      <c r="I174" s="8"/>
      <c r="J174" s="8"/>
      <c r="K174" s="8" t="str">
        <f t="shared" si="36"/>
        <v/>
      </c>
      <c r="L174" s="8" t="str">
        <f t="shared" si="37"/>
        <v/>
      </c>
      <c r="M174" s="8" t="str">
        <f t="shared" si="38"/>
        <v/>
      </c>
      <c r="N174" s="8" t="str">
        <f t="shared" si="39"/>
        <v/>
      </c>
      <c r="O174" s="8" t="str">
        <f t="shared" si="40"/>
        <v/>
      </c>
      <c r="P174" s="8" t="str">
        <f t="shared" si="41"/>
        <v>N/A</v>
      </c>
      <c r="Q174" s="8"/>
    </row>
    <row r="175" spans="1:17" ht="15" customHeight="1" x14ac:dyDescent="0.25">
      <c r="A175" s="8" t="str">
        <f t="shared" si="35"/>
        <v/>
      </c>
      <c r="B175" s="11"/>
      <c r="C175" s="8"/>
      <c r="D175" s="8"/>
      <c r="E175" s="8"/>
      <c r="F175" s="8"/>
      <c r="G175" s="8"/>
      <c r="H175" s="8"/>
      <c r="I175" s="8"/>
      <c r="J175" s="8"/>
      <c r="K175" s="8" t="str">
        <f t="shared" si="36"/>
        <v/>
      </c>
      <c r="L175" s="8" t="str">
        <f t="shared" si="37"/>
        <v/>
      </c>
      <c r="M175" s="8" t="str">
        <f t="shared" si="38"/>
        <v/>
      </c>
      <c r="N175" s="8" t="str">
        <f t="shared" si="39"/>
        <v/>
      </c>
      <c r="O175" s="8" t="str">
        <f t="shared" si="40"/>
        <v/>
      </c>
      <c r="P175" s="8" t="str">
        <f t="shared" si="41"/>
        <v>N/A</v>
      </c>
      <c r="Q175" s="8"/>
    </row>
    <row r="176" spans="1:17" ht="15" customHeight="1" x14ac:dyDescent="0.25">
      <c r="A176" s="8" t="str">
        <f t="shared" si="35"/>
        <v/>
      </c>
      <c r="B176" s="11"/>
      <c r="C176" s="8"/>
      <c r="D176" s="8"/>
      <c r="E176" s="8"/>
      <c r="F176" s="8"/>
      <c r="G176" s="8"/>
      <c r="H176" s="8"/>
      <c r="I176" s="8"/>
      <c r="J176" s="8"/>
      <c r="K176" s="8" t="str">
        <f t="shared" si="36"/>
        <v/>
      </c>
      <c r="L176" s="8" t="str">
        <f t="shared" si="37"/>
        <v/>
      </c>
      <c r="M176" s="8" t="str">
        <f t="shared" si="38"/>
        <v/>
      </c>
      <c r="N176" s="8" t="str">
        <f t="shared" si="39"/>
        <v/>
      </c>
      <c r="O176" s="8" t="str">
        <f t="shared" si="40"/>
        <v/>
      </c>
      <c r="P176" s="8" t="str">
        <f t="shared" si="41"/>
        <v>N/A</v>
      </c>
      <c r="Q176" s="8"/>
    </row>
    <row r="177" spans="1:17" ht="15" customHeight="1" x14ac:dyDescent="0.25">
      <c r="A177" s="8" t="str">
        <f t="shared" si="35"/>
        <v/>
      </c>
      <c r="B177" s="11"/>
      <c r="C177" s="8"/>
      <c r="D177" s="8"/>
      <c r="E177" s="8"/>
      <c r="F177" s="8"/>
      <c r="G177" s="8"/>
      <c r="H177" s="8"/>
      <c r="I177" s="8"/>
      <c r="J177" s="8"/>
      <c r="K177" s="8" t="str">
        <f t="shared" si="36"/>
        <v/>
      </c>
      <c r="L177" s="8" t="str">
        <f t="shared" si="37"/>
        <v/>
      </c>
      <c r="M177" s="8" t="str">
        <f t="shared" si="38"/>
        <v/>
      </c>
      <c r="N177" s="8" t="str">
        <f t="shared" si="39"/>
        <v/>
      </c>
      <c r="O177" s="8" t="str">
        <f t="shared" si="40"/>
        <v/>
      </c>
      <c r="P177" s="8" t="str">
        <f t="shared" si="41"/>
        <v>N/A</v>
      </c>
      <c r="Q177" s="8"/>
    </row>
    <row r="178" spans="1:17" ht="15" customHeight="1" x14ac:dyDescent="0.25">
      <c r="A178" s="8" t="str">
        <f t="shared" si="35"/>
        <v/>
      </c>
      <c r="B178" s="11"/>
      <c r="C178" s="8"/>
      <c r="D178" s="8"/>
      <c r="E178" s="8"/>
      <c r="F178" s="8"/>
      <c r="G178" s="8"/>
      <c r="H178" s="8"/>
      <c r="I178" s="8"/>
      <c r="J178" s="8"/>
      <c r="K178" s="8" t="str">
        <f t="shared" si="36"/>
        <v/>
      </c>
      <c r="L178" s="8" t="str">
        <f t="shared" si="37"/>
        <v/>
      </c>
      <c r="M178" s="8" t="str">
        <f t="shared" si="38"/>
        <v/>
      </c>
      <c r="N178" s="8" t="str">
        <f t="shared" si="39"/>
        <v/>
      </c>
      <c r="O178" s="8" t="str">
        <f t="shared" si="40"/>
        <v/>
      </c>
      <c r="P178" s="8" t="str">
        <f t="shared" si="41"/>
        <v>N/A</v>
      </c>
      <c r="Q178" s="8"/>
    </row>
    <row r="179" spans="1:17" ht="15" customHeight="1" x14ac:dyDescent="0.25">
      <c r="A179" s="8" t="str">
        <f t="shared" si="35"/>
        <v/>
      </c>
      <c r="B179" s="11"/>
      <c r="C179" s="8"/>
      <c r="D179" s="8"/>
      <c r="E179" s="8"/>
      <c r="F179" s="8"/>
      <c r="G179" s="8"/>
      <c r="H179" s="8"/>
      <c r="I179" s="8"/>
      <c r="J179" s="8"/>
      <c r="K179" s="8" t="str">
        <f t="shared" si="36"/>
        <v/>
      </c>
      <c r="L179" s="8" t="str">
        <f t="shared" si="37"/>
        <v/>
      </c>
      <c r="M179" s="8" t="str">
        <f t="shared" si="38"/>
        <v/>
      </c>
      <c r="N179" s="8" t="str">
        <f t="shared" si="39"/>
        <v/>
      </c>
      <c r="O179" s="8" t="str">
        <f t="shared" si="40"/>
        <v/>
      </c>
      <c r="P179" s="8" t="str">
        <f t="shared" si="41"/>
        <v>N/A</v>
      </c>
      <c r="Q179" s="8"/>
    </row>
    <row r="180" spans="1:17" ht="15" customHeight="1" x14ac:dyDescent="0.25">
      <c r="A180" s="8" t="str">
        <f t="shared" si="35"/>
        <v/>
      </c>
      <c r="B180" s="11"/>
      <c r="C180" s="8"/>
      <c r="D180" s="8"/>
      <c r="E180" s="8"/>
      <c r="F180" s="8"/>
      <c r="G180" s="8"/>
      <c r="H180" s="8"/>
      <c r="I180" s="8"/>
      <c r="J180" s="8"/>
      <c r="K180" s="8" t="str">
        <f t="shared" si="36"/>
        <v/>
      </c>
      <c r="L180" s="8" t="str">
        <f t="shared" si="37"/>
        <v/>
      </c>
      <c r="M180" s="8" t="str">
        <f t="shared" si="38"/>
        <v/>
      </c>
      <c r="N180" s="8" t="str">
        <f t="shared" si="39"/>
        <v/>
      </c>
      <c r="O180" s="8" t="str">
        <f t="shared" si="40"/>
        <v/>
      </c>
      <c r="P180" s="8" t="str">
        <f t="shared" si="41"/>
        <v>N/A</v>
      </c>
      <c r="Q180" s="8"/>
    </row>
    <row r="181" spans="1:17" ht="15" customHeight="1" x14ac:dyDescent="0.25">
      <c r="A181" s="8" t="str">
        <f t="shared" si="35"/>
        <v/>
      </c>
      <c r="B181" s="11"/>
      <c r="C181" s="8"/>
      <c r="D181" s="8"/>
      <c r="E181" s="8"/>
      <c r="F181" s="8"/>
      <c r="G181" s="8"/>
      <c r="H181" s="8"/>
      <c r="I181" s="8"/>
      <c r="J181" s="8"/>
      <c r="K181" s="8" t="str">
        <f t="shared" si="36"/>
        <v/>
      </c>
      <c r="L181" s="8" t="str">
        <f t="shared" si="37"/>
        <v/>
      </c>
      <c r="M181" s="8" t="str">
        <f t="shared" si="38"/>
        <v/>
      </c>
      <c r="N181" s="8" t="str">
        <f t="shared" si="39"/>
        <v/>
      </c>
      <c r="O181" s="8" t="str">
        <f t="shared" si="40"/>
        <v/>
      </c>
      <c r="P181" s="8" t="str">
        <f t="shared" si="41"/>
        <v>N/A</v>
      </c>
      <c r="Q181" s="8"/>
    </row>
    <row r="182" spans="1:17" ht="15" customHeight="1" x14ac:dyDescent="0.25">
      <c r="A182" s="8" t="str">
        <f t="shared" si="35"/>
        <v/>
      </c>
      <c r="B182" s="11"/>
      <c r="C182" s="8"/>
      <c r="D182" s="8"/>
      <c r="E182" s="8"/>
      <c r="F182" s="8"/>
      <c r="G182" s="8"/>
      <c r="H182" s="8"/>
      <c r="I182" s="8"/>
      <c r="J182" s="8"/>
      <c r="K182" s="8" t="str">
        <f t="shared" si="36"/>
        <v/>
      </c>
      <c r="L182" s="8" t="str">
        <f t="shared" si="37"/>
        <v/>
      </c>
      <c r="M182" s="8" t="str">
        <f t="shared" si="38"/>
        <v/>
      </c>
      <c r="N182" s="8" t="str">
        <f t="shared" si="39"/>
        <v/>
      </c>
      <c r="O182" s="8" t="str">
        <f t="shared" si="40"/>
        <v/>
      </c>
      <c r="P182" s="8" t="str">
        <f t="shared" si="41"/>
        <v>N/A</v>
      </c>
      <c r="Q182" s="8"/>
    </row>
    <row r="183" spans="1:17" ht="15" customHeight="1" x14ac:dyDescent="0.25">
      <c r="A183" s="8" t="str">
        <f t="shared" si="35"/>
        <v/>
      </c>
      <c r="B183" s="11"/>
      <c r="C183" s="8"/>
      <c r="D183" s="8"/>
      <c r="E183" s="8"/>
      <c r="F183" s="8"/>
      <c r="G183" s="8"/>
      <c r="H183" s="8"/>
      <c r="I183" s="8"/>
      <c r="J183" s="8"/>
      <c r="K183" s="8" t="str">
        <f t="shared" si="36"/>
        <v/>
      </c>
      <c r="L183" s="8" t="str">
        <f t="shared" si="37"/>
        <v/>
      </c>
      <c r="M183" s="8" t="str">
        <f t="shared" si="38"/>
        <v/>
      </c>
      <c r="N183" s="8" t="str">
        <f t="shared" si="39"/>
        <v/>
      </c>
      <c r="O183" s="8" t="str">
        <f t="shared" si="40"/>
        <v/>
      </c>
      <c r="P183" s="8" t="str">
        <f t="shared" si="41"/>
        <v>N/A</v>
      </c>
      <c r="Q183" s="8"/>
    </row>
    <row r="184" spans="1:17" ht="15" customHeight="1" x14ac:dyDescent="0.25">
      <c r="A184" s="8" t="str">
        <f t="shared" si="35"/>
        <v/>
      </c>
      <c r="B184" s="11"/>
      <c r="C184" s="8"/>
      <c r="D184" s="8"/>
      <c r="E184" s="8"/>
      <c r="F184" s="8"/>
      <c r="G184" s="8"/>
      <c r="H184" s="8"/>
      <c r="I184" s="8"/>
      <c r="J184" s="8"/>
      <c r="K184" s="8" t="str">
        <f t="shared" si="36"/>
        <v/>
      </c>
      <c r="L184" s="8" t="str">
        <f t="shared" si="37"/>
        <v/>
      </c>
      <c r="M184" s="8" t="str">
        <f t="shared" si="38"/>
        <v/>
      </c>
      <c r="N184" s="8" t="str">
        <f t="shared" si="39"/>
        <v/>
      </c>
      <c r="O184" s="8" t="str">
        <f t="shared" si="40"/>
        <v/>
      </c>
      <c r="P184" s="8" t="str">
        <f t="shared" si="41"/>
        <v>N/A</v>
      </c>
      <c r="Q184" s="8"/>
    </row>
    <row r="185" spans="1:17" ht="15" customHeight="1" x14ac:dyDescent="0.25">
      <c r="A185" s="8" t="str">
        <f t="shared" si="35"/>
        <v/>
      </c>
      <c r="B185" s="11"/>
      <c r="C185" s="8"/>
      <c r="D185" s="8"/>
      <c r="E185" s="8"/>
      <c r="F185" s="8"/>
      <c r="G185" s="8"/>
      <c r="H185" s="8"/>
      <c r="I185" s="8"/>
      <c r="J185" s="8"/>
      <c r="K185" s="8" t="str">
        <f t="shared" si="36"/>
        <v/>
      </c>
      <c r="L185" s="8" t="str">
        <f t="shared" si="37"/>
        <v/>
      </c>
      <c r="M185" s="8" t="str">
        <f t="shared" si="38"/>
        <v/>
      </c>
      <c r="N185" s="8" t="str">
        <f t="shared" si="39"/>
        <v/>
      </c>
      <c r="O185" s="8" t="str">
        <f t="shared" si="40"/>
        <v/>
      </c>
      <c r="P185" s="8" t="str">
        <f t="shared" si="41"/>
        <v>N/A</v>
      </c>
      <c r="Q185" s="8"/>
    </row>
    <row r="186" spans="1:17" ht="15" customHeight="1" x14ac:dyDescent="0.25">
      <c r="A186" s="8" t="str">
        <f t="shared" si="35"/>
        <v/>
      </c>
      <c r="B186" s="11"/>
      <c r="C186" s="8"/>
      <c r="D186" s="8"/>
      <c r="E186" s="8"/>
      <c r="F186" s="8"/>
      <c r="G186" s="8"/>
      <c r="H186" s="8"/>
      <c r="I186" s="8"/>
      <c r="J186" s="8"/>
      <c r="K186" s="8" t="str">
        <f t="shared" si="36"/>
        <v/>
      </c>
      <c r="L186" s="8" t="str">
        <f t="shared" si="37"/>
        <v/>
      </c>
      <c r="M186" s="8" t="str">
        <f t="shared" si="38"/>
        <v/>
      </c>
      <c r="N186" s="8" t="str">
        <f t="shared" si="39"/>
        <v/>
      </c>
      <c r="O186" s="8" t="str">
        <f t="shared" si="40"/>
        <v/>
      </c>
      <c r="P186" s="8" t="str">
        <f t="shared" si="41"/>
        <v>N/A</v>
      </c>
      <c r="Q186" s="8"/>
    </row>
    <row r="187" spans="1:17" ht="15" customHeight="1" x14ac:dyDescent="0.25">
      <c r="A187" s="8" t="str">
        <f t="shared" si="35"/>
        <v/>
      </c>
      <c r="B187" s="11"/>
      <c r="C187" s="8"/>
      <c r="D187" s="8"/>
      <c r="E187" s="8"/>
      <c r="F187" s="8"/>
      <c r="G187" s="8"/>
      <c r="H187" s="8"/>
      <c r="I187" s="8"/>
      <c r="J187" s="8"/>
      <c r="K187" s="8" t="str">
        <f t="shared" si="36"/>
        <v/>
      </c>
      <c r="L187" s="8" t="str">
        <f t="shared" si="37"/>
        <v/>
      </c>
      <c r="M187" s="8" t="str">
        <f t="shared" si="38"/>
        <v/>
      </c>
      <c r="N187" s="8" t="str">
        <f t="shared" si="39"/>
        <v/>
      </c>
      <c r="O187" s="8" t="str">
        <f t="shared" si="40"/>
        <v/>
      </c>
      <c r="P187" s="8" t="str">
        <f t="shared" si="41"/>
        <v>N/A</v>
      </c>
      <c r="Q187" s="8"/>
    </row>
    <row r="188" spans="1:17" ht="15" customHeight="1" x14ac:dyDescent="0.25">
      <c r="A188" s="8" t="str">
        <f t="shared" si="35"/>
        <v/>
      </c>
      <c r="B188" s="11"/>
      <c r="C188" s="8"/>
      <c r="D188" s="8"/>
      <c r="E188" s="8"/>
      <c r="F188" s="8"/>
      <c r="G188" s="8"/>
      <c r="H188" s="8"/>
      <c r="I188" s="8"/>
      <c r="J188" s="8"/>
      <c r="K188" s="8" t="str">
        <f t="shared" si="36"/>
        <v/>
      </c>
      <c r="L188" s="8" t="str">
        <f t="shared" si="37"/>
        <v/>
      </c>
      <c r="M188" s="8" t="str">
        <f t="shared" si="38"/>
        <v/>
      </c>
      <c r="N188" s="8" t="str">
        <f t="shared" si="39"/>
        <v/>
      </c>
      <c r="O188" s="8" t="str">
        <f t="shared" si="40"/>
        <v/>
      </c>
      <c r="P188" s="8" t="str">
        <f t="shared" si="41"/>
        <v>N/A</v>
      </c>
      <c r="Q188" s="8"/>
    </row>
    <row r="189" spans="1:17" ht="15" customHeight="1" x14ac:dyDescent="0.25">
      <c r="A189" s="8" t="str">
        <f t="shared" si="35"/>
        <v/>
      </c>
      <c r="B189" s="11"/>
      <c r="C189" s="8"/>
      <c r="D189" s="8"/>
      <c r="E189" s="8"/>
      <c r="F189" s="8"/>
      <c r="G189" s="8"/>
      <c r="H189" s="8"/>
      <c r="I189" s="8"/>
      <c r="J189" s="8"/>
      <c r="K189" s="8" t="str">
        <f t="shared" si="36"/>
        <v/>
      </c>
      <c r="L189" s="8" t="str">
        <f t="shared" si="37"/>
        <v/>
      </c>
      <c r="M189" s="8" t="str">
        <f t="shared" si="38"/>
        <v/>
      </c>
      <c r="N189" s="8" t="str">
        <f t="shared" si="39"/>
        <v/>
      </c>
      <c r="O189" s="8" t="str">
        <f t="shared" si="40"/>
        <v/>
      </c>
      <c r="P189" s="8" t="str">
        <f t="shared" si="41"/>
        <v>N/A</v>
      </c>
      <c r="Q189" s="8"/>
    </row>
    <row r="190" spans="1:17" ht="15" customHeight="1" x14ac:dyDescent="0.25">
      <c r="A190" s="8" t="str">
        <f t="shared" si="35"/>
        <v/>
      </c>
      <c r="B190" s="11"/>
      <c r="C190" s="8"/>
      <c r="D190" s="8"/>
      <c r="E190" s="8"/>
      <c r="F190" s="8"/>
      <c r="G190" s="8"/>
      <c r="H190" s="8"/>
      <c r="I190" s="8"/>
      <c r="J190" s="8"/>
      <c r="K190" s="8" t="str">
        <f t="shared" si="36"/>
        <v/>
      </c>
      <c r="L190" s="8" t="str">
        <f t="shared" si="37"/>
        <v/>
      </c>
      <c r="M190" s="8" t="str">
        <f t="shared" si="38"/>
        <v/>
      </c>
      <c r="N190" s="8" t="str">
        <f t="shared" si="39"/>
        <v/>
      </c>
      <c r="O190" s="8" t="str">
        <f t="shared" si="40"/>
        <v/>
      </c>
      <c r="P190" s="8" t="str">
        <f t="shared" si="41"/>
        <v>N/A</v>
      </c>
      <c r="Q190" s="8"/>
    </row>
    <row r="191" spans="1:17" ht="15" customHeight="1" x14ac:dyDescent="0.25">
      <c r="A191" s="8" t="str">
        <f t="shared" si="35"/>
        <v/>
      </c>
      <c r="B191" s="11"/>
      <c r="C191" s="8"/>
      <c r="D191" s="8"/>
      <c r="E191" s="8"/>
      <c r="F191" s="8"/>
      <c r="G191" s="8"/>
      <c r="H191" s="8"/>
      <c r="I191" s="8"/>
      <c r="J191" s="8"/>
      <c r="K191" s="8" t="str">
        <f t="shared" si="36"/>
        <v/>
      </c>
      <c r="L191" s="8" t="str">
        <f t="shared" si="37"/>
        <v/>
      </c>
      <c r="M191" s="8" t="str">
        <f t="shared" si="38"/>
        <v/>
      </c>
      <c r="N191" s="8" t="str">
        <f t="shared" si="39"/>
        <v/>
      </c>
      <c r="O191" s="8" t="str">
        <f t="shared" si="40"/>
        <v/>
      </c>
      <c r="P191" s="8" t="str">
        <f t="shared" si="41"/>
        <v>N/A</v>
      </c>
      <c r="Q191" s="8"/>
    </row>
    <row r="192" spans="1:17" ht="15" customHeight="1" x14ac:dyDescent="0.25">
      <c r="A192" s="8" t="str">
        <f t="shared" si="35"/>
        <v/>
      </c>
      <c r="B192" s="11"/>
      <c r="C192" s="8"/>
      <c r="D192" s="8"/>
      <c r="E192" s="8"/>
      <c r="F192" s="8"/>
      <c r="G192" s="8"/>
      <c r="H192" s="8"/>
      <c r="I192" s="8"/>
      <c r="J192" s="8"/>
      <c r="K192" s="8" t="str">
        <f t="shared" si="36"/>
        <v/>
      </c>
      <c r="L192" s="8" t="str">
        <f t="shared" si="37"/>
        <v/>
      </c>
      <c r="M192" s="8" t="str">
        <f t="shared" si="38"/>
        <v/>
      </c>
      <c r="N192" s="8" t="str">
        <f t="shared" si="39"/>
        <v/>
      </c>
      <c r="O192" s="8" t="str">
        <f t="shared" si="40"/>
        <v/>
      </c>
      <c r="P192" s="8" t="str">
        <f t="shared" si="41"/>
        <v>N/A</v>
      </c>
      <c r="Q192" s="8"/>
    </row>
    <row r="193" spans="1:17" ht="15" customHeight="1" x14ac:dyDescent="0.25">
      <c r="A193" s="8" t="str">
        <f t="shared" si="35"/>
        <v/>
      </c>
      <c r="B193" s="11"/>
      <c r="C193" s="8"/>
      <c r="D193" s="8"/>
      <c r="E193" s="8"/>
      <c r="F193" s="8"/>
      <c r="G193" s="8"/>
      <c r="H193" s="8"/>
      <c r="I193" s="8"/>
      <c r="J193" s="8"/>
      <c r="K193" s="8" t="str">
        <f t="shared" si="36"/>
        <v/>
      </c>
      <c r="L193" s="8" t="str">
        <f t="shared" si="37"/>
        <v/>
      </c>
      <c r="M193" s="8" t="str">
        <f t="shared" si="38"/>
        <v/>
      </c>
      <c r="N193" s="8" t="str">
        <f t="shared" si="39"/>
        <v/>
      </c>
      <c r="O193" s="8" t="str">
        <f t="shared" si="40"/>
        <v/>
      </c>
      <c r="P193" s="8" t="str">
        <f t="shared" si="41"/>
        <v>N/A</v>
      </c>
      <c r="Q193" s="8"/>
    </row>
    <row r="194" spans="1:17" ht="15" customHeight="1" x14ac:dyDescent="0.25">
      <c r="A194" s="8" t="str">
        <f t="shared" ref="A194:A201" si="42">IF(B194="","",ROW()-1)</f>
        <v/>
      </c>
      <c r="B194" s="11"/>
      <c r="C194" s="8"/>
      <c r="D194" s="8"/>
      <c r="E194" s="8"/>
      <c r="F194" s="8"/>
      <c r="G194" s="8"/>
      <c r="H194" s="8"/>
      <c r="I194" s="8"/>
      <c r="J194" s="8"/>
      <c r="K194" s="8" t="str">
        <f t="shared" ref="K194:K201" si="43">IF(G194="","",IF(G194="SIM",1,0))</f>
        <v/>
      </c>
      <c r="L194" s="8" t="str">
        <f t="shared" ref="L194:L201" si="44">IF(H194="","",IF(H194="Automático",1,IF(H194="Manual",0.5,IF(H194="Não atualizado",0,""))))</f>
        <v/>
      </c>
      <c r="M194" s="8" t="str">
        <f t="shared" ref="M194:M201" si="45">IF(I194="","",IF(I194="SIM",1,0))</f>
        <v/>
      </c>
      <c r="N194" s="8" t="str">
        <f t="shared" ref="N194:N201" si="46">IF(J194="","",IF(J194="Conformidade",1,IF(J194="Não Conformidade",0,IF(J194="Não Conformidade Grave",-1,""))))</f>
        <v/>
      </c>
      <c r="O194" s="8" t="str">
        <f t="shared" ref="O194:O201" si="47">IF(COUNTA(G194:J194)=0,"",ROUND(AVERAGE(K194:N194)*100,0))</f>
        <v/>
      </c>
      <c r="P194" s="8" t="str">
        <f t="shared" ref="P194:P201" si="48">IFERROR(AVERAGEIF(C$2:C$201,C194,O$2:O$201),"N/A")</f>
        <v>N/A</v>
      </c>
      <c r="Q194" s="8"/>
    </row>
    <row r="195" spans="1:17" ht="15" customHeight="1" x14ac:dyDescent="0.25">
      <c r="A195" s="8" t="str">
        <f t="shared" si="42"/>
        <v/>
      </c>
      <c r="B195" s="11"/>
      <c r="C195" s="8"/>
      <c r="D195" s="8"/>
      <c r="E195" s="8"/>
      <c r="F195" s="8"/>
      <c r="G195" s="8"/>
      <c r="H195" s="8"/>
      <c r="I195" s="8"/>
      <c r="J195" s="8"/>
      <c r="K195" s="8" t="str">
        <f t="shared" si="43"/>
        <v/>
      </c>
      <c r="L195" s="8" t="str">
        <f t="shared" si="44"/>
        <v/>
      </c>
      <c r="M195" s="8" t="str">
        <f t="shared" si="45"/>
        <v/>
      </c>
      <c r="N195" s="8" t="str">
        <f t="shared" si="46"/>
        <v/>
      </c>
      <c r="O195" s="8" t="str">
        <f t="shared" si="47"/>
        <v/>
      </c>
      <c r="P195" s="8" t="str">
        <f t="shared" si="48"/>
        <v>N/A</v>
      </c>
      <c r="Q195" s="8"/>
    </row>
    <row r="196" spans="1:17" ht="15" customHeight="1" x14ac:dyDescent="0.25">
      <c r="A196" s="8" t="str">
        <f t="shared" si="42"/>
        <v/>
      </c>
      <c r="B196" s="11"/>
      <c r="C196" s="8"/>
      <c r="D196" s="8"/>
      <c r="E196" s="8"/>
      <c r="F196" s="8"/>
      <c r="G196" s="8"/>
      <c r="H196" s="8"/>
      <c r="I196" s="8"/>
      <c r="J196" s="8"/>
      <c r="K196" s="8" t="str">
        <f t="shared" si="43"/>
        <v/>
      </c>
      <c r="L196" s="8" t="str">
        <f t="shared" si="44"/>
        <v/>
      </c>
      <c r="M196" s="8" t="str">
        <f t="shared" si="45"/>
        <v/>
      </c>
      <c r="N196" s="8" t="str">
        <f t="shared" si="46"/>
        <v/>
      </c>
      <c r="O196" s="8" t="str">
        <f t="shared" si="47"/>
        <v/>
      </c>
      <c r="P196" s="8" t="str">
        <f t="shared" si="48"/>
        <v>N/A</v>
      </c>
      <c r="Q196" s="8"/>
    </row>
    <row r="197" spans="1:17" ht="15" customHeight="1" x14ac:dyDescent="0.25">
      <c r="A197" s="8" t="str">
        <f t="shared" si="42"/>
        <v/>
      </c>
      <c r="B197" s="11"/>
      <c r="C197" s="8"/>
      <c r="D197" s="8"/>
      <c r="E197" s="8"/>
      <c r="F197" s="8"/>
      <c r="G197" s="8"/>
      <c r="H197" s="8"/>
      <c r="I197" s="8"/>
      <c r="J197" s="8"/>
      <c r="K197" s="8" t="str">
        <f t="shared" si="43"/>
        <v/>
      </c>
      <c r="L197" s="8" t="str">
        <f t="shared" si="44"/>
        <v/>
      </c>
      <c r="M197" s="8" t="str">
        <f t="shared" si="45"/>
        <v/>
      </c>
      <c r="N197" s="8" t="str">
        <f t="shared" si="46"/>
        <v/>
      </c>
      <c r="O197" s="8" t="str">
        <f t="shared" si="47"/>
        <v/>
      </c>
      <c r="P197" s="8" t="str">
        <f t="shared" si="48"/>
        <v>N/A</v>
      </c>
      <c r="Q197" s="8"/>
    </row>
    <row r="198" spans="1:17" ht="15" customHeight="1" x14ac:dyDescent="0.25">
      <c r="A198" s="8" t="str">
        <f t="shared" si="42"/>
        <v/>
      </c>
      <c r="B198" s="11"/>
      <c r="C198" s="8"/>
      <c r="D198" s="8"/>
      <c r="E198" s="8"/>
      <c r="F198" s="8"/>
      <c r="G198" s="8"/>
      <c r="H198" s="8"/>
      <c r="I198" s="8"/>
      <c r="J198" s="8"/>
      <c r="K198" s="8" t="str">
        <f t="shared" si="43"/>
        <v/>
      </c>
      <c r="L198" s="8" t="str">
        <f t="shared" si="44"/>
        <v/>
      </c>
      <c r="M198" s="8" t="str">
        <f t="shared" si="45"/>
        <v/>
      </c>
      <c r="N198" s="8" t="str">
        <f t="shared" si="46"/>
        <v/>
      </c>
      <c r="O198" s="8" t="str">
        <f t="shared" si="47"/>
        <v/>
      </c>
      <c r="P198" s="8" t="str">
        <f t="shared" si="48"/>
        <v>N/A</v>
      </c>
      <c r="Q198" s="8"/>
    </row>
    <row r="199" spans="1:17" ht="15" customHeight="1" x14ac:dyDescent="0.25">
      <c r="A199" s="8" t="str">
        <f t="shared" si="42"/>
        <v/>
      </c>
      <c r="B199" s="11"/>
      <c r="C199" s="8"/>
      <c r="D199" s="8"/>
      <c r="E199" s="8"/>
      <c r="F199" s="8"/>
      <c r="G199" s="8"/>
      <c r="H199" s="8"/>
      <c r="I199" s="8"/>
      <c r="J199" s="8"/>
      <c r="K199" s="8" t="str">
        <f t="shared" si="43"/>
        <v/>
      </c>
      <c r="L199" s="8" t="str">
        <f t="shared" si="44"/>
        <v/>
      </c>
      <c r="M199" s="8" t="str">
        <f t="shared" si="45"/>
        <v/>
      </c>
      <c r="N199" s="8" t="str">
        <f t="shared" si="46"/>
        <v/>
      </c>
      <c r="O199" s="8" t="str">
        <f t="shared" si="47"/>
        <v/>
      </c>
      <c r="P199" s="8" t="str">
        <f t="shared" si="48"/>
        <v>N/A</v>
      </c>
      <c r="Q199" s="8"/>
    </row>
    <row r="200" spans="1:17" ht="15" customHeight="1" x14ac:dyDescent="0.25">
      <c r="A200" s="8" t="str">
        <f t="shared" si="42"/>
        <v/>
      </c>
      <c r="B200" s="11"/>
      <c r="C200" s="8"/>
      <c r="D200" s="8"/>
      <c r="E200" s="8"/>
      <c r="F200" s="8"/>
      <c r="G200" s="8"/>
      <c r="H200" s="8"/>
      <c r="I200" s="8"/>
      <c r="J200" s="8"/>
      <c r="K200" s="8" t="str">
        <f t="shared" si="43"/>
        <v/>
      </c>
      <c r="L200" s="8" t="str">
        <f t="shared" si="44"/>
        <v/>
      </c>
      <c r="M200" s="8" t="str">
        <f t="shared" si="45"/>
        <v/>
      </c>
      <c r="N200" s="8" t="str">
        <f t="shared" si="46"/>
        <v/>
      </c>
      <c r="O200" s="8" t="str">
        <f t="shared" si="47"/>
        <v/>
      </c>
      <c r="P200" s="8" t="str">
        <f t="shared" si="48"/>
        <v>N/A</v>
      </c>
      <c r="Q200" s="8"/>
    </row>
    <row r="201" spans="1:17" ht="15" customHeight="1" x14ac:dyDescent="0.25">
      <c r="A201" s="8" t="str">
        <f t="shared" si="42"/>
        <v/>
      </c>
      <c r="B201" s="11"/>
      <c r="C201" s="8"/>
      <c r="D201" s="8"/>
      <c r="E201" s="8"/>
      <c r="F201" s="8"/>
      <c r="G201" s="8"/>
      <c r="H201" s="8"/>
      <c r="I201" s="8"/>
      <c r="J201" s="8"/>
      <c r="K201" s="8" t="str">
        <f t="shared" si="43"/>
        <v/>
      </c>
      <c r="L201" s="8" t="str">
        <f t="shared" si="44"/>
        <v/>
      </c>
      <c r="M201" s="8" t="str">
        <f t="shared" si="45"/>
        <v/>
      </c>
      <c r="N201" s="8" t="str">
        <f t="shared" si="46"/>
        <v/>
      </c>
      <c r="O201" s="8" t="str">
        <f t="shared" si="47"/>
        <v/>
      </c>
      <c r="P201" s="8" t="str">
        <f t="shared" si="48"/>
        <v>N/A</v>
      </c>
      <c r="Q201" s="8"/>
    </row>
  </sheetData>
  <autoFilter ref="A1:U201" xr:uid="{00000000-0001-0000-0100-000000000000}"/>
  <conditionalFormatting sqref="G2:G201">
    <cfRule type="cellIs" dxfId="34" priority="2" operator="equal">
      <formula>"SIM"</formula>
    </cfRule>
    <cfRule type="cellIs" dxfId="33" priority="3" operator="equal">
      <formula>"NÃO"</formula>
    </cfRule>
  </conditionalFormatting>
  <conditionalFormatting sqref="I2:I201">
    <cfRule type="cellIs" dxfId="32" priority="4" operator="equal">
      <formula>"SIM"</formula>
    </cfRule>
    <cfRule type="cellIs" dxfId="31" priority="5" operator="equal">
      <formula>"NÃO"</formula>
    </cfRule>
  </conditionalFormatting>
  <conditionalFormatting sqref="O2:P201">
    <cfRule type="cellIs" dxfId="30" priority="6" operator="lessThan">
      <formula>50</formula>
    </cfRule>
    <cfRule type="cellIs" dxfId="29" priority="7" operator="between">
      <formula>50</formula>
      <formula>79</formula>
    </cfRule>
    <cfRule type="cellIs" dxfId="28" priority="8" operator="greaterThanOrEqual">
      <formula>80</formula>
    </cfRule>
  </conditionalFormatting>
  <dataValidations count="6">
    <dataValidation type="decimal" operator="greaterThanOrEqual" allowBlank="1" sqref="F2:F201" xr:uid="{00000000-0002-0000-0100-000000000000}">
      <formula1>0</formula1>
      <formula2>0</formula2>
    </dataValidation>
    <dataValidation type="list" allowBlank="1" sqref="G2:G201 I2:I201" xr:uid="{00000000-0002-0000-0100-000001000000}">
      <formula1>"SIM,NÃO"</formula1>
      <formula2>0</formula2>
    </dataValidation>
    <dataValidation type="list" allowBlank="1" sqref="H2:H201" xr:uid="{00000000-0002-0000-0100-000002000000}">
      <formula1>"Automático,Manual,Não atualizado"</formula1>
      <formula2>0</formula2>
    </dataValidation>
    <dataValidation type="list" allowBlank="1" sqref="J2:J201" xr:uid="{00000000-0002-0000-0100-000003000000}">
      <formula1>"Não Conformidade Grave,Não Conformidade,Conformidade,Observação"</formula1>
      <formula2>0</formula2>
    </dataValidation>
    <dataValidation type="date" allowBlank="1" sqref="B2:B201" xr:uid="{00000000-0002-0000-0100-000004000000}">
      <formula1>DATE(2000,1,1)</formula1>
      <formula2>0</formula2>
    </dataValidation>
    <dataValidation type="list" allowBlank="1" sqref="U2:U201" xr:uid="{00000000-0002-0000-0100-000005000000}">
      <formula1>"Aberto,Em andamento,Concluído"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01"/>
  <sheetViews>
    <sheetView topLeftCell="C1"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3" customWidth="1"/>
    <col min="2" max="2" width="16" customWidth="1"/>
    <col min="3" max="3" width="22" customWidth="1"/>
    <col min="4" max="4" width="28" customWidth="1"/>
    <col min="5" max="5" width="32" customWidth="1"/>
    <col min="6" max="6" width="13" customWidth="1"/>
    <col min="7" max="7" width="22" customWidth="1"/>
    <col min="8" max="9" width="16" customWidth="1"/>
    <col min="10" max="10" width="17" customWidth="1"/>
    <col min="11" max="13" width="13" customWidth="1"/>
    <col min="14" max="14" width="14" customWidth="1"/>
    <col min="15" max="15" width="16" customWidth="1"/>
    <col min="16" max="16" width="10" customWidth="1"/>
    <col min="17" max="17" width="22" customWidth="1"/>
  </cols>
  <sheetData>
    <row r="1" spans="1:21" ht="22.3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44</v>
      </c>
      <c r="F1" s="1" t="s">
        <v>5</v>
      </c>
      <c r="G1" s="7" t="s">
        <v>45</v>
      </c>
      <c r="H1" s="7" t="s">
        <v>46</v>
      </c>
      <c r="I1" s="7" t="s">
        <v>47</v>
      </c>
      <c r="J1" s="7" t="s">
        <v>36</v>
      </c>
      <c r="K1" s="7" t="s">
        <v>48</v>
      </c>
      <c r="L1" s="7" t="s">
        <v>49</v>
      </c>
      <c r="M1" s="7" t="s">
        <v>12</v>
      </c>
      <c r="N1" s="7" t="s">
        <v>14</v>
      </c>
      <c r="O1" s="7" t="s">
        <v>50</v>
      </c>
      <c r="P1" s="7" t="s">
        <v>16</v>
      </c>
      <c r="Q1" s="7" t="s">
        <v>17</v>
      </c>
      <c r="R1" t="s">
        <v>18</v>
      </c>
      <c r="S1" t="s">
        <v>19</v>
      </c>
      <c r="T1" t="s">
        <v>20</v>
      </c>
      <c r="U1" t="s">
        <v>21</v>
      </c>
    </row>
    <row r="2" spans="1:21" ht="15" customHeight="1" x14ac:dyDescent="0.25">
      <c r="A2" s="8">
        <f t="shared" ref="A2:A33" si="0">IF(B2="","",ROW()-1)</f>
        <v>1</v>
      </c>
      <c r="B2" s="9">
        <v>46247</v>
      </c>
      <c r="C2" s="10" t="s">
        <v>39</v>
      </c>
      <c r="D2" s="10" t="s">
        <v>40</v>
      </c>
      <c r="E2" s="10" t="s">
        <v>51</v>
      </c>
      <c r="F2" s="10">
        <v>1</v>
      </c>
      <c r="G2" s="10" t="s">
        <v>25</v>
      </c>
      <c r="H2" s="10" t="s">
        <v>25</v>
      </c>
      <c r="I2" s="10" t="s">
        <v>30</v>
      </c>
      <c r="J2" s="10" t="s">
        <v>52</v>
      </c>
      <c r="K2" s="8">
        <f t="shared" ref="K2:K33" si="1">IF(G2="","",IF(G2="SIM",1,0))</f>
        <v>1</v>
      </c>
      <c r="L2" s="8">
        <f t="shared" ref="L2:L33" si="2">IF(H2="","",IF(H2="SIM",1,0))</f>
        <v>1</v>
      </c>
      <c r="M2" s="8">
        <f t="shared" ref="M2:M33" si="3">IF(I2="","",IF(I2="SIM",1,0))</f>
        <v>0</v>
      </c>
      <c r="N2" s="8">
        <f t="shared" ref="N2:N33" si="4">IF(J2="","",IF(J2="Conformidade",1,IF(J2="Não Conformidade",0,IF(J2="Não Conformidade Grave",-1,""))))</f>
        <v>0</v>
      </c>
      <c r="O2" s="8">
        <f t="shared" ref="O2:O33" si="5">IF(COUNTA(G2:J2)=0,"",ROUND(AVERAGE(K2:N2)*100,0))</f>
        <v>50</v>
      </c>
      <c r="P2" s="8">
        <f t="shared" ref="P2:P33" si="6">IFERROR(AVERAGEIF(C$2:C$201,C2,O$2:O$201),"N/A")</f>
        <v>50</v>
      </c>
      <c r="Q2" s="10" t="s">
        <v>43</v>
      </c>
    </row>
    <row r="3" spans="1:21" ht="15" customHeight="1" x14ac:dyDescent="0.25">
      <c r="A3" s="8">
        <f t="shared" si="0"/>
        <v>2</v>
      </c>
      <c r="B3" s="44">
        <v>46180</v>
      </c>
      <c r="C3" s="10" t="s">
        <v>248</v>
      </c>
      <c r="D3" s="10" t="s">
        <v>263</v>
      </c>
      <c r="E3" s="10" t="s">
        <v>301</v>
      </c>
      <c r="F3" s="10">
        <v>5</v>
      </c>
      <c r="G3" s="10" t="s">
        <v>30</v>
      </c>
      <c r="H3" s="10" t="s">
        <v>30</v>
      </c>
      <c r="I3" s="10" t="s">
        <v>30</v>
      </c>
      <c r="J3" s="10" t="s">
        <v>26</v>
      </c>
      <c r="K3" s="8">
        <f t="shared" si="1"/>
        <v>0</v>
      </c>
      <c r="L3" s="8">
        <f t="shared" si="2"/>
        <v>0</v>
      </c>
      <c r="M3" s="8">
        <f t="shared" si="3"/>
        <v>0</v>
      </c>
      <c r="N3" s="8">
        <f t="shared" si="4"/>
        <v>-1</v>
      </c>
      <c r="O3" s="45">
        <f t="shared" si="5"/>
        <v>-25</v>
      </c>
      <c r="P3" s="45">
        <f t="shared" si="6"/>
        <v>22.222222222222221</v>
      </c>
      <c r="Q3" s="10" t="s">
        <v>308</v>
      </c>
      <c r="R3" t="s">
        <v>309</v>
      </c>
      <c r="S3" t="s">
        <v>274</v>
      </c>
      <c r="T3" s="41">
        <v>46275</v>
      </c>
      <c r="U3" t="s">
        <v>269</v>
      </c>
    </row>
    <row r="4" spans="1:21" ht="15" customHeight="1" x14ac:dyDescent="0.25">
      <c r="A4" s="8">
        <f t="shared" si="0"/>
        <v>3</v>
      </c>
      <c r="B4" s="44">
        <v>46211</v>
      </c>
      <c r="C4" s="10" t="s">
        <v>251</v>
      </c>
      <c r="D4" s="10" t="s">
        <v>249</v>
      </c>
      <c r="E4" s="10" t="s">
        <v>265</v>
      </c>
      <c r="F4" s="10">
        <v>6</v>
      </c>
      <c r="G4" s="10" t="s">
        <v>25</v>
      </c>
      <c r="H4" s="10" t="s">
        <v>25</v>
      </c>
      <c r="I4" s="10" t="s">
        <v>25</v>
      </c>
      <c r="J4" s="10" t="s">
        <v>14</v>
      </c>
      <c r="K4" s="8">
        <f t="shared" si="1"/>
        <v>1</v>
      </c>
      <c r="L4" s="8">
        <f t="shared" si="2"/>
        <v>1</v>
      </c>
      <c r="M4" s="8">
        <f t="shared" si="3"/>
        <v>1</v>
      </c>
      <c r="N4" s="8">
        <f t="shared" si="4"/>
        <v>1</v>
      </c>
      <c r="O4" s="45">
        <f t="shared" si="5"/>
        <v>100</v>
      </c>
      <c r="P4" s="45">
        <f t="shared" si="6"/>
        <v>94.444444444444443</v>
      </c>
      <c r="Q4" s="10" t="s">
        <v>310</v>
      </c>
      <c r="R4" t="s">
        <v>311</v>
      </c>
      <c r="S4" t="s">
        <v>276</v>
      </c>
      <c r="T4" s="41">
        <v>46306</v>
      </c>
      <c r="U4" t="s">
        <v>273</v>
      </c>
    </row>
    <row r="5" spans="1:21" ht="15" customHeight="1" x14ac:dyDescent="0.25">
      <c r="A5" s="8">
        <f t="shared" si="0"/>
        <v>4</v>
      </c>
      <c r="B5" s="44">
        <v>46243</v>
      </c>
      <c r="C5" s="10" t="s">
        <v>254</v>
      </c>
      <c r="D5" s="10" t="s">
        <v>261</v>
      </c>
      <c r="E5" s="10" t="s">
        <v>302</v>
      </c>
      <c r="F5" s="10">
        <v>7</v>
      </c>
      <c r="G5" s="10" t="s">
        <v>25</v>
      </c>
      <c r="H5" s="10" t="s">
        <v>25</v>
      </c>
      <c r="I5" s="10" t="s">
        <v>25</v>
      </c>
      <c r="J5" s="10" t="s">
        <v>14</v>
      </c>
      <c r="K5" s="8">
        <f t="shared" si="1"/>
        <v>1</v>
      </c>
      <c r="L5" s="8">
        <f t="shared" si="2"/>
        <v>1</v>
      </c>
      <c r="M5" s="8">
        <f t="shared" si="3"/>
        <v>1</v>
      </c>
      <c r="N5" s="8">
        <f t="shared" si="4"/>
        <v>1</v>
      </c>
      <c r="O5" s="45">
        <f t="shared" si="5"/>
        <v>100</v>
      </c>
      <c r="P5" s="45">
        <f t="shared" si="6"/>
        <v>75</v>
      </c>
      <c r="Q5" s="10" t="s">
        <v>310</v>
      </c>
      <c r="R5" t="s">
        <v>311</v>
      </c>
      <c r="S5" t="s">
        <v>277</v>
      </c>
      <c r="T5" s="41">
        <v>46338</v>
      </c>
      <c r="U5" t="s">
        <v>273</v>
      </c>
    </row>
    <row r="6" spans="1:21" ht="15" customHeight="1" x14ac:dyDescent="0.25">
      <c r="A6" s="8">
        <f t="shared" si="0"/>
        <v>5</v>
      </c>
      <c r="B6" s="44">
        <v>46183</v>
      </c>
      <c r="C6" s="10" t="s">
        <v>257</v>
      </c>
      <c r="D6" s="10" t="s">
        <v>265</v>
      </c>
      <c r="E6" s="10" t="s">
        <v>303</v>
      </c>
      <c r="F6" s="10">
        <v>8</v>
      </c>
      <c r="G6" s="10" t="s">
        <v>25</v>
      </c>
      <c r="H6" s="10" t="s">
        <v>25</v>
      </c>
      <c r="I6" s="10" t="s">
        <v>25</v>
      </c>
      <c r="J6" s="10" t="s">
        <v>14</v>
      </c>
      <c r="K6" s="8">
        <f t="shared" si="1"/>
        <v>1</v>
      </c>
      <c r="L6" s="8">
        <f t="shared" si="2"/>
        <v>1</v>
      </c>
      <c r="M6" s="8">
        <f t="shared" si="3"/>
        <v>1</v>
      </c>
      <c r="N6" s="8">
        <f t="shared" si="4"/>
        <v>1</v>
      </c>
      <c r="O6" s="45">
        <f t="shared" si="5"/>
        <v>100</v>
      </c>
      <c r="P6" s="45">
        <f t="shared" si="6"/>
        <v>90.625</v>
      </c>
      <c r="Q6" s="10" t="s">
        <v>310</v>
      </c>
      <c r="R6" t="s">
        <v>311</v>
      </c>
      <c r="S6" t="s">
        <v>280</v>
      </c>
      <c r="T6" s="41">
        <v>46278</v>
      </c>
      <c r="U6" t="s">
        <v>273</v>
      </c>
    </row>
    <row r="7" spans="1:21" ht="15" customHeight="1" x14ac:dyDescent="0.25">
      <c r="A7" s="8">
        <f t="shared" si="0"/>
        <v>6</v>
      </c>
      <c r="B7" s="44">
        <v>46214</v>
      </c>
      <c r="C7" s="10" t="s">
        <v>260</v>
      </c>
      <c r="D7" s="10" t="s">
        <v>255</v>
      </c>
      <c r="E7" s="10" t="s">
        <v>258</v>
      </c>
      <c r="F7" s="10">
        <v>9</v>
      </c>
      <c r="G7" s="10" t="s">
        <v>25</v>
      </c>
      <c r="H7" s="10" t="s">
        <v>25</v>
      </c>
      <c r="I7" s="10" t="s">
        <v>30</v>
      </c>
      <c r="J7" s="10" t="s">
        <v>14</v>
      </c>
      <c r="K7" s="8">
        <f t="shared" si="1"/>
        <v>1</v>
      </c>
      <c r="L7" s="8">
        <f t="shared" si="2"/>
        <v>1</v>
      </c>
      <c r="M7" s="8">
        <f t="shared" si="3"/>
        <v>0</v>
      </c>
      <c r="N7" s="8">
        <f t="shared" si="4"/>
        <v>1</v>
      </c>
      <c r="O7" s="45">
        <f t="shared" si="5"/>
        <v>75</v>
      </c>
      <c r="P7" s="45">
        <f t="shared" si="6"/>
        <v>68.75</v>
      </c>
      <c r="Q7" s="10" t="s">
        <v>308</v>
      </c>
      <c r="R7" t="s">
        <v>309</v>
      </c>
      <c r="S7" t="s">
        <v>268</v>
      </c>
      <c r="T7" s="41">
        <v>46309</v>
      </c>
      <c r="U7" t="s">
        <v>278</v>
      </c>
    </row>
    <row r="8" spans="1:21" ht="15" customHeight="1" x14ac:dyDescent="0.25">
      <c r="A8" s="8">
        <f t="shared" si="0"/>
        <v>7</v>
      </c>
      <c r="B8" s="44">
        <v>46246</v>
      </c>
      <c r="C8" s="10" t="s">
        <v>22</v>
      </c>
      <c r="D8" s="10" t="s">
        <v>263</v>
      </c>
      <c r="E8" s="10" t="s">
        <v>304</v>
      </c>
      <c r="F8" s="10">
        <v>10</v>
      </c>
      <c r="G8" s="10" t="s">
        <v>25</v>
      </c>
      <c r="H8" s="10" t="s">
        <v>25</v>
      </c>
      <c r="I8" s="10" t="s">
        <v>25</v>
      </c>
      <c r="J8" s="10" t="s">
        <v>52</v>
      </c>
      <c r="K8" s="8">
        <f t="shared" si="1"/>
        <v>1</v>
      </c>
      <c r="L8" s="8">
        <f t="shared" si="2"/>
        <v>1</v>
      </c>
      <c r="M8" s="8">
        <f t="shared" si="3"/>
        <v>1</v>
      </c>
      <c r="N8" s="8">
        <f t="shared" si="4"/>
        <v>0</v>
      </c>
      <c r="O8" s="45">
        <f t="shared" si="5"/>
        <v>75</v>
      </c>
      <c r="P8" s="45">
        <f t="shared" si="6"/>
        <v>87.5</v>
      </c>
      <c r="Q8" s="10" t="s">
        <v>308</v>
      </c>
      <c r="R8" t="s">
        <v>312</v>
      </c>
      <c r="S8" t="s">
        <v>272</v>
      </c>
      <c r="T8" s="41">
        <v>46341</v>
      </c>
      <c r="U8" t="s">
        <v>281</v>
      </c>
    </row>
    <row r="9" spans="1:21" ht="15" customHeight="1" x14ac:dyDescent="0.25">
      <c r="A9" s="8">
        <f t="shared" si="0"/>
        <v>8</v>
      </c>
      <c r="B9" s="44">
        <v>46186</v>
      </c>
      <c r="C9" s="10" t="s">
        <v>248</v>
      </c>
      <c r="D9" s="10" t="s">
        <v>249</v>
      </c>
      <c r="E9" s="10" t="s">
        <v>249</v>
      </c>
      <c r="F9" s="10">
        <v>11</v>
      </c>
      <c r="G9" s="10" t="s">
        <v>25</v>
      </c>
      <c r="H9" s="10" t="s">
        <v>30</v>
      </c>
      <c r="I9" s="10" t="s">
        <v>25</v>
      </c>
      <c r="J9" s="10" t="s">
        <v>14</v>
      </c>
      <c r="K9" s="8">
        <f t="shared" si="1"/>
        <v>1</v>
      </c>
      <c r="L9" s="8">
        <f t="shared" si="2"/>
        <v>0</v>
      </c>
      <c r="M9" s="8">
        <f t="shared" si="3"/>
        <v>1</v>
      </c>
      <c r="N9" s="8">
        <f t="shared" si="4"/>
        <v>1</v>
      </c>
      <c r="O9" s="45">
        <f t="shared" si="5"/>
        <v>75</v>
      </c>
      <c r="P9" s="45">
        <f t="shared" si="6"/>
        <v>22.222222222222221</v>
      </c>
      <c r="Q9" s="10" t="s">
        <v>308</v>
      </c>
      <c r="R9" t="s">
        <v>313</v>
      </c>
      <c r="S9" t="s">
        <v>274</v>
      </c>
      <c r="T9" s="41">
        <v>46281</v>
      </c>
      <c r="U9" t="s">
        <v>269</v>
      </c>
    </row>
    <row r="10" spans="1:21" ht="15" customHeight="1" x14ac:dyDescent="0.25">
      <c r="A10" s="8">
        <f t="shared" si="0"/>
        <v>9</v>
      </c>
      <c r="B10" s="44">
        <v>46217</v>
      </c>
      <c r="C10" s="10" t="s">
        <v>251</v>
      </c>
      <c r="D10" s="10" t="s">
        <v>261</v>
      </c>
      <c r="E10" s="10" t="s">
        <v>305</v>
      </c>
      <c r="F10" s="10">
        <v>12</v>
      </c>
      <c r="G10" s="10" t="s">
        <v>25</v>
      </c>
      <c r="H10" s="10" t="s">
        <v>25</v>
      </c>
      <c r="I10" s="10" t="s">
        <v>25</v>
      </c>
      <c r="J10" s="10" t="s">
        <v>14</v>
      </c>
      <c r="K10" s="8">
        <f t="shared" si="1"/>
        <v>1</v>
      </c>
      <c r="L10" s="8">
        <f t="shared" si="2"/>
        <v>1</v>
      </c>
      <c r="M10" s="8">
        <f t="shared" si="3"/>
        <v>1</v>
      </c>
      <c r="N10" s="8">
        <f t="shared" si="4"/>
        <v>1</v>
      </c>
      <c r="O10" s="45">
        <f t="shared" si="5"/>
        <v>100</v>
      </c>
      <c r="P10" s="45">
        <f t="shared" si="6"/>
        <v>94.444444444444443</v>
      </c>
      <c r="Q10" s="10" t="s">
        <v>310</v>
      </c>
      <c r="R10" t="s">
        <v>311</v>
      </c>
      <c r="S10" t="s">
        <v>276</v>
      </c>
      <c r="T10" s="41">
        <v>46312</v>
      </c>
      <c r="U10" t="s">
        <v>273</v>
      </c>
    </row>
    <row r="11" spans="1:21" ht="15" customHeight="1" x14ac:dyDescent="0.25">
      <c r="A11" s="8">
        <f t="shared" si="0"/>
        <v>10</v>
      </c>
      <c r="B11" s="44">
        <v>46249</v>
      </c>
      <c r="C11" s="10" t="s">
        <v>254</v>
      </c>
      <c r="D11" s="10" t="s">
        <v>265</v>
      </c>
      <c r="E11" s="10" t="s">
        <v>306</v>
      </c>
      <c r="F11" s="10">
        <v>13</v>
      </c>
      <c r="G11" s="10" t="s">
        <v>30</v>
      </c>
      <c r="H11" s="10" t="s">
        <v>25</v>
      </c>
      <c r="I11" s="10" t="s">
        <v>30</v>
      </c>
      <c r="J11" s="10" t="s">
        <v>14</v>
      </c>
      <c r="K11" s="8">
        <f t="shared" si="1"/>
        <v>0</v>
      </c>
      <c r="L11" s="8">
        <f t="shared" si="2"/>
        <v>1</v>
      </c>
      <c r="M11" s="8">
        <f t="shared" si="3"/>
        <v>0</v>
      </c>
      <c r="N11" s="8">
        <f t="shared" si="4"/>
        <v>1</v>
      </c>
      <c r="O11" s="45">
        <f t="shared" si="5"/>
        <v>50</v>
      </c>
      <c r="P11" s="45">
        <f t="shared" si="6"/>
        <v>75</v>
      </c>
      <c r="Q11" s="10" t="s">
        <v>308</v>
      </c>
      <c r="R11" t="s">
        <v>309</v>
      </c>
      <c r="S11" t="s">
        <v>277</v>
      </c>
      <c r="T11" s="41">
        <v>46344</v>
      </c>
      <c r="U11" t="s">
        <v>281</v>
      </c>
    </row>
    <row r="12" spans="1:21" ht="15" customHeight="1" x14ac:dyDescent="0.25">
      <c r="A12" s="8">
        <f t="shared" si="0"/>
        <v>11</v>
      </c>
      <c r="B12" s="44">
        <v>46189</v>
      </c>
      <c r="C12" s="10" t="s">
        <v>257</v>
      </c>
      <c r="D12" s="10" t="s">
        <v>255</v>
      </c>
      <c r="E12" s="10" t="s">
        <v>307</v>
      </c>
      <c r="F12" s="10">
        <v>14</v>
      </c>
      <c r="G12" s="10" t="s">
        <v>25</v>
      </c>
      <c r="H12" s="10" t="s">
        <v>25</v>
      </c>
      <c r="I12" s="10" t="s">
        <v>25</v>
      </c>
      <c r="J12" s="10" t="s">
        <v>14</v>
      </c>
      <c r="K12" s="8">
        <f t="shared" si="1"/>
        <v>1</v>
      </c>
      <c r="L12" s="8">
        <f t="shared" si="2"/>
        <v>1</v>
      </c>
      <c r="M12" s="8">
        <f t="shared" si="3"/>
        <v>1</v>
      </c>
      <c r="N12" s="8">
        <f t="shared" si="4"/>
        <v>1</v>
      </c>
      <c r="O12" s="45">
        <f t="shared" si="5"/>
        <v>100</v>
      </c>
      <c r="P12" s="45">
        <f t="shared" si="6"/>
        <v>90.625</v>
      </c>
      <c r="Q12" s="10" t="s">
        <v>310</v>
      </c>
      <c r="R12" t="s">
        <v>311</v>
      </c>
      <c r="S12" t="s">
        <v>280</v>
      </c>
      <c r="T12" s="41">
        <v>46284</v>
      </c>
      <c r="U12" t="s">
        <v>273</v>
      </c>
    </row>
    <row r="13" spans="1:21" ht="15" customHeight="1" x14ac:dyDescent="0.25">
      <c r="A13" s="8">
        <f t="shared" si="0"/>
        <v>12</v>
      </c>
      <c r="B13" s="44">
        <v>46220</v>
      </c>
      <c r="C13" s="10" t="s">
        <v>260</v>
      </c>
      <c r="D13" s="10" t="s">
        <v>263</v>
      </c>
      <c r="E13" s="10" t="s">
        <v>301</v>
      </c>
      <c r="F13" s="10">
        <v>15</v>
      </c>
      <c r="G13" s="10" t="s">
        <v>25</v>
      </c>
      <c r="H13" s="10" t="s">
        <v>25</v>
      </c>
      <c r="I13" s="10" t="s">
        <v>25</v>
      </c>
      <c r="J13" s="10" t="s">
        <v>52</v>
      </c>
      <c r="K13" s="8">
        <f t="shared" si="1"/>
        <v>1</v>
      </c>
      <c r="L13" s="8">
        <f t="shared" si="2"/>
        <v>1</v>
      </c>
      <c r="M13" s="8">
        <f t="shared" si="3"/>
        <v>1</v>
      </c>
      <c r="N13" s="8">
        <f t="shared" si="4"/>
        <v>0</v>
      </c>
      <c r="O13" s="45">
        <f t="shared" si="5"/>
        <v>75</v>
      </c>
      <c r="P13" s="45">
        <f t="shared" si="6"/>
        <v>68.75</v>
      </c>
      <c r="Q13" s="10" t="s">
        <v>308</v>
      </c>
      <c r="R13" t="s">
        <v>313</v>
      </c>
      <c r="S13" t="s">
        <v>268</v>
      </c>
      <c r="T13" s="41">
        <v>46315</v>
      </c>
      <c r="U13" t="s">
        <v>278</v>
      </c>
    </row>
    <row r="14" spans="1:21" ht="15" customHeight="1" x14ac:dyDescent="0.25">
      <c r="A14" s="8">
        <f t="shared" si="0"/>
        <v>13</v>
      </c>
      <c r="B14" s="44">
        <v>46252</v>
      </c>
      <c r="C14" s="10" t="s">
        <v>22</v>
      </c>
      <c r="D14" s="10" t="s">
        <v>249</v>
      </c>
      <c r="E14" s="10" t="s">
        <v>265</v>
      </c>
      <c r="F14" s="10">
        <v>16</v>
      </c>
      <c r="G14" s="10" t="s">
        <v>25</v>
      </c>
      <c r="H14" s="10" t="s">
        <v>25</v>
      </c>
      <c r="I14" s="10" t="s">
        <v>30</v>
      </c>
      <c r="J14" s="10" t="s">
        <v>14</v>
      </c>
      <c r="K14" s="8">
        <f t="shared" si="1"/>
        <v>1</v>
      </c>
      <c r="L14" s="8">
        <f t="shared" si="2"/>
        <v>1</v>
      </c>
      <c r="M14" s="8">
        <f t="shared" si="3"/>
        <v>0</v>
      </c>
      <c r="N14" s="8">
        <f t="shared" si="4"/>
        <v>1</v>
      </c>
      <c r="O14" s="45">
        <f t="shared" si="5"/>
        <v>75</v>
      </c>
      <c r="P14" s="45">
        <f t="shared" si="6"/>
        <v>87.5</v>
      </c>
      <c r="Q14" s="10" t="s">
        <v>308</v>
      </c>
      <c r="R14" t="s">
        <v>314</v>
      </c>
      <c r="S14" t="s">
        <v>272</v>
      </c>
      <c r="T14" s="41">
        <v>46347</v>
      </c>
      <c r="U14" t="s">
        <v>281</v>
      </c>
    </row>
    <row r="15" spans="1:21" ht="15" customHeight="1" x14ac:dyDescent="0.25">
      <c r="A15" s="8">
        <f t="shared" si="0"/>
        <v>14</v>
      </c>
      <c r="B15" s="44">
        <v>46192</v>
      </c>
      <c r="C15" s="10" t="s">
        <v>248</v>
      </c>
      <c r="D15" s="10" t="s">
        <v>261</v>
      </c>
      <c r="E15" s="10" t="s">
        <v>302</v>
      </c>
      <c r="F15" s="10">
        <v>17</v>
      </c>
      <c r="G15" s="10" t="s">
        <v>25</v>
      </c>
      <c r="H15" s="10" t="s">
        <v>30</v>
      </c>
      <c r="I15" s="10" t="s">
        <v>30</v>
      </c>
      <c r="J15" s="10" t="s">
        <v>26</v>
      </c>
      <c r="K15" s="8">
        <f t="shared" si="1"/>
        <v>1</v>
      </c>
      <c r="L15" s="8">
        <f t="shared" si="2"/>
        <v>0</v>
      </c>
      <c r="M15" s="8">
        <f t="shared" si="3"/>
        <v>0</v>
      </c>
      <c r="N15" s="8">
        <f t="shared" si="4"/>
        <v>-1</v>
      </c>
      <c r="O15" s="45">
        <f t="shared" si="5"/>
        <v>0</v>
      </c>
      <c r="P15" s="45">
        <f t="shared" si="6"/>
        <v>22.222222222222221</v>
      </c>
      <c r="Q15" s="10" t="s">
        <v>308</v>
      </c>
      <c r="R15" t="s">
        <v>309</v>
      </c>
      <c r="S15" t="s">
        <v>274</v>
      </c>
      <c r="T15" s="41">
        <v>46287</v>
      </c>
      <c r="U15" t="s">
        <v>269</v>
      </c>
    </row>
    <row r="16" spans="1:21" ht="15" customHeight="1" x14ac:dyDescent="0.25">
      <c r="A16" s="8">
        <f t="shared" si="0"/>
        <v>15</v>
      </c>
      <c r="B16" s="44">
        <v>46223</v>
      </c>
      <c r="C16" s="10" t="s">
        <v>251</v>
      </c>
      <c r="D16" s="10" t="s">
        <v>265</v>
      </c>
      <c r="E16" s="10" t="s">
        <v>303</v>
      </c>
      <c r="F16" s="10">
        <v>18</v>
      </c>
      <c r="G16" s="10" t="s">
        <v>25</v>
      </c>
      <c r="H16" s="10" t="s">
        <v>25</v>
      </c>
      <c r="I16" s="10" t="s">
        <v>25</v>
      </c>
      <c r="J16" s="10" t="s">
        <v>14</v>
      </c>
      <c r="K16" s="8">
        <f t="shared" si="1"/>
        <v>1</v>
      </c>
      <c r="L16" s="8">
        <f t="shared" si="2"/>
        <v>1</v>
      </c>
      <c r="M16" s="8">
        <f t="shared" si="3"/>
        <v>1</v>
      </c>
      <c r="N16" s="8">
        <f t="shared" si="4"/>
        <v>1</v>
      </c>
      <c r="O16" s="45">
        <f t="shared" si="5"/>
        <v>100</v>
      </c>
      <c r="P16" s="45">
        <f t="shared" si="6"/>
        <v>94.444444444444443</v>
      </c>
      <c r="Q16" s="10" t="s">
        <v>310</v>
      </c>
      <c r="R16" t="s">
        <v>311</v>
      </c>
      <c r="S16" t="s">
        <v>276</v>
      </c>
      <c r="T16" s="41">
        <v>46318</v>
      </c>
      <c r="U16" t="s">
        <v>273</v>
      </c>
    </row>
    <row r="17" spans="1:21" ht="15" customHeight="1" x14ac:dyDescent="0.25">
      <c r="A17" s="8">
        <f t="shared" si="0"/>
        <v>16</v>
      </c>
      <c r="B17" s="44">
        <v>46255</v>
      </c>
      <c r="C17" s="10" t="s">
        <v>254</v>
      </c>
      <c r="D17" s="10" t="s">
        <v>255</v>
      </c>
      <c r="E17" s="10" t="s">
        <v>258</v>
      </c>
      <c r="F17" s="10">
        <v>19</v>
      </c>
      <c r="G17" s="10" t="s">
        <v>25</v>
      </c>
      <c r="H17" s="10" t="s">
        <v>25</v>
      </c>
      <c r="I17" s="10" t="s">
        <v>25</v>
      </c>
      <c r="J17" s="10" t="s">
        <v>14</v>
      </c>
      <c r="K17" s="8">
        <f t="shared" si="1"/>
        <v>1</v>
      </c>
      <c r="L17" s="8">
        <f t="shared" si="2"/>
        <v>1</v>
      </c>
      <c r="M17" s="8">
        <f t="shared" si="3"/>
        <v>1</v>
      </c>
      <c r="N17" s="8">
        <f t="shared" si="4"/>
        <v>1</v>
      </c>
      <c r="O17" s="45">
        <f t="shared" si="5"/>
        <v>100</v>
      </c>
      <c r="P17" s="45">
        <f t="shared" si="6"/>
        <v>75</v>
      </c>
      <c r="Q17" s="10" t="s">
        <v>310</v>
      </c>
      <c r="R17" t="s">
        <v>311</v>
      </c>
      <c r="S17" t="s">
        <v>277</v>
      </c>
      <c r="T17" s="41">
        <v>46350</v>
      </c>
      <c r="U17" t="s">
        <v>273</v>
      </c>
    </row>
    <row r="18" spans="1:21" ht="15" customHeight="1" x14ac:dyDescent="0.25">
      <c r="A18" s="8">
        <f t="shared" si="0"/>
        <v>17</v>
      </c>
      <c r="B18" s="44">
        <v>46195</v>
      </c>
      <c r="C18" s="10" t="s">
        <v>257</v>
      </c>
      <c r="D18" s="10" t="s">
        <v>263</v>
      </c>
      <c r="E18" s="10" t="s">
        <v>304</v>
      </c>
      <c r="F18" s="10">
        <v>20</v>
      </c>
      <c r="G18" s="10" t="s">
        <v>25</v>
      </c>
      <c r="H18" s="10" t="s">
        <v>25</v>
      </c>
      <c r="I18" s="10" t="s">
        <v>25</v>
      </c>
      <c r="J18" s="10" t="s">
        <v>52</v>
      </c>
      <c r="K18" s="8">
        <f t="shared" si="1"/>
        <v>1</v>
      </c>
      <c r="L18" s="8">
        <f t="shared" si="2"/>
        <v>1</v>
      </c>
      <c r="M18" s="8">
        <f t="shared" si="3"/>
        <v>1</v>
      </c>
      <c r="N18" s="8">
        <f t="shared" si="4"/>
        <v>0</v>
      </c>
      <c r="O18" s="45">
        <f t="shared" si="5"/>
        <v>75</v>
      </c>
      <c r="P18" s="45">
        <f t="shared" si="6"/>
        <v>90.625</v>
      </c>
      <c r="Q18" s="10" t="s">
        <v>308</v>
      </c>
      <c r="R18" t="s">
        <v>314</v>
      </c>
      <c r="S18" t="s">
        <v>280</v>
      </c>
      <c r="T18" s="41">
        <v>46290</v>
      </c>
      <c r="U18" t="s">
        <v>269</v>
      </c>
    </row>
    <row r="19" spans="1:21" ht="15" customHeight="1" x14ac:dyDescent="0.25">
      <c r="A19" s="8">
        <f t="shared" si="0"/>
        <v>18</v>
      </c>
      <c r="B19" s="44">
        <v>46226</v>
      </c>
      <c r="C19" s="10" t="s">
        <v>260</v>
      </c>
      <c r="D19" s="10" t="s">
        <v>249</v>
      </c>
      <c r="E19" s="10" t="s">
        <v>249</v>
      </c>
      <c r="F19" s="10">
        <v>21</v>
      </c>
      <c r="G19" s="10" t="s">
        <v>30</v>
      </c>
      <c r="H19" s="10" t="s">
        <v>25</v>
      </c>
      <c r="I19" s="10" t="s">
        <v>30</v>
      </c>
      <c r="J19" s="10" t="s">
        <v>14</v>
      </c>
      <c r="K19" s="8">
        <f t="shared" si="1"/>
        <v>0</v>
      </c>
      <c r="L19" s="8">
        <f t="shared" si="2"/>
        <v>1</v>
      </c>
      <c r="M19" s="8">
        <f t="shared" si="3"/>
        <v>0</v>
      </c>
      <c r="N19" s="8">
        <f t="shared" si="4"/>
        <v>1</v>
      </c>
      <c r="O19" s="45">
        <f t="shared" si="5"/>
        <v>50</v>
      </c>
      <c r="P19" s="45">
        <f t="shared" si="6"/>
        <v>68.75</v>
      </c>
      <c r="Q19" s="10" t="s">
        <v>308</v>
      </c>
      <c r="R19" t="s">
        <v>309</v>
      </c>
      <c r="S19" t="s">
        <v>268</v>
      </c>
      <c r="T19" s="41">
        <v>46321</v>
      </c>
      <c r="U19" t="s">
        <v>278</v>
      </c>
    </row>
    <row r="20" spans="1:21" ht="15" customHeight="1" x14ac:dyDescent="0.25">
      <c r="A20" s="8">
        <f t="shared" si="0"/>
        <v>19</v>
      </c>
      <c r="B20" s="44">
        <v>46258</v>
      </c>
      <c r="C20" s="10" t="s">
        <v>22</v>
      </c>
      <c r="D20" s="10" t="s">
        <v>261</v>
      </c>
      <c r="E20" s="10" t="s">
        <v>305</v>
      </c>
      <c r="F20" s="10">
        <v>22</v>
      </c>
      <c r="G20" s="10" t="s">
        <v>30</v>
      </c>
      <c r="H20" s="10" t="s">
        <v>25</v>
      </c>
      <c r="I20" s="10" t="s">
        <v>25</v>
      </c>
      <c r="J20" s="10" t="s">
        <v>14</v>
      </c>
      <c r="K20" s="8">
        <f t="shared" si="1"/>
        <v>0</v>
      </c>
      <c r="L20" s="8">
        <f t="shared" si="2"/>
        <v>1</v>
      </c>
      <c r="M20" s="8">
        <f t="shared" si="3"/>
        <v>1</v>
      </c>
      <c r="N20" s="8">
        <f t="shared" si="4"/>
        <v>1</v>
      </c>
      <c r="O20" s="45">
        <f t="shared" si="5"/>
        <v>75</v>
      </c>
      <c r="P20" s="45">
        <f t="shared" si="6"/>
        <v>87.5</v>
      </c>
      <c r="Q20" s="10" t="s">
        <v>308</v>
      </c>
      <c r="R20" t="s">
        <v>312</v>
      </c>
      <c r="S20" t="s">
        <v>272</v>
      </c>
      <c r="T20" s="41">
        <v>46336</v>
      </c>
      <c r="U20" t="s">
        <v>281</v>
      </c>
    </row>
    <row r="21" spans="1:21" ht="15" customHeight="1" x14ac:dyDescent="0.25">
      <c r="A21" s="8">
        <f t="shared" si="0"/>
        <v>20</v>
      </c>
      <c r="B21" s="44">
        <v>46198</v>
      </c>
      <c r="C21" s="10" t="s">
        <v>248</v>
      </c>
      <c r="D21" s="10" t="s">
        <v>265</v>
      </c>
      <c r="E21" s="10" t="s">
        <v>306</v>
      </c>
      <c r="F21" s="10">
        <v>23</v>
      </c>
      <c r="G21" s="10" t="s">
        <v>25</v>
      </c>
      <c r="H21" s="10" t="s">
        <v>30</v>
      </c>
      <c r="I21" s="10" t="s">
        <v>25</v>
      </c>
      <c r="J21" s="10" t="s">
        <v>14</v>
      </c>
      <c r="K21" s="8">
        <f t="shared" si="1"/>
        <v>1</v>
      </c>
      <c r="L21" s="8">
        <f t="shared" si="2"/>
        <v>0</v>
      </c>
      <c r="M21" s="8">
        <f t="shared" si="3"/>
        <v>1</v>
      </c>
      <c r="N21" s="8">
        <f t="shared" si="4"/>
        <v>1</v>
      </c>
      <c r="O21" s="45">
        <f t="shared" si="5"/>
        <v>75</v>
      </c>
      <c r="P21" s="45">
        <f t="shared" si="6"/>
        <v>22.222222222222221</v>
      </c>
      <c r="Q21" s="10" t="s">
        <v>308</v>
      </c>
      <c r="R21" t="s">
        <v>313</v>
      </c>
      <c r="S21" t="s">
        <v>274</v>
      </c>
      <c r="T21" s="41">
        <v>46276</v>
      </c>
      <c r="U21" t="s">
        <v>269</v>
      </c>
    </row>
    <row r="22" spans="1:21" ht="15" customHeight="1" x14ac:dyDescent="0.25">
      <c r="A22" s="8">
        <f t="shared" si="0"/>
        <v>21</v>
      </c>
      <c r="B22" s="44">
        <v>46210</v>
      </c>
      <c r="C22" s="10" t="s">
        <v>251</v>
      </c>
      <c r="D22" s="10" t="s">
        <v>255</v>
      </c>
      <c r="E22" s="10" t="s">
        <v>307</v>
      </c>
      <c r="F22" s="10">
        <v>24</v>
      </c>
      <c r="G22" s="10" t="s">
        <v>25</v>
      </c>
      <c r="H22" s="10" t="s">
        <v>30</v>
      </c>
      <c r="I22" s="10" t="s">
        <v>25</v>
      </c>
      <c r="J22" s="10" t="s">
        <v>14</v>
      </c>
      <c r="K22" s="8">
        <f t="shared" si="1"/>
        <v>1</v>
      </c>
      <c r="L22" s="8">
        <f t="shared" si="2"/>
        <v>0</v>
      </c>
      <c r="M22" s="8">
        <f t="shared" si="3"/>
        <v>1</v>
      </c>
      <c r="N22" s="8">
        <f t="shared" si="4"/>
        <v>1</v>
      </c>
      <c r="O22" s="45">
        <f t="shared" si="5"/>
        <v>75</v>
      </c>
      <c r="P22" s="45">
        <f t="shared" si="6"/>
        <v>94.444444444444443</v>
      </c>
      <c r="Q22" s="10" t="s">
        <v>308</v>
      </c>
      <c r="R22" t="s">
        <v>314</v>
      </c>
      <c r="S22" t="s">
        <v>276</v>
      </c>
      <c r="T22" s="41">
        <v>46307</v>
      </c>
      <c r="U22" t="s">
        <v>278</v>
      </c>
    </row>
    <row r="23" spans="1:21" ht="15" customHeight="1" x14ac:dyDescent="0.25">
      <c r="A23" s="8">
        <f t="shared" si="0"/>
        <v>22</v>
      </c>
      <c r="B23" s="44">
        <v>46242</v>
      </c>
      <c r="C23" s="10" t="s">
        <v>254</v>
      </c>
      <c r="D23" s="10" t="s">
        <v>263</v>
      </c>
      <c r="E23" s="10" t="s">
        <v>301</v>
      </c>
      <c r="F23" s="10">
        <v>25</v>
      </c>
      <c r="G23" s="10" t="s">
        <v>25</v>
      </c>
      <c r="H23" s="10" t="s">
        <v>25</v>
      </c>
      <c r="I23" s="10" t="s">
        <v>30</v>
      </c>
      <c r="J23" s="10" t="s">
        <v>52</v>
      </c>
      <c r="K23" s="8">
        <f t="shared" si="1"/>
        <v>1</v>
      </c>
      <c r="L23" s="8">
        <f t="shared" si="2"/>
        <v>1</v>
      </c>
      <c r="M23" s="8">
        <f t="shared" si="3"/>
        <v>0</v>
      </c>
      <c r="N23" s="8">
        <f t="shared" si="4"/>
        <v>0</v>
      </c>
      <c r="O23" s="45">
        <f t="shared" si="5"/>
        <v>50</v>
      </c>
      <c r="P23" s="45">
        <f t="shared" si="6"/>
        <v>75</v>
      </c>
      <c r="Q23" s="10" t="s">
        <v>308</v>
      </c>
      <c r="R23" t="s">
        <v>309</v>
      </c>
      <c r="S23" t="s">
        <v>277</v>
      </c>
      <c r="T23" s="41">
        <v>46339</v>
      </c>
      <c r="U23" t="s">
        <v>281</v>
      </c>
    </row>
    <row r="24" spans="1:21" ht="15" customHeight="1" x14ac:dyDescent="0.25">
      <c r="A24" s="8">
        <f t="shared" si="0"/>
        <v>23</v>
      </c>
      <c r="B24" s="44">
        <v>46182</v>
      </c>
      <c r="C24" s="10" t="s">
        <v>257</v>
      </c>
      <c r="D24" s="10" t="s">
        <v>249</v>
      </c>
      <c r="E24" s="10" t="s">
        <v>265</v>
      </c>
      <c r="F24" s="10">
        <v>26</v>
      </c>
      <c r="G24" s="10" t="s">
        <v>25</v>
      </c>
      <c r="H24" s="10" t="s">
        <v>25</v>
      </c>
      <c r="I24" s="10" t="s">
        <v>25</v>
      </c>
      <c r="J24" s="10" t="s">
        <v>14</v>
      </c>
      <c r="K24" s="8">
        <f t="shared" si="1"/>
        <v>1</v>
      </c>
      <c r="L24" s="8">
        <f t="shared" si="2"/>
        <v>1</v>
      </c>
      <c r="M24" s="8">
        <f t="shared" si="3"/>
        <v>1</v>
      </c>
      <c r="N24" s="8">
        <f t="shared" si="4"/>
        <v>1</v>
      </c>
      <c r="O24" s="45">
        <f t="shared" si="5"/>
        <v>100</v>
      </c>
      <c r="P24" s="45">
        <f t="shared" si="6"/>
        <v>90.625</v>
      </c>
      <c r="Q24" s="10" t="s">
        <v>310</v>
      </c>
      <c r="R24" t="s">
        <v>311</v>
      </c>
      <c r="S24" t="s">
        <v>280</v>
      </c>
      <c r="T24" s="41">
        <v>46279</v>
      </c>
      <c r="U24" t="s">
        <v>273</v>
      </c>
    </row>
    <row r="25" spans="1:21" ht="15" customHeight="1" x14ac:dyDescent="0.25">
      <c r="A25" s="8">
        <f t="shared" si="0"/>
        <v>24</v>
      </c>
      <c r="B25" s="44">
        <v>46213</v>
      </c>
      <c r="C25" s="10" t="s">
        <v>260</v>
      </c>
      <c r="D25" s="10" t="s">
        <v>261</v>
      </c>
      <c r="E25" s="10" t="s">
        <v>302</v>
      </c>
      <c r="F25" s="10">
        <v>27</v>
      </c>
      <c r="G25" s="10" t="s">
        <v>25</v>
      </c>
      <c r="H25" s="10" t="s">
        <v>25</v>
      </c>
      <c r="I25" s="10" t="s">
        <v>30</v>
      </c>
      <c r="J25" s="10" t="s">
        <v>14</v>
      </c>
      <c r="K25" s="8">
        <f t="shared" si="1"/>
        <v>1</v>
      </c>
      <c r="L25" s="8">
        <f t="shared" si="2"/>
        <v>1</v>
      </c>
      <c r="M25" s="8">
        <f t="shared" si="3"/>
        <v>0</v>
      </c>
      <c r="N25" s="8">
        <f t="shared" si="4"/>
        <v>1</v>
      </c>
      <c r="O25" s="45">
        <f t="shared" si="5"/>
        <v>75</v>
      </c>
      <c r="P25" s="45">
        <f t="shared" si="6"/>
        <v>68.75</v>
      </c>
      <c r="Q25" s="10" t="s">
        <v>308</v>
      </c>
      <c r="R25" t="s">
        <v>313</v>
      </c>
      <c r="S25" t="s">
        <v>268</v>
      </c>
      <c r="T25" s="41">
        <v>46310</v>
      </c>
      <c r="U25" t="s">
        <v>278</v>
      </c>
    </row>
    <row r="26" spans="1:21" ht="15" customHeight="1" x14ac:dyDescent="0.25">
      <c r="A26" s="8">
        <f t="shared" si="0"/>
        <v>25</v>
      </c>
      <c r="B26" s="44">
        <v>46245</v>
      </c>
      <c r="C26" s="10" t="s">
        <v>22</v>
      </c>
      <c r="D26" s="10" t="s">
        <v>265</v>
      </c>
      <c r="E26" s="10" t="s">
        <v>303</v>
      </c>
      <c r="F26" s="10">
        <v>28</v>
      </c>
      <c r="G26" s="10" t="s">
        <v>25</v>
      </c>
      <c r="H26" s="10" t="s">
        <v>25</v>
      </c>
      <c r="I26" s="10" t="s">
        <v>25</v>
      </c>
      <c r="J26" s="10" t="s">
        <v>14</v>
      </c>
      <c r="K26" s="8">
        <f t="shared" si="1"/>
        <v>1</v>
      </c>
      <c r="L26" s="8">
        <f t="shared" si="2"/>
        <v>1</v>
      </c>
      <c r="M26" s="8">
        <f t="shared" si="3"/>
        <v>1</v>
      </c>
      <c r="N26" s="8">
        <f t="shared" si="4"/>
        <v>1</v>
      </c>
      <c r="O26" s="45">
        <f t="shared" si="5"/>
        <v>100</v>
      </c>
      <c r="P26" s="45">
        <f t="shared" si="6"/>
        <v>87.5</v>
      </c>
      <c r="Q26" s="10" t="s">
        <v>310</v>
      </c>
      <c r="R26" t="s">
        <v>311</v>
      </c>
      <c r="S26" t="s">
        <v>272</v>
      </c>
      <c r="T26" s="41">
        <v>46342</v>
      </c>
      <c r="U26" t="s">
        <v>273</v>
      </c>
    </row>
    <row r="27" spans="1:21" ht="15" customHeight="1" x14ac:dyDescent="0.25">
      <c r="A27" s="8">
        <f t="shared" si="0"/>
        <v>26</v>
      </c>
      <c r="B27" s="44">
        <v>46185</v>
      </c>
      <c r="C27" s="10" t="s">
        <v>248</v>
      </c>
      <c r="D27" s="10" t="s">
        <v>255</v>
      </c>
      <c r="E27" s="10" t="s">
        <v>258</v>
      </c>
      <c r="F27" s="10">
        <v>29</v>
      </c>
      <c r="G27" s="10" t="s">
        <v>30</v>
      </c>
      <c r="H27" s="10" t="s">
        <v>30</v>
      </c>
      <c r="I27" s="10" t="s">
        <v>30</v>
      </c>
      <c r="J27" s="10" t="s">
        <v>26</v>
      </c>
      <c r="K27" s="8">
        <f t="shared" si="1"/>
        <v>0</v>
      </c>
      <c r="L27" s="8">
        <f t="shared" si="2"/>
        <v>0</v>
      </c>
      <c r="M27" s="8">
        <f t="shared" si="3"/>
        <v>0</v>
      </c>
      <c r="N27" s="8">
        <f t="shared" si="4"/>
        <v>-1</v>
      </c>
      <c r="O27" s="45">
        <f t="shared" si="5"/>
        <v>-25</v>
      </c>
      <c r="P27" s="45">
        <f t="shared" si="6"/>
        <v>22.222222222222221</v>
      </c>
      <c r="Q27" s="10" t="s">
        <v>308</v>
      </c>
      <c r="R27" t="s">
        <v>309</v>
      </c>
      <c r="S27" t="s">
        <v>274</v>
      </c>
      <c r="T27" s="41">
        <v>46282</v>
      </c>
      <c r="U27" t="s">
        <v>269</v>
      </c>
    </row>
    <row r="28" spans="1:21" ht="15" customHeight="1" x14ac:dyDescent="0.25">
      <c r="A28" s="8">
        <f t="shared" si="0"/>
        <v>27</v>
      </c>
      <c r="B28" s="44">
        <v>46216</v>
      </c>
      <c r="C28" s="10" t="s">
        <v>251</v>
      </c>
      <c r="D28" s="10" t="s">
        <v>263</v>
      </c>
      <c r="E28" s="10" t="s">
        <v>304</v>
      </c>
      <c r="F28" s="10">
        <v>30</v>
      </c>
      <c r="G28" s="10" t="s">
        <v>25</v>
      </c>
      <c r="H28" s="10" t="s">
        <v>25</v>
      </c>
      <c r="I28" s="10" t="s">
        <v>25</v>
      </c>
      <c r="J28" s="10" t="s">
        <v>52</v>
      </c>
      <c r="K28" s="8">
        <f t="shared" si="1"/>
        <v>1</v>
      </c>
      <c r="L28" s="8">
        <f t="shared" si="2"/>
        <v>1</v>
      </c>
      <c r="M28" s="8">
        <f t="shared" si="3"/>
        <v>1</v>
      </c>
      <c r="N28" s="8">
        <f t="shared" si="4"/>
        <v>0</v>
      </c>
      <c r="O28" s="45">
        <f t="shared" si="5"/>
        <v>75</v>
      </c>
      <c r="P28" s="45">
        <f t="shared" si="6"/>
        <v>94.444444444444443</v>
      </c>
      <c r="Q28" s="10" t="s">
        <v>308</v>
      </c>
      <c r="R28" t="s">
        <v>312</v>
      </c>
      <c r="S28" t="s">
        <v>276</v>
      </c>
      <c r="T28" s="41">
        <v>46313</v>
      </c>
      <c r="U28" t="s">
        <v>278</v>
      </c>
    </row>
    <row r="29" spans="1:21" ht="15" customHeight="1" x14ac:dyDescent="0.25">
      <c r="A29" s="8">
        <f t="shared" si="0"/>
        <v>28</v>
      </c>
      <c r="B29" s="44">
        <v>46248</v>
      </c>
      <c r="C29" s="10" t="s">
        <v>254</v>
      </c>
      <c r="D29" s="10" t="s">
        <v>249</v>
      </c>
      <c r="E29" s="10" t="s">
        <v>249</v>
      </c>
      <c r="F29" s="10">
        <v>5</v>
      </c>
      <c r="G29" s="10" t="s">
        <v>25</v>
      </c>
      <c r="H29" s="10" t="s">
        <v>25</v>
      </c>
      <c r="I29" s="10" t="s">
        <v>25</v>
      </c>
      <c r="J29" s="10" t="s">
        <v>14</v>
      </c>
      <c r="K29" s="8">
        <f t="shared" si="1"/>
        <v>1</v>
      </c>
      <c r="L29" s="8">
        <f t="shared" si="2"/>
        <v>1</v>
      </c>
      <c r="M29" s="8">
        <f t="shared" si="3"/>
        <v>1</v>
      </c>
      <c r="N29" s="8">
        <f t="shared" si="4"/>
        <v>1</v>
      </c>
      <c r="O29" s="45">
        <f t="shared" si="5"/>
        <v>100</v>
      </c>
      <c r="P29" s="45">
        <f t="shared" si="6"/>
        <v>75</v>
      </c>
      <c r="Q29" s="10" t="s">
        <v>310</v>
      </c>
      <c r="R29" t="s">
        <v>311</v>
      </c>
      <c r="S29" t="s">
        <v>277</v>
      </c>
      <c r="T29" s="41">
        <v>46345</v>
      </c>
      <c r="U29" t="s">
        <v>273</v>
      </c>
    </row>
    <row r="30" spans="1:21" ht="15" customHeight="1" x14ac:dyDescent="0.25">
      <c r="A30" s="8">
        <f t="shared" si="0"/>
        <v>29</v>
      </c>
      <c r="B30" s="44">
        <v>46188</v>
      </c>
      <c r="C30" s="10" t="s">
        <v>257</v>
      </c>
      <c r="D30" s="10" t="s">
        <v>261</v>
      </c>
      <c r="E30" s="10" t="s">
        <v>305</v>
      </c>
      <c r="F30" s="10">
        <v>6</v>
      </c>
      <c r="G30" s="10" t="s">
        <v>25</v>
      </c>
      <c r="H30" s="10" t="s">
        <v>25</v>
      </c>
      <c r="I30" s="10" t="s">
        <v>25</v>
      </c>
      <c r="J30" s="10" t="s">
        <v>14</v>
      </c>
      <c r="K30" s="8">
        <f t="shared" si="1"/>
        <v>1</v>
      </c>
      <c r="L30" s="8">
        <f t="shared" si="2"/>
        <v>1</v>
      </c>
      <c r="M30" s="8">
        <f t="shared" si="3"/>
        <v>1</v>
      </c>
      <c r="N30" s="8">
        <f t="shared" si="4"/>
        <v>1</v>
      </c>
      <c r="O30" s="45">
        <f t="shared" si="5"/>
        <v>100</v>
      </c>
      <c r="P30" s="45">
        <f t="shared" si="6"/>
        <v>90.625</v>
      </c>
      <c r="Q30" s="10" t="s">
        <v>310</v>
      </c>
      <c r="R30" t="s">
        <v>311</v>
      </c>
      <c r="S30" t="s">
        <v>280</v>
      </c>
      <c r="T30" s="41">
        <v>46285</v>
      </c>
      <c r="U30" t="s">
        <v>273</v>
      </c>
    </row>
    <row r="31" spans="1:21" ht="15" customHeight="1" x14ac:dyDescent="0.25">
      <c r="A31" s="8">
        <f t="shared" si="0"/>
        <v>30</v>
      </c>
      <c r="B31" s="44">
        <v>46219</v>
      </c>
      <c r="C31" s="10" t="s">
        <v>260</v>
      </c>
      <c r="D31" s="10" t="s">
        <v>265</v>
      </c>
      <c r="E31" s="10" t="s">
        <v>306</v>
      </c>
      <c r="F31" s="10">
        <v>7</v>
      </c>
      <c r="G31" s="10" t="s">
        <v>25</v>
      </c>
      <c r="H31" s="10" t="s">
        <v>25</v>
      </c>
      <c r="I31" s="10" t="s">
        <v>30</v>
      </c>
      <c r="J31" s="10" t="s">
        <v>14</v>
      </c>
      <c r="K31" s="8">
        <f t="shared" si="1"/>
        <v>1</v>
      </c>
      <c r="L31" s="8">
        <f t="shared" si="2"/>
        <v>1</v>
      </c>
      <c r="M31" s="8">
        <f t="shared" si="3"/>
        <v>0</v>
      </c>
      <c r="N31" s="8">
        <f t="shared" si="4"/>
        <v>1</v>
      </c>
      <c r="O31" s="45">
        <f t="shared" si="5"/>
        <v>75</v>
      </c>
      <c r="P31" s="45">
        <f t="shared" si="6"/>
        <v>68.75</v>
      </c>
      <c r="Q31" s="10" t="s">
        <v>308</v>
      </c>
      <c r="R31" t="s">
        <v>309</v>
      </c>
      <c r="S31" t="s">
        <v>268</v>
      </c>
      <c r="T31" s="41">
        <v>46316</v>
      </c>
      <c r="U31" t="s">
        <v>278</v>
      </c>
    </row>
    <row r="32" spans="1:21" ht="15" customHeight="1" x14ac:dyDescent="0.25">
      <c r="A32" s="8">
        <f t="shared" si="0"/>
        <v>31</v>
      </c>
      <c r="B32" s="44">
        <v>46251</v>
      </c>
      <c r="C32" s="10" t="s">
        <v>22</v>
      </c>
      <c r="D32" s="10" t="s">
        <v>255</v>
      </c>
      <c r="E32" s="10" t="s">
        <v>307</v>
      </c>
      <c r="F32" s="10">
        <v>8</v>
      </c>
      <c r="G32" s="10" t="s">
        <v>25</v>
      </c>
      <c r="H32" s="10" t="s">
        <v>25</v>
      </c>
      <c r="I32" s="10" t="s">
        <v>25</v>
      </c>
      <c r="J32" s="10" t="s">
        <v>14</v>
      </c>
      <c r="K32" s="8">
        <f t="shared" si="1"/>
        <v>1</v>
      </c>
      <c r="L32" s="8">
        <f t="shared" si="2"/>
        <v>1</v>
      </c>
      <c r="M32" s="8">
        <f t="shared" si="3"/>
        <v>1</v>
      </c>
      <c r="N32" s="8">
        <f t="shared" si="4"/>
        <v>1</v>
      </c>
      <c r="O32" s="45">
        <f t="shared" si="5"/>
        <v>100</v>
      </c>
      <c r="P32" s="45">
        <f t="shared" si="6"/>
        <v>87.5</v>
      </c>
      <c r="Q32" s="10" t="s">
        <v>310</v>
      </c>
      <c r="R32" t="s">
        <v>311</v>
      </c>
      <c r="S32" t="s">
        <v>272</v>
      </c>
      <c r="T32" s="41">
        <v>46348</v>
      </c>
      <c r="U32" t="s">
        <v>273</v>
      </c>
    </row>
    <row r="33" spans="1:21" ht="15" customHeight="1" x14ac:dyDescent="0.25">
      <c r="A33" s="8">
        <f t="shared" si="0"/>
        <v>32</v>
      </c>
      <c r="B33" s="44">
        <v>46191</v>
      </c>
      <c r="C33" s="10" t="s">
        <v>248</v>
      </c>
      <c r="D33" s="10" t="s">
        <v>263</v>
      </c>
      <c r="E33" s="10" t="s">
        <v>301</v>
      </c>
      <c r="F33" s="10">
        <v>9</v>
      </c>
      <c r="G33" s="10" t="s">
        <v>25</v>
      </c>
      <c r="H33" s="10" t="s">
        <v>30</v>
      </c>
      <c r="I33" s="10" t="s">
        <v>25</v>
      </c>
      <c r="J33" s="10" t="s">
        <v>52</v>
      </c>
      <c r="K33" s="8">
        <f t="shared" si="1"/>
        <v>1</v>
      </c>
      <c r="L33" s="8">
        <f t="shared" si="2"/>
        <v>0</v>
      </c>
      <c r="M33" s="8">
        <f t="shared" si="3"/>
        <v>1</v>
      </c>
      <c r="N33" s="8">
        <f t="shared" si="4"/>
        <v>0</v>
      </c>
      <c r="O33" s="45">
        <f t="shared" si="5"/>
        <v>50</v>
      </c>
      <c r="P33" s="45">
        <f t="shared" si="6"/>
        <v>22.222222222222221</v>
      </c>
      <c r="Q33" s="10" t="s">
        <v>308</v>
      </c>
      <c r="R33" t="s">
        <v>313</v>
      </c>
      <c r="S33" t="s">
        <v>274</v>
      </c>
      <c r="T33" s="41">
        <v>46288</v>
      </c>
      <c r="U33" t="s">
        <v>269</v>
      </c>
    </row>
    <row r="34" spans="1:21" ht="15" customHeight="1" x14ac:dyDescent="0.25">
      <c r="A34" s="8">
        <f t="shared" ref="A34:A65" si="7">IF(B34="","",ROW()-1)</f>
        <v>33</v>
      </c>
      <c r="B34" s="44">
        <v>46222</v>
      </c>
      <c r="C34" s="10" t="s">
        <v>251</v>
      </c>
      <c r="D34" s="10" t="s">
        <v>249</v>
      </c>
      <c r="E34" s="10" t="s">
        <v>265</v>
      </c>
      <c r="F34" s="10">
        <v>10</v>
      </c>
      <c r="G34" s="10" t="s">
        <v>25</v>
      </c>
      <c r="H34" s="10" t="s">
        <v>25</v>
      </c>
      <c r="I34" s="10" t="s">
        <v>25</v>
      </c>
      <c r="J34" s="10" t="s">
        <v>14</v>
      </c>
      <c r="K34" s="8">
        <f t="shared" ref="K34:K65" si="8">IF(G34="","",IF(G34="SIM",1,0))</f>
        <v>1</v>
      </c>
      <c r="L34" s="8">
        <f t="shared" ref="L34:L65" si="9">IF(H34="","",IF(H34="SIM",1,0))</f>
        <v>1</v>
      </c>
      <c r="M34" s="8">
        <f t="shared" ref="M34:M65" si="10">IF(I34="","",IF(I34="SIM",1,0))</f>
        <v>1</v>
      </c>
      <c r="N34" s="8">
        <f t="shared" ref="N34:N65" si="11">IF(J34="","",IF(J34="Conformidade",1,IF(J34="Não Conformidade",0,IF(J34="Não Conformidade Grave",-1,""))))</f>
        <v>1</v>
      </c>
      <c r="O34" s="45">
        <f t="shared" ref="O34:O65" si="12">IF(COUNTA(G34:J34)=0,"",ROUND(AVERAGE(K34:N34)*100,0))</f>
        <v>100</v>
      </c>
      <c r="P34" s="45">
        <f t="shared" ref="P34:P65" si="13">IFERROR(AVERAGEIF(C$2:C$201,C34,O$2:O$201),"N/A")</f>
        <v>94.444444444444443</v>
      </c>
      <c r="Q34" s="10" t="s">
        <v>310</v>
      </c>
      <c r="R34" t="s">
        <v>311</v>
      </c>
      <c r="S34" t="s">
        <v>276</v>
      </c>
      <c r="T34" s="41">
        <v>46319</v>
      </c>
      <c r="U34" t="s">
        <v>273</v>
      </c>
    </row>
    <row r="35" spans="1:21" ht="15" customHeight="1" x14ac:dyDescent="0.25">
      <c r="A35" s="8">
        <f t="shared" si="7"/>
        <v>34</v>
      </c>
      <c r="B35" s="44">
        <v>46254</v>
      </c>
      <c r="C35" s="10" t="s">
        <v>254</v>
      </c>
      <c r="D35" s="10" t="s">
        <v>261</v>
      </c>
      <c r="E35" s="10" t="s">
        <v>302</v>
      </c>
      <c r="F35" s="10">
        <v>11</v>
      </c>
      <c r="G35" s="10" t="s">
        <v>30</v>
      </c>
      <c r="H35" s="10" t="s">
        <v>25</v>
      </c>
      <c r="I35" s="10" t="s">
        <v>30</v>
      </c>
      <c r="J35" s="10" t="s">
        <v>14</v>
      </c>
      <c r="K35" s="8">
        <f t="shared" si="8"/>
        <v>0</v>
      </c>
      <c r="L35" s="8">
        <f t="shared" si="9"/>
        <v>1</v>
      </c>
      <c r="M35" s="8">
        <f t="shared" si="10"/>
        <v>0</v>
      </c>
      <c r="N35" s="8">
        <f t="shared" si="11"/>
        <v>1</v>
      </c>
      <c r="O35" s="45">
        <f t="shared" si="12"/>
        <v>50</v>
      </c>
      <c r="P35" s="45">
        <f t="shared" si="13"/>
        <v>75</v>
      </c>
      <c r="Q35" s="10" t="s">
        <v>308</v>
      </c>
      <c r="R35" t="s">
        <v>309</v>
      </c>
      <c r="S35" t="s">
        <v>277</v>
      </c>
      <c r="T35" s="41">
        <v>46351</v>
      </c>
      <c r="U35" t="s">
        <v>281</v>
      </c>
    </row>
    <row r="36" spans="1:21" ht="15" customHeight="1" x14ac:dyDescent="0.25">
      <c r="A36" s="8">
        <f t="shared" si="7"/>
        <v>35</v>
      </c>
      <c r="B36" s="44">
        <v>46194</v>
      </c>
      <c r="C36" s="10" t="s">
        <v>257</v>
      </c>
      <c r="D36" s="10" t="s">
        <v>265</v>
      </c>
      <c r="E36" s="10" t="s">
        <v>303</v>
      </c>
      <c r="F36" s="10">
        <v>12</v>
      </c>
      <c r="G36" s="10" t="s">
        <v>25</v>
      </c>
      <c r="H36" s="10" t="s">
        <v>25</v>
      </c>
      <c r="I36" s="10" t="s">
        <v>30</v>
      </c>
      <c r="J36" s="10" t="s">
        <v>14</v>
      </c>
      <c r="K36" s="8">
        <f t="shared" si="8"/>
        <v>1</v>
      </c>
      <c r="L36" s="8">
        <f t="shared" si="9"/>
        <v>1</v>
      </c>
      <c r="M36" s="8">
        <f t="shared" si="10"/>
        <v>0</v>
      </c>
      <c r="N36" s="8">
        <f t="shared" si="11"/>
        <v>1</v>
      </c>
      <c r="O36" s="45">
        <f t="shared" si="12"/>
        <v>75</v>
      </c>
      <c r="P36" s="45">
        <f t="shared" si="13"/>
        <v>90.625</v>
      </c>
      <c r="Q36" s="10" t="s">
        <v>308</v>
      </c>
      <c r="R36" t="s">
        <v>312</v>
      </c>
      <c r="S36" t="s">
        <v>280</v>
      </c>
      <c r="T36" s="41">
        <v>46291</v>
      </c>
      <c r="U36" t="s">
        <v>269</v>
      </c>
    </row>
    <row r="37" spans="1:21" ht="15" customHeight="1" x14ac:dyDescent="0.25">
      <c r="A37" s="8">
        <f t="shared" si="7"/>
        <v>36</v>
      </c>
      <c r="B37" s="44">
        <v>46225</v>
      </c>
      <c r="C37" s="10" t="s">
        <v>260</v>
      </c>
      <c r="D37" s="10" t="s">
        <v>255</v>
      </c>
      <c r="E37" s="10" t="s">
        <v>258</v>
      </c>
      <c r="F37" s="10">
        <v>13</v>
      </c>
      <c r="G37" s="10" t="s">
        <v>30</v>
      </c>
      <c r="H37" s="10" t="s">
        <v>25</v>
      </c>
      <c r="I37" s="10" t="s">
        <v>25</v>
      </c>
      <c r="J37" s="10" t="s">
        <v>14</v>
      </c>
      <c r="K37" s="8">
        <f t="shared" si="8"/>
        <v>0</v>
      </c>
      <c r="L37" s="8">
        <f t="shared" si="9"/>
        <v>1</v>
      </c>
      <c r="M37" s="8">
        <f t="shared" si="10"/>
        <v>1</v>
      </c>
      <c r="N37" s="8">
        <f t="shared" si="11"/>
        <v>1</v>
      </c>
      <c r="O37" s="45">
        <f t="shared" si="12"/>
        <v>75</v>
      </c>
      <c r="P37" s="45">
        <f t="shared" si="13"/>
        <v>68.75</v>
      </c>
      <c r="Q37" s="10" t="s">
        <v>308</v>
      </c>
      <c r="R37" t="s">
        <v>313</v>
      </c>
      <c r="S37" t="s">
        <v>268</v>
      </c>
      <c r="T37" s="41">
        <v>46305</v>
      </c>
      <c r="U37" t="s">
        <v>278</v>
      </c>
    </row>
    <row r="38" spans="1:21" ht="15" customHeight="1" x14ac:dyDescent="0.25">
      <c r="A38" s="8">
        <f t="shared" si="7"/>
        <v>37</v>
      </c>
      <c r="B38" s="44">
        <v>46257</v>
      </c>
      <c r="C38" s="10" t="s">
        <v>22</v>
      </c>
      <c r="D38" s="10" t="s">
        <v>263</v>
      </c>
      <c r="E38" s="10" t="s">
        <v>304</v>
      </c>
      <c r="F38" s="10">
        <v>14</v>
      </c>
      <c r="G38" s="10" t="s">
        <v>25</v>
      </c>
      <c r="H38" s="10" t="s">
        <v>25</v>
      </c>
      <c r="I38" s="10" t="s">
        <v>25</v>
      </c>
      <c r="J38" s="10" t="s">
        <v>52</v>
      </c>
      <c r="K38" s="8">
        <f t="shared" si="8"/>
        <v>1</v>
      </c>
      <c r="L38" s="8">
        <f t="shared" si="9"/>
        <v>1</v>
      </c>
      <c r="M38" s="8">
        <f t="shared" si="10"/>
        <v>1</v>
      </c>
      <c r="N38" s="8">
        <f t="shared" si="11"/>
        <v>0</v>
      </c>
      <c r="O38" s="45">
        <f t="shared" si="12"/>
        <v>75</v>
      </c>
      <c r="P38" s="45">
        <f t="shared" si="13"/>
        <v>87.5</v>
      </c>
      <c r="Q38" s="10" t="s">
        <v>308</v>
      </c>
      <c r="R38" t="s">
        <v>314</v>
      </c>
      <c r="S38" t="s">
        <v>272</v>
      </c>
      <c r="T38" s="41">
        <v>46337</v>
      </c>
      <c r="U38" t="s">
        <v>281</v>
      </c>
    </row>
    <row r="39" spans="1:21" ht="15" customHeight="1" x14ac:dyDescent="0.25">
      <c r="A39" s="8">
        <f t="shared" si="7"/>
        <v>38</v>
      </c>
      <c r="B39" s="44">
        <v>46197</v>
      </c>
      <c r="C39" s="10" t="s">
        <v>248</v>
      </c>
      <c r="D39" s="10" t="s">
        <v>249</v>
      </c>
      <c r="E39" s="10" t="s">
        <v>249</v>
      </c>
      <c r="F39" s="10">
        <v>15</v>
      </c>
      <c r="G39" s="10" t="s">
        <v>25</v>
      </c>
      <c r="H39" s="10" t="s">
        <v>30</v>
      </c>
      <c r="I39" s="10" t="s">
        <v>30</v>
      </c>
      <c r="J39" s="10" t="s">
        <v>26</v>
      </c>
      <c r="K39" s="8">
        <f t="shared" si="8"/>
        <v>1</v>
      </c>
      <c r="L39" s="8">
        <f t="shared" si="9"/>
        <v>0</v>
      </c>
      <c r="M39" s="8">
        <f t="shared" si="10"/>
        <v>0</v>
      </c>
      <c r="N39" s="8">
        <f t="shared" si="11"/>
        <v>-1</v>
      </c>
      <c r="O39" s="45">
        <f t="shared" si="12"/>
        <v>0</v>
      </c>
      <c r="P39" s="45">
        <f t="shared" si="13"/>
        <v>22.222222222222221</v>
      </c>
      <c r="Q39" s="10" t="s">
        <v>308</v>
      </c>
      <c r="R39" t="s">
        <v>309</v>
      </c>
      <c r="S39" t="s">
        <v>274</v>
      </c>
      <c r="T39" s="41">
        <v>46277</v>
      </c>
      <c r="U39" t="s">
        <v>269</v>
      </c>
    </row>
    <row r="40" spans="1:21" ht="15" customHeight="1" x14ac:dyDescent="0.25">
      <c r="A40" s="8">
        <f t="shared" si="7"/>
        <v>39</v>
      </c>
      <c r="B40" s="44">
        <v>46228</v>
      </c>
      <c r="C40" s="10" t="s">
        <v>251</v>
      </c>
      <c r="D40" s="10" t="s">
        <v>261</v>
      </c>
      <c r="E40" s="10" t="s">
        <v>305</v>
      </c>
      <c r="F40" s="10">
        <v>16</v>
      </c>
      <c r="G40" s="10" t="s">
        <v>25</v>
      </c>
      <c r="H40" s="10" t="s">
        <v>25</v>
      </c>
      <c r="I40" s="10" t="s">
        <v>25</v>
      </c>
      <c r="J40" s="10" t="s">
        <v>14</v>
      </c>
      <c r="K40" s="8">
        <f t="shared" si="8"/>
        <v>1</v>
      </c>
      <c r="L40" s="8">
        <f t="shared" si="9"/>
        <v>1</v>
      </c>
      <c r="M40" s="8">
        <f t="shared" si="10"/>
        <v>1</v>
      </c>
      <c r="N40" s="8">
        <f t="shared" si="11"/>
        <v>1</v>
      </c>
      <c r="O40" s="45">
        <f t="shared" si="12"/>
        <v>100</v>
      </c>
      <c r="P40" s="45">
        <f t="shared" si="13"/>
        <v>94.444444444444443</v>
      </c>
      <c r="Q40" s="10" t="s">
        <v>310</v>
      </c>
      <c r="R40" t="s">
        <v>311</v>
      </c>
      <c r="S40" t="s">
        <v>276</v>
      </c>
      <c r="T40" s="41">
        <v>46308</v>
      </c>
      <c r="U40" t="s">
        <v>273</v>
      </c>
    </row>
    <row r="41" spans="1:21" ht="15" customHeight="1" x14ac:dyDescent="0.25">
      <c r="A41" s="8">
        <f t="shared" si="7"/>
        <v>40</v>
      </c>
      <c r="B41" s="44">
        <v>46241</v>
      </c>
      <c r="C41" s="10" t="s">
        <v>254</v>
      </c>
      <c r="D41" s="10" t="s">
        <v>265</v>
      </c>
      <c r="E41" s="10" t="s">
        <v>306</v>
      </c>
      <c r="F41" s="10">
        <v>17</v>
      </c>
      <c r="G41" s="10" t="s">
        <v>25</v>
      </c>
      <c r="H41" s="10" t="s">
        <v>30</v>
      </c>
      <c r="I41" s="10" t="s">
        <v>25</v>
      </c>
      <c r="J41" s="10" t="s">
        <v>14</v>
      </c>
      <c r="K41" s="8">
        <f t="shared" si="8"/>
        <v>1</v>
      </c>
      <c r="L41" s="8">
        <f t="shared" si="9"/>
        <v>0</v>
      </c>
      <c r="M41" s="8">
        <f t="shared" si="10"/>
        <v>1</v>
      </c>
      <c r="N41" s="8">
        <f t="shared" si="11"/>
        <v>1</v>
      </c>
      <c r="O41" s="45">
        <f t="shared" si="12"/>
        <v>75</v>
      </c>
      <c r="P41" s="45">
        <f t="shared" si="13"/>
        <v>75</v>
      </c>
      <c r="Q41" s="10" t="s">
        <v>308</v>
      </c>
      <c r="R41" t="s">
        <v>313</v>
      </c>
      <c r="S41" t="s">
        <v>277</v>
      </c>
      <c r="T41" s="41">
        <v>46340</v>
      </c>
      <c r="U41" t="s">
        <v>281</v>
      </c>
    </row>
    <row r="42" spans="1:21" ht="15" customHeight="1" x14ac:dyDescent="0.25">
      <c r="A42" s="8">
        <f t="shared" si="7"/>
        <v>41</v>
      </c>
      <c r="B42" s="44">
        <v>46181</v>
      </c>
      <c r="C42" s="10" t="s">
        <v>257</v>
      </c>
      <c r="D42" s="10" t="s">
        <v>255</v>
      </c>
      <c r="E42" s="10" t="s">
        <v>307</v>
      </c>
      <c r="F42" s="10">
        <v>18</v>
      </c>
      <c r="G42" s="10" t="s">
        <v>25</v>
      </c>
      <c r="H42" s="10" t="s">
        <v>25</v>
      </c>
      <c r="I42" s="10" t="s">
        <v>25</v>
      </c>
      <c r="J42" s="10" t="s">
        <v>14</v>
      </c>
      <c r="K42" s="8">
        <f t="shared" si="8"/>
        <v>1</v>
      </c>
      <c r="L42" s="8">
        <f t="shared" si="9"/>
        <v>1</v>
      </c>
      <c r="M42" s="8">
        <f t="shared" si="10"/>
        <v>1</v>
      </c>
      <c r="N42" s="8">
        <f t="shared" si="11"/>
        <v>1</v>
      </c>
      <c r="O42" s="45">
        <f t="shared" si="12"/>
        <v>100</v>
      </c>
      <c r="P42" s="45">
        <f t="shared" si="13"/>
        <v>90.625</v>
      </c>
      <c r="Q42" s="10" t="s">
        <v>310</v>
      </c>
      <c r="R42" t="s">
        <v>311</v>
      </c>
      <c r="S42" t="s">
        <v>280</v>
      </c>
      <c r="T42" s="41">
        <v>46280</v>
      </c>
      <c r="U42" t="s">
        <v>273</v>
      </c>
    </row>
    <row r="43" spans="1:21" ht="15" customHeight="1" x14ac:dyDescent="0.25">
      <c r="A43" s="8">
        <f t="shared" si="7"/>
        <v>42</v>
      </c>
      <c r="B43" s="44">
        <v>46212</v>
      </c>
      <c r="C43" s="10" t="s">
        <v>260</v>
      </c>
      <c r="D43" s="10" t="s">
        <v>263</v>
      </c>
      <c r="E43" s="10" t="s">
        <v>301</v>
      </c>
      <c r="F43" s="10">
        <v>19</v>
      </c>
      <c r="G43" s="10" t="s">
        <v>30</v>
      </c>
      <c r="H43" s="10" t="s">
        <v>25</v>
      </c>
      <c r="I43" s="10" t="s">
        <v>30</v>
      </c>
      <c r="J43" s="10" t="s">
        <v>52</v>
      </c>
      <c r="K43" s="8">
        <f t="shared" si="8"/>
        <v>0</v>
      </c>
      <c r="L43" s="8">
        <f t="shared" si="9"/>
        <v>1</v>
      </c>
      <c r="M43" s="8">
        <f t="shared" si="10"/>
        <v>0</v>
      </c>
      <c r="N43" s="8">
        <f t="shared" si="11"/>
        <v>0</v>
      </c>
      <c r="O43" s="45">
        <f t="shared" si="12"/>
        <v>25</v>
      </c>
      <c r="P43" s="45">
        <f t="shared" si="13"/>
        <v>68.75</v>
      </c>
      <c r="Q43" s="10" t="s">
        <v>308</v>
      </c>
      <c r="R43" t="s">
        <v>309</v>
      </c>
      <c r="S43" t="s">
        <v>268</v>
      </c>
      <c r="T43" s="41">
        <v>46311</v>
      </c>
      <c r="U43" t="s">
        <v>278</v>
      </c>
    </row>
    <row r="44" spans="1:21" ht="15" customHeight="1" x14ac:dyDescent="0.25">
      <c r="A44" s="8">
        <f t="shared" si="7"/>
        <v>43</v>
      </c>
      <c r="B44" s="44">
        <v>46244</v>
      </c>
      <c r="C44" s="10" t="s">
        <v>22</v>
      </c>
      <c r="D44" s="10" t="s">
        <v>249</v>
      </c>
      <c r="E44" s="10" t="s">
        <v>265</v>
      </c>
      <c r="F44" s="10">
        <v>20</v>
      </c>
      <c r="G44" s="10" t="s">
        <v>25</v>
      </c>
      <c r="H44" s="10" t="s">
        <v>25</v>
      </c>
      <c r="I44" s="10" t="s">
        <v>25</v>
      </c>
      <c r="J44" s="10" t="s">
        <v>14</v>
      </c>
      <c r="K44" s="8">
        <f t="shared" si="8"/>
        <v>1</v>
      </c>
      <c r="L44" s="8">
        <f t="shared" si="9"/>
        <v>1</v>
      </c>
      <c r="M44" s="8">
        <f t="shared" si="10"/>
        <v>1</v>
      </c>
      <c r="N44" s="8">
        <f t="shared" si="11"/>
        <v>1</v>
      </c>
      <c r="O44" s="45">
        <f t="shared" si="12"/>
        <v>100</v>
      </c>
      <c r="P44" s="45">
        <f t="shared" si="13"/>
        <v>87.5</v>
      </c>
      <c r="Q44" s="10" t="s">
        <v>310</v>
      </c>
      <c r="R44" t="s">
        <v>311</v>
      </c>
      <c r="S44" t="s">
        <v>272</v>
      </c>
      <c r="T44" s="41">
        <v>46343</v>
      </c>
      <c r="U44" t="s">
        <v>273</v>
      </c>
    </row>
    <row r="45" spans="1:21" ht="15" customHeight="1" x14ac:dyDescent="0.25">
      <c r="A45" s="8">
        <f t="shared" si="7"/>
        <v>44</v>
      </c>
      <c r="B45" s="44">
        <v>46184</v>
      </c>
      <c r="C45" s="10" t="s">
        <v>248</v>
      </c>
      <c r="D45" s="10" t="s">
        <v>261</v>
      </c>
      <c r="E45" s="10" t="s">
        <v>302</v>
      </c>
      <c r="F45" s="10">
        <v>21</v>
      </c>
      <c r="G45" s="10" t="s">
        <v>25</v>
      </c>
      <c r="H45" s="10" t="s">
        <v>30</v>
      </c>
      <c r="I45" s="10" t="s">
        <v>25</v>
      </c>
      <c r="J45" s="10" t="s">
        <v>14</v>
      </c>
      <c r="K45" s="8">
        <f t="shared" si="8"/>
        <v>1</v>
      </c>
      <c r="L45" s="8">
        <f t="shared" si="9"/>
        <v>0</v>
      </c>
      <c r="M45" s="8">
        <f t="shared" si="10"/>
        <v>1</v>
      </c>
      <c r="N45" s="8">
        <f t="shared" si="11"/>
        <v>1</v>
      </c>
      <c r="O45" s="45">
        <f t="shared" si="12"/>
        <v>75</v>
      </c>
      <c r="P45" s="45">
        <f t="shared" si="13"/>
        <v>22.222222222222221</v>
      </c>
      <c r="Q45" s="10" t="s">
        <v>308</v>
      </c>
      <c r="R45" t="s">
        <v>313</v>
      </c>
      <c r="S45" t="s">
        <v>274</v>
      </c>
      <c r="T45" s="41">
        <v>46283</v>
      </c>
      <c r="U45" t="s">
        <v>269</v>
      </c>
    </row>
    <row r="46" spans="1:21" ht="15" customHeight="1" x14ac:dyDescent="0.25">
      <c r="A46" s="8">
        <f t="shared" si="7"/>
        <v>45</v>
      </c>
      <c r="B46" s="44">
        <v>46215</v>
      </c>
      <c r="C46" s="10" t="s">
        <v>251</v>
      </c>
      <c r="D46" s="10" t="s">
        <v>265</v>
      </c>
      <c r="E46" s="10" t="s">
        <v>303</v>
      </c>
      <c r="F46" s="10">
        <v>22</v>
      </c>
      <c r="G46" s="10" t="s">
        <v>25</v>
      </c>
      <c r="H46" s="10" t="s">
        <v>25</v>
      </c>
      <c r="I46" s="10" t="s">
        <v>25</v>
      </c>
      <c r="J46" s="10" t="s">
        <v>14</v>
      </c>
      <c r="K46" s="8">
        <f t="shared" si="8"/>
        <v>1</v>
      </c>
      <c r="L46" s="8">
        <f t="shared" si="9"/>
        <v>1</v>
      </c>
      <c r="M46" s="8">
        <f t="shared" si="10"/>
        <v>1</v>
      </c>
      <c r="N46" s="8">
        <f t="shared" si="11"/>
        <v>1</v>
      </c>
      <c r="O46" s="45">
        <f t="shared" si="12"/>
        <v>100</v>
      </c>
      <c r="P46" s="45">
        <f t="shared" si="13"/>
        <v>94.444444444444443</v>
      </c>
      <c r="Q46" s="10" t="s">
        <v>310</v>
      </c>
      <c r="R46" t="s">
        <v>311</v>
      </c>
      <c r="S46" t="s">
        <v>276</v>
      </c>
      <c r="T46" s="41">
        <v>46314</v>
      </c>
      <c r="U46" t="s">
        <v>273</v>
      </c>
    </row>
    <row r="47" spans="1:21" ht="15" customHeight="1" x14ac:dyDescent="0.25">
      <c r="A47" s="8">
        <f t="shared" si="7"/>
        <v>46</v>
      </c>
      <c r="B47" s="44">
        <v>46247</v>
      </c>
      <c r="C47" s="10" t="s">
        <v>254</v>
      </c>
      <c r="D47" s="10" t="s">
        <v>255</v>
      </c>
      <c r="E47" s="10" t="s">
        <v>258</v>
      </c>
      <c r="F47" s="10">
        <v>23</v>
      </c>
      <c r="G47" s="10" t="s">
        <v>25</v>
      </c>
      <c r="H47" s="10" t="s">
        <v>25</v>
      </c>
      <c r="I47" s="10" t="s">
        <v>30</v>
      </c>
      <c r="J47" s="10" t="s">
        <v>14</v>
      </c>
      <c r="K47" s="8">
        <f t="shared" si="8"/>
        <v>1</v>
      </c>
      <c r="L47" s="8">
        <f t="shared" si="9"/>
        <v>1</v>
      </c>
      <c r="M47" s="8">
        <f t="shared" si="10"/>
        <v>0</v>
      </c>
      <c r="N47" s="8">
        <f t="shared" si="11"/>
        <v>1</v>
      </c>
      <c r="O47" s="45">
        <f t="shared" si="12"/>
        <v>75</v>
      </c>
      <c r="P47" s="45">
        <f t="shared" si="13"/>
        <v>75</v>
      </c>
      <c r="Q47" s="10" t="s">
        <v>308</v>
      </c>
      <c r="R47" t="s">
        <v>309</v>
      </c>
      <c r="S47" t="s">
        <v>277</v>
      </c>
      <c r="T47" s="41">
        <v>46346</v>
      </c>
      <c r="U47" t="s">
        <v>281</v>
      </c>
    </row>
    <row r="48" spans="1:21" ht="15" customHeight="1" x14ac:dyDescent="0.25">
      <c r="A48" s="8">
        <f t="shared" si="7"/>
        <v>47</v>
      </c>
      <c r="B48" s="44">
        <v>46187</v>
      </c>
      <c r="C48" s="10" t="s">
        <v>257</v>
      </c>
      <c r="D48" s="10" t="s">
        <v>263</v>
      </c>
      <c r="E48" s="10" t="s">
        <v>304</v>
      </c>
      <c r="F48" s="10">
        <v>24</v>
      </c>
      <c r="G48" s="10" t="s">
        <v>25</v>
      </c>
      <c r="H48" s="10" t="s">
        <v>25</v>
      </c>
      <c r="I48" s="10" t="s">
        <v>25</v>
      </c>
      <c r="J48" s="10" t="s">
        <v>52</v>
      </c>
      <c r="K48" s="8">
        <f t="shared" si="8"/>
        <v>1</v>
      </c>
      <c r="L48" s="8">
        <f t="shared" si="9"/>
        <v>1</v>
      </c>
      <c r="M48" s="8">
        <f t="shared" si="10"/>
        <v>1</v>
      </c>
      <c r="N48" s="8">
        <f t="shared" si="11"/>
        <v>0</v>
      </c>
      <c r="O48" s="45">
        <f t="shared" si="12"/>
        <v>75</v>
      </c>
      <c r="P48" s="45">
        <f t="shared" si="13"/>
        <v>90.625</v>
      </c>
      <c r="Q48" s="10" t="s">
        <v>308</v>
      </c>
      <c r="R48" t="s">
        <v>312</v>
      </c>
      <c r="S48" t="s">
        <v>280</v>
      </c>
      <c r="T48" s="41">
        <v>46286</v>
      </c>
      <c r="U48" t="s">
        <v>269</v>
      </c>
    </row>
    <row r="49" spans="1:21" ht="15" customHeight="1" x14ac:dyDescent="0.25">
      <c r="A49" s="8">
        <f t="shared" si="7"/>
        <v>48</v>
      </c>
      <c r="B49" s="44">
        <v>46218</v>
      </c>
      <c r="C49" s="10" t="s">
        <v>260</v>
      </c>
      <c r="D49" s="10" t="s">
        <v>249</v>
      </c>
      <c r="E49" s="10" t="s">
        <v>249</v>
      </c>
      <c r="F49" s="10">
        <v>25</v>
      </c>
      <c r="G49" s="10" t="s">
        <v>25</v>
      </c>
      <c r="H49" s="10" t="s">
        <v>25</v>
      </c>
      <c r="I49" s="10" t="s">
        <v>25</v>
      </c>
      <c r="J49" s="10" t="s">
        <v>14</v>
      </c>
      <c r="K49" s="8">
        <f t="shared" si="8"/>
        <v>1</v>
      </c>
      <c r="L49" s="8">
        <f t="shared" si="9"/>
        <v>1</v>
      </c>
      <c r="M49" s="8">
        <f t="shared" si="10"/>
        <v>1</v>
      </c>
      <c r="N49" s="8">
        <f t="shared" si="11"/>
        <v>1</v>
      </c>
      <c r="O49" s="45">
        <f t="shared" si="12"/>
        <v>100</v>
      </c>
      <c r="P49" s="45">
        <f t="shared" si="13"/>
        <v>68.75</v>
      </c>
      <c r="Q49" s="10" t="s">
        <v>310</v>
      </c>
      <c r="R49" t="s">
        <v>311</v>
      </c>
      <c r="S49" t="s">
        <v>268</v>
      </c>
      <c r="T49" s="41">
        <v>46317</v>
      </c>
      <c r="U49" t="s">
        <v>273</v>
      </c>
    </row>
    <row r="50" spans="1:21" ht="15" customHeight="1" x14ac:dyDescent="0.25">
      <c r="A50" s="8">
        <f t="shared" si="7"/>
        <v>49</v>
      </c>
      <c r="B50" s="44">
        <v>46250</v>
      </c>
      <c r="C50" s="10" t="s">
        <v>22</v>
      </c>
      <c r="D50" s="10" t="s">
        <v>261</v>
      </c>
      <c r="E50" s="10" t="s">
        <v>305</v>
      </c>
      <c r="F50" s="10">
        <v>26</v>
      </c>
      <c r="G50" s="10" t="s">
        <v>25</v>
      </c>
      <c r="H50" s="10" t="s">
        <v>25</v>
      </c>
      <c r="I50" s="10" t="s">
        <v>25</v>
      </c>
      <c r="J50" s="10" t="s">
        <v>14</v>
      </c>
      <c r="K50" s="8">
        <f t="shared" si="8"/>
        <v>1</v>
      </c>
      <c r="L50" s="8">
        <f t="shared" si="9"/>
        <v>1</v>
      </c>
      <c r="M50" s="8">
        <f t="shared" si="10"/>
        <v>1</v>
      </c>
      <c r="N50" s="8">
        <f t="shared" si="11"/>
        <v>1</v>
      </c>
      <c r="O50" s="45">
        <f t="shared" si="12"/>
        <v>100</v>
      </c>
      <c r="P50" s="45">
        <f t="shared" si="13"/>
        <v>87.5</v>
      </c>
      <c r="Q50" s="10" t="s">
        <v>310</v>
      </c>
      <c r="R50" t="s">
        <v>311</v>
      </c>
      <c r="S50" t="s">
        <v>272</v>
      </c>
      <c r="T50" s="41">
        <v>46349</v>
      </c>
      <c r="U50" t="s">
        <v>273</v>
      </c>
    </row>
    <row r="51" spans="1:21" ht="15" customHeight="1" x14ac:dyDescent="0.25">
      <c r="A51" s="8">
        <f t="shared" si="7"/>
        <v>50</v>
      </c>
      <c r="B51" s="44">
        <v>46190</v>
      </c>
      <c r="C51" s="10" t="s">
        <v>248</v>
      </c>
      <c r="D51" s="10" t="s">
        <v>265</v>
      </c>
      <c r="E51" s="10" t="s">
        <v>306</v>
      </c>
      <c r="F51" s="10">
        <v>27</v>
      </c>
      <c r="G51" s="10" t="s">
        <v>30</v>
      </c>
      <c r="H51" s="10" t="s">
        <v>30</v>
      </c>
      <c r="I51" s="10" t="s">
        <v>30</v>
      </c>
      <c r="J51" s="10" t="s">
        <v>26</v>
      </c>
      <c r="K51" s="8">
        <f t="shared" si="8"/>
        <v>0</v>
      </c>
      <c r="L51" s="8">
        <f t="shared" si="9"/>
        <v>0</v>
      </c>
      <c r="M51" s="8">
        <f t="shared" si="10"/>
        <v>0</v>
      </c>
      <c r="N51" s="8">
        <f t="shared" si="11"/>
        <v>-1</v>
      </c>
      <c r="O51" s="45">
        <f t="shared" si="12"/>
        <v>-25</v>
      </c>
      <c r="P51" s="45">
        <f t="shared" si="13"/>
        <v>22.222222222222221</v>
      </c>
      <c r="Q51" s="10" t="s">
        <v>308</v>
      </c>
      <c r="R51" t="s">
        <v>309</v>
      </c>
      <c r="S51" t="s">
        <v>274</v>
      </c>
      <c r="T51" s="41">
        <v>46289</v>
      </c>
      <c r="U51" t="s">
        <v>269</v>
      </c>
    </row>
    <row r="52" spans="1:21" ht="15" customHeight="1" x14ac:dyDescent="0.25">
      <c r="A52" s="8">
        <f t="shared" si="7"/>
        <v>51</v>
      </c>
      <c r="B52" s="44">
        <v>46221</v>
      </c>
      <c r="C52" s="10" t="s">
        <v>251</v>
      </c>
      <c r="D52" s="10" t="s">
        <v>255</v>
      </c>
      <c r="E52" s="10" t="s">
        <v>307</v>
      </c>
      <c r="F52" s="10">
        <v>28</v>
      </c>
      <c r="G52" s="10" t="s">
        <v>25</v>
      </c>
      <c r="H52" s="10" t="s">
        <v>25</v>
      </c>
      <c r="I52" s="10" t="s">
        <v>25</v>
      </c>
      <c r="J52" s="10" t="s">
        <v>14</v>
      </c>
      <c r="K52" s="8">
        <f t="shared" si="8"/>
        <v>1</v>
      </c>
      <c r="L52" s="8">
        <f t="shared" si="9"/>
        <v>1</v>
      </c>
      <c r="M52" s="8">
        <f t="shared" si="10"/>
        <v>1</v>
      </c>
      <c r="N52" s="8">
        <f t="shared" si="11"/>
        <v>1</v>
      </c>
      <c r="O52" s="45">
        <f t="shared" si="12"/>
        <v>100</v>
      </c>
      <c r="P52" s="45">
        <f t="shared" si="13"/>
        <v>94.444444444444443</v>
      </c>
      <c r="Q52" s="10" t="s">
        <v>310</v>
      </c>
      <c r="R52" t="s">
        <v>311</v>
      </c>
      <c r="S52" t="s">
        <v>276</v>
      </c>
      <c r="T52" s="41">
        <v>46320</v>
      </c>
      <c r="U52" t="s">
        <v>273</v>
      </c>
    </row>
    <row r="53" spans="1:21" ht="15" customHeight="1" x14ac:dyDescent="0.25">
      <c r="A53" s="8" t="str">
        <f t="shared" si="7"/>
        <v/>
      </c>
      <c r="B53" s="11"/>
      <c r="C53" s="8"/>
      <c r="D53" s="8"/>
      <c r="E53" s="8"/>
      <c r="F53" s="8"/>
      <c r="G53" s="8"/>
      <c r="H53" s="8"/>
      <c r="I53" s="8"/>
      <c r="J53" s="8"/>
      <c r="K53" s="8" t="str">
        <f t="shared" si="8"/>
        <v/>
      </c>
      <c r="L53" s="8" t="str">
        <f t="shared" si="9"/>
        <v/>
      </c>
      <c r="M53" s="8" t="str">
        <f t="shared" si="10"/>
        <v/>
      </c>
      <c r="N53" s="8" t="str">
        <f t="shared" si="11"/>
        <v/>
      </c>
      <c r="O53" s="8" t="str">
        <f t="shared" si="12"/>
        <v/>
      </c>
      <c r="P53" s="8" t="str">
        <f t="shared" si="13"/>
        <v>N/A</v>
      </c>
      <c r="Q53" s="8"/>
    </row>
    <row r="54" spans="1:21" ht="15" customHeight="1" x14ac:dyDescent="0.25">
      <c r="A54" s="8" t="str">
        <f t="shared" si="7"/>
        <v/>
      </c>
      <c r="B54" s="11"/>
      <c r="C54" s="8"/>
      <c r="D54" s="8"/>
      <c r="E54" s="8"/>
      <c r="F54" s="8"/>
      <c r="G54" s="8"/>
      <c r="H54" s="8"/>
      <c r="I54" s="8"/>
      <c r="J54" s="8"/>
      <c r="K54" s="8" t="str">
        <f t="shared" si="8"/>
        <v/>
      </c>
      <c r="L54" s="8" t="str">
        <f t="shared" si="9"/>
        <v/>
      </c>
      <c r="M54" s="8" t="str">
        <f t="shared" si="10"/>
        <v/>
      </c>
      <c r="N54" s="8" t="str">
        <f t="shared" si="11"/>
        <v/>
      </c>
      <c r="O54" s="8" t="str">
        <f t="shared" si="12"/>
        <v/>
      </c>
      <c r="P54" s="8" t="str">
        <f t="shared" si="13"/>
        <v>N/A</v>
      </c>
      <c r="Q54" s="8"/>
    </row>
    <row r="55" spans="1:21" ht="15" customHeight="1" x14ac:dyDescent="0.25">
      <c r="A55" s="8" t="str">
        <f t="shared" si="7"/>
        <v/>
      </c>
      <c r="B55" s="11"/>
      <c r="C55" s="8"/>
      <c r="D55" s="8"/>
      <c r="E55" s="8"/>
      <c r="F55" s="8"/>
      <c r="G55" s="8"/>
      <c r="H55" s="8"/>
      <c r="I55" s="8"/>
      <c r="J55" s="8"/>
      <c r="K55" s="8" t="str">
        <f t="shared" si="8"/>
        <v/>
      </c>
      <c r="L55" s="8" t="str">
        <f t="shared" si="9"/>
        <v/>
      </c>
      <c r="M55" s="8" t="str">
        <f t="shared" si="10"/>
        <v/>
      </c>
      <c r="N55" s="8" t="str">
        <f t="shared" si="11"/>
        <v/>
      </c>
      <c r="O55" s="8" t="str">
        <f t="shared" si="12"/>
        <v/>
      </c>
      <c r="P55" s="8" t="str">
        <f t="shared" si="13"/>
        <v>N/A</v>
      </c>
      <c r="Q55" s="8"/>
    </row>
    <row r="56" spans="1:21" ht="15" customHeight="1" x14ac:dyDescent="0.25">
      <c r="A56" s="8" t="str">
        <f t="shared" si="7"/>
        <v/>
      </c>
      <c r="B56" s="11"/>
      <c r="C56" s="8"/>
      <c r="D56" s="8"/>
      <c r="E56" s="8"/>
      <c r="F56" s="8"/>
      <c r="G56" s="8"/>
      <c r="H56" s="8"/>
      <c r="I56" s="8"/>
      <c r="J56" s="8"/>
      <c r="K56" s="8" t="str">
        <f t="shared" si="8"/>
        <v/>
      </c>
      <c r="L56" s="8" t="str">
        <f t="shared" si="9"/>
        <v/>
      </c>
      <c r="M56" s="8" t="str">
        <f t="shared" si="10"/>
        <v/>
      </c>
      <c r="N56" s="8" t="str">
        <f t="shared" si="11"/>
        <v/>
      </c>
      <c r="O56" s="8" t="str">
        <f t="shared" si="12"/>
        <v/>
      </c>
      <c r="P56" s="8" t="str">
        <f t="shared" si="13"/>
        <v>N/A</v>
      </c>
      <c r="Q56" s="8"/>
    </row>
    <row r="57" spans="1:21" ht="15" customHeight="1" x14ac:dyDescent="0.25">
      <c r="A57" s="8" t="str">
        <f t="shared" si="7"/>
        <v/>
      </c>
      <c r="B57" s="11"/>
      <c r="C57" s="8"/>
      <c r="D57" s="8"/>
      <c r="E57" s="8"/>
      <c r="F57" s="8"/>
      <c r="G57" s="8"/>
      <c r="H57" s="8"/>
      <c r="I57" s="8"/>
      <c r="J57" s="8"/>
      <c r="K57" s="8" t="str">
        <f t="shared" si="8"/>
        <v/>
      </c>
      <c r="L57" s="8" t="str">
        <f t="shared" si="9"/>
        <v/>
      </c>
      <c r="M57" s="8" t="str">
        <f t="shared" si="10"/>
        <v/>
      </c>
      <c r="N57" s="8" t="str">
        <f t="shared" si="11"/>
        <v/>
      </c>
      <c r="O57" s="8" t="str">
        <f t="shared" si="12"/>
        <v/>
      </c>
      <c r="P57" s="8" t="str">
        <f t="shared" si="13"/>
        <v>N/A</v>
      </c>
      <c r="Q57" s="8"/>
    </row>
    <row r="58" spans="1:21" ht="15" customHeight="1" x14ac:dyDescent="0.25">
      <c r="A58" s="8" t="str">
        <f t="shared" si="7"/>
        <v/>
      </c>
      <c r="B58" s="11"/>
      <c r="C58" s="8"/>
      <c r="D58" s="8"/>
      <c r="E58" s="8"/>
      <c r="F58" s="8"/>
      <c r="G58" s="8"/>
      <c r="H58" s="8"/>
      <c r="I58" s="8"/>
      <c r="J58" s="8"/>
      <c r="K58" s="8" t="str">
        <f t="shared" si="8"/>
        <v/>
      </c>
      <c r="L58" s="8" t="str">
        <f t="shared" si="9"/>
        <v/>
      </c>
      <c r="M58" s="8" t="str">
        <f t="shared" si="10"/>
        <v/>
      </c>
      <c r="N58" s="8" t="str">
        <f t="shared" si="11"/>
        <v/>
      </c>
      <c r="O58" s="8" t="str">
        <f t="shared" si="12"/>
        <v/>
      </c>
      <c r="P58" s="8" t="str">
        <f t="shared" si="13"/>
        <v>N/A</v>
      </c>
      <c r="Q58" s="8"/>
    </row>
    <row r="59" spans="1:21" ht="15" customHeight="1" x14ac:dyDescent="0.25">
      <c r="A59" s="8" t="str">
        <f t="shared" si="7"/>
        <v/>
      </c>
      <c r="B59" s="11"/>
      <c r="C59" s="8"/>
      <c r="D59" s="8"/>
      <c r="E59" s="8"/>
      <c r="F59" s="8"/>
      <c r="G59" s="8"/>
      <c r="H59" s="8"/>
      <c r="I59" s="8"/>
      <c r="J59" s="8"/>
      <c r="K59" s="8" t="str">
        <f t="shared" si="8"/>
        <v/>
      </c>
      <c r="L59" s="8" t="str">
        <f t="shared" si="9"/>
        <v/>
      </c>
      <c r="M59" s="8" t="str">
        <f t="shared" si="10"/>
        <v/>
      </c>
      <c r="N59" s="8" t="str">
        <f t="shared" si="11"/>
        <v/>
      </c>
      <c r="O59" s="8" t="str">
        <f t="shared" si="12"/>
        <v/>
      </c>
      <c r="P59" s="8" t="str">
        <f t="shared" si="13"/>
        <v>N/A</v>
      </c>
      <c r="Q59" s="8"/>
    </row>
    <row r="60" spans="1:21" ht="15" customHeight="1" x14ac:dyDescent="0.25">
      <c r="A60" s="8" t="str">
        <f t="shared" si="7"/>
        <v/>
      </c>
      <c r="B60" s="11"/>
      <c r="C60" s="8"/>
      <c r="D60" s="8"/>
      <c r="E60" s="8"/>
      <c r="F60" s="8"/>
      <c r="G60" s="8"/>
      <c r="H60" s="8"/>
      <c r="I60" s="8"/>
      <c r="J60" s="8"/>
      <c r="K60" s="8" t="str">
        <f t="shared" si="8"/>
        <v/>
      </c>
      <c r="L60" s="8" t="str">
        <f t="shared" si="9"/>
        <v/>
      </c>
      <c r="M60" s="8" t="str">
        <f t="shared" si="10"/>
        <v/>
      </c>
      <c r="N60" s="8" t="str">
        <f t="shared" si="11"/>
        <v/>
      </c>
      <c r="O60" s="8" t="str">
        <f t="shared" si="12"/>
        <v/>
      </c>
      <c r="P60" s="8" t="str">
        <f t="shared" si="13"/>
        <v>N/A</v>
      </c>
      <c r="Q60" s="8"/>
    </row>
    <row r="61" spans="1:21" ht="15" customHeight="1" x14ac:dyDescent="0.25">
      <c r="A61" s="8" t="str">
        <f t="shared" si="7"/>
        <v/>
      </c>
      <c r="B61" s="11"/>
      <c r="C61" s="8"/>
      <c r="D61" s="8"/>
      <c r="E61" s="8"/>
      <c r="F61" s="8"/>
      <c r="G61" s="8"/>
      <c r="H61" s="8"/>
      <c r="I61" s="8"/>
      <c r="J61" s="8"/>
      <c r="K61" s="8" t="str">
        <f t="shared" si="8"/>
        <v/>
      </c>
      <c r="L61" s="8" t="str">
        <f t="shared" si="9"/>
        <v/>
      </c>
      <c r="M61" s="8" t="str">
        <f t="shared" si="10"/>
        <v/>
      </c>
      <c r="N61" s="8" t="str">
        <f t="shared" si="11"/>
        <v/>
      </c>
      <c r="O61" s="8" t="str">
        <f t="shared" si="12"/>
        <v/>
      </c>
      <c r="P61" s="8" t="str">
        <f t="shared" si="13"/>
        <v>N/A</v>
      </c>
      <c r="Q61" s="8"/>
    </row>
    <row r="62" spans="1:21" ht="15" customHeight="1" x14ac:dyDescent="0.25">
      <c r="A62" s="8" t="str">
        <f t="shared" si="7"/>
        <v/>
      </c>
      <c r="B62" s="11"/>
      <c r="C62" s="8"/>
      <c r="D62" s="8"/>
      <c r="E62" s="8"/>
      <c r="F62" s="8"/>
      <c r="G62" s="8"/>
      <c r="H62" s="8"/>
      <c r="I62" s="8"/>
      <c r="J62" s="8"/>
      <c r="K62" s="8" t="str">
        <f t="shared" si="8"/>
        <v/>
      </c>
      <c r="L62" s="8" t="str">
        <f t="shared" si="9"/>
        <v/>
      </c>
      <c r="M62" s="8" t="str">
        <f t="shared" si="10"/>
        <v/>
      </c>
      <c r="N62" s="8" t="str">
        <f t="shared" si="11"/>
        <v/>
      </c>
      <c r="O62" s="8" t="str">
        <f t="shared" si="12"/>
        <v/>
      </c>
      <c r="P62" s="8" t="str">
        <f t="shared" si="13"/>
        <v>N/A</v>
      </c>
      <c r="Q62" s="8"/>
    </row>
    <row r="63" spans="1:21" ht="15" customHeight="1" x14ac:dyDescent="0.25">
      <c r="A63" s="8" t="str">
        <f t="shared" si="7"/>
        <v/>
      </c>
      <c r="B63" s="11"/>
      <c r="C63" s="8"/>
      <c r="D63" s="8"/>
      <c r="E63" s="8"/>
      <c r="F63" s="8"/>
      <c r="G63" s="8"/>
      <c r="H63" s="8"/>
      <c r="I63" s="8"/>
      <c r="J63" s="8"/>
      <c r="K63" s="8" t="str">
        <f t="shared" si="8"/>
        <v/>
      </c>
      <c r="L63" s="8" t="str">
        <f t="shared" si="9"/>
        <v/>
      </c>
      <c r="M63" s="8" t="str">
        <f t="shared" si="10"/>
        <v/>
      </c>
      <c r="N63" s="8" t="str">
        <f t="shared" si="11"/>
        <v/>
      </c>
      <c r="O63" s="8" t="str">
        <f t="shared" si="12"/>
        <v/>
      </c>
      <c r="P63" s="8" t="str">
        <f t="shared" si="13"/>
        <v>N/A</v>
      </c>
      <c r="Q63" s="8"/>
    </row>
    <row r="64" spans="1:21" ht="15" customHeight="1" x14ac:dyDescent="0.25">
      <c r="A64" s="8" t="str">
        <f t="shared" si="7"/>
        <v/>
      </c>
      <c r="B64" s="11"/>
      <c r="C64" s="8"/>
      <c r="D64" s="8"/>
      <c r="E64" s="8"/>
      <c r="F64" s="8"/>
      <c r="G64" s="8"/>
      <c r="H64" s="8"/>
      <c r="I64" s="8"/>
      <c r="J64" s="8"/>
      <c r="K64" s="8" t="str">
        <f t="shared" si="8"/>
        <v/>
      </c>
      <c r="L64" s="8" t="str">
        <f t="shared" si="9"/>
        <v/>
      </c>
      <c r="M64" s="8" t="str">
        <f t="shared" si="10"/>
        <v/>
      </c>
      <c r="N64" s="8" t="str">
        <f t="shared" si="11"/>
        <v/>
      </c>
      <c r="O64" s="8" t="str">
        <f t="shared" si="12"/>
        <v/>
      </c>
      <c r="P64" s="8" t="str">
        <f t="shared" si="13"/>
        <v>N/A</v>
      </c>
      <c r="Q64" s="8"/>
    </row>
    <row r="65" spans="1:17" ht="15" customHeight="1" x14ac:dyDescent="0.25">
      <c r="A65" s="8" t="str">
        <f t="shared" si="7"/>
        <v/>
      </c>
      <c r="B65" s="11"/>
      <c r="C65" s="8"/>
      <c r="D65" s="8"/>
      <c r="E65" s="8"/>
      <c r="F65" s="8"/>
      <c r="G65" s="8"/>
      <c r="H65" s="8"/>
      <c r="I65" s="8"/>
      <c r="J65" s="8"/>
      <c r="K65" s="8" t="str">
        <f t="shared" si="8"/>
        <v/>
      </c>
      <c r="L65" s="8" t="str">
        <f t="shared" si="9"/>
        <v/>
      </c>
      <c r="M65" s="8" t="str">
        <f t="shared" si="10"/>
        <v/>
      </c>
      <c r="N65" s="8" t="str">
        <f t="shared" si="11"/>
        <v/>
      </c>
      <c r="O65" s="8" t="str">
        <f t="shared" si="12"/>
        <v/>
      </c>
      <c r="P65" s="8" t="str">
        <f t="shared" si="13"/>
        <v>N/A</v>
      </c>
      <c r="Q65" s="8"/>
    </row>
    <row r="66" spans="1:17" ht="15" customHeight="1" x14ac:dyDescent="0.25">
      <c r="A66" s="8" t="str">
        <f t="shared" ref="A66:A97" si="14">IF(B66="","",ROW()-1)</f>
        <v/>
      </c>
      <c r="B66" s="11"/>
      <c r="C66" s="8"/>
      <c r="D66" s="8"/>
      <c r="E66" s="8"/>
      <c r="F66" s="8"/>
      <c r="G66" s="8"/>
      <c r="H66" s="8"/>
      <c r="I66" s="8"/>
      <c r="J66" s="8"/>
      <c r="K66" s="8" t="str">
        <f t="shared" ref="K66:K97" si="15">IF(G66="","",IF(G66="SIM",1,0))</f>
        <v/>
      </c>
      <c r="L66" s="8" t="str">
        <f t="shared" ref="L66:L97" si="16">IF(H66="","",IF(H66="SIM",1,0))</f>
        <v/>
      </c>
      <c r="M66" s="8" t="str">
        <f t="shared" ref="M66:M97" si="17">IF(I66="","",IF(I66="SIM",1,0))</f>
        <v/>
      </c>
      <c r="N66" s="8" t="str">
        <f t="shared" ref="N66:N97" si="18">IF(J66="","",IF(J66="Conformidade",1,IF(J66="Não Conformidade",0,IF(J66="Não Conformidade Grave",-1,""))))</f>
        <v/>
      </c>
      <c r="O66" s="8" t="str">
        <f t="shared" ref="O66:O97" si="19">IF(COUNTA(G66:J66)=0,"",ROUND(AVERAGE(K66:N66)*100,0))</f>
        <v/>
      </c>
      <c r="P66" s="8" t="str">
        <f t="shared" ref="P66:P97" si="20">IFERROR(AVERAGEIF(C$2:C$201,C66,O$2:O$201),"N/A")</f>
        <v>N/A</v>
      </c>
      <c r="Q66" s="8"/>
    </row>
    <row r="67" spans="1:17" ht="15" customHeight="1" x14ac:dyDescent="0.25">
      <c r="A67" s="8" t="str">
        <f t="shared" si="14"/>
        <v/>
      </c>
      <c r="B67" s="11"/>
      <c r="C67" s="8"/>
      <c r="D67" s="8"/>
      <c r="E67" s="8"/>
      <c r="F67" s="8"/>
      <c r="G67" s="8"/>
      <c r="H67" s="8"/>
      <c r="I67" s="8"/>
      <c r="J67" s="8"/>
      <c r="K67" s="8" t="str">
        <f t="shared" si="15"/>
        <v/>
      </c>
      <c r="L67" s="8" t="str">
        <f t="shared" si="16"/>
        <v/>
      </c>
      <c r="M67" s="8" t="str">
        <f t="shared" si="17"/>
        <v/>
      </c>
      <c r="N67" s="8" t="str">
        <f t="shared" si="18"/>
        <v/>
      </c>
      <c r="O67" s="8" t="str">
        <f t="shared" si="19"/>
        <v/>
      </c>
      <c r="P67" s="8" t="str">
        <f t="shared" si="20"/>
        <v>N/A</v>
      </c>
      <c r="Q67" s="8"/>
    </row>
    <row r="68" spans="1:17" ht="15" customHeight="1" x14ac:dyDescent="0.25">
      <c r="A68" s="8" t="str">
        <f t="shared" si="14"/>
        <v/>
      </c>
      <c r="B68" s="11"/>
      <c r="C68" s="8"/>
      <c r="D68" s="8"/>
      <c r="E68" s="8"/>
      <c r="F68" s="8"/>
      <c r="G68" s="8"/>
      <c r="H68" s="8"/>
      <c r="I68" s="8"/>
      <c r="J68" s="8"/>
      <c r="K68" s="8" t="str">
        <f t="shared" si="15"/>
        <v/>
      </c>
      <c r="L68" s="8" t="str">
        <f t="shared" si="16"/>
        <v/>
      </c>
      <c r="M68" s="8" t="str">
        <f t="shared" si="17"/>
        <v/>
      </c>
      <c r="N68" s="8" t="str">
        <f t="shared" si="18"/>
        <v/>
      </c>
      <c r="O68" s="8" t="str">
        <f t="shared" si="19"/>
        <v/>
      </c>
      <c r="P68" s="8" t="str">
        <f t="shared" si="20"/>
        <v>N/A</v>
      </c>
      <c r="Q68" s="8"/>
    </row>
    <row r="69" spans="1:17" ht="15" customHeight="1" x14ac:dyDescent="0.25">
      <c r="A69" s="8" t="str">
        <f t="shared" si="14"/>
        <v/>
      </c>
      <c r="B69" s="11"/>
      <c r="C69" s="8"/>
      <c r="D69" s="8"/>
      <c r="E69" s="8"/>
      <c r="F69" s="8"/>
      <c r="G69" s="8"/>
      <c r="H69" s="8"/>
      <c r="I69" s="8"/>
      <c r="J69" s="8"/>
      <c r="K69" s="8" t="str">
        <f t="shared" si="15"/>
        <v/>
      </c>
      <c r="L69" s="8" t="str">
        <f t="shared" si="16"/>
        <v/>
      </c>
      <c r="M69" s="8" t="str">
        <f t="shared" si="17"/>
        <v/>
      </c>
      <c r="N69" s="8" t="str">
        <f t="shared" si="18"/>
        <v/>
      </c>
      <c r="O69" s="8" t="str">
        <f t="shared" si="19"/>
        <v/>
      </c>
      <c r="P69" s="8" t="str">
        <f t="shared" si="20"/>
        <v>N/A</v>
      </c>
      <c r="Q69" s="8"/>
    </row>
    <row r="70" spans="1:17" ht="15" customHeight="1" x14ac:dyDescent="0.25">
      <c r="A70" s="8" t="str">
        <f t="shared" si="14"/>
        <v/>
      </c>
      <c r="B70" s="11"/>
      <c r="C70" s="8"/>
      <c r="D70" s="8"/>
      <c r="E70" s="8"/>
      <c r="F70" s="8"/>
      <c r="G70" s="8"/>
      <c r="H70" s="8"/>
      <c r="I70" s="8"/>
      <c r="J70" s="8"/>
      <c r="K70" s="8" t="str">
        <f t="shared" si="15"/>
        <v/>
      </c>
      <c r="L70" s="8" t="str">
        <f t="shared" si="16"/>
        <v/>
      </c>
      <c r="M70" s="8" t="str">
        <f t="shared" si="17"/>
        <v/>
      </c>
      <c r="N70" s="8" t="str">
        <f t="shared" si="18"/>
        <v/>
      </c>
      <c r="O70" s="8" t="str">
        <f t="shared" si="19"/>
        <v/>
      </c>
      <c r="P70" s="8" t="str">
        <f t="shared" si="20"/>
        <v>N/A</v>
      </c>
      <c r="Q70" s="8"/>
    </row>
    <row r="71" spans="1:17" ht="15" customHeight="1" x14ac:dyDescent="0.25">
      <c r="A71" s="8" t="str">
        <f t="shared" si="14"/>
        <v/>
      </c>
      <c r="B71" s="11"/>
      <c r="C71" s="8"/>
      <c r="D71" s="8"/>
      <c r="E71" s="8"/>
      <c r="F71" s="8"/>
      <c r="G71" s="8"/>
      <c r="H71" s="8"/>
      <c r="I71" s="8"/>
      <c r="J71" s="8"/>
      <c r="K71" s="8" t="str">
        <f t="shared" si="15"/>
        <v/>
      </c>
      <c r="L71" s="8" t="str">
        <f t="shared" si="16"/>
        <v/>
      </c>
      <c r="M71" s="8" t="str">
        <f t="shared" si="17"/>
        <v/>
      </c>
      <c r="N71" s="8" t="str">
        <f t="shared" si="18"/>
        <v/>
      </c>
      <c r="O71" s="8" t="str">
        <f t="shared" si="19"/>
        <v/>
      </c>
      <c r="P71" s="8" t="str">
        <f t="shared" si="20"/>
        <v>N/A</v>
      </c>
      <c r="Q71" s="8"/>
    </row>
    <row r="72" spans="1:17" ht="15" customHeight="1" x14ac:dyDescent="0.25">
      <c r="A72" s="8" t="str">
        <f t="shared" si="14"/>
        <v/>
      </c>
      <c r="B72" s="11"/>
      <c r="C72" s="8"/>
      <c r="D72" s="8"/>
      <c r="E72" s="8"/>
      <c r="F72" s="8"/>
      <c r="G72" s="8"/>
      <c r="H72" s="8"/>
      <c r="I72" s="8"/>
      <c r="J72" s="8"/>
      <c r="K72" s="8" t="str">
        <f t="shared" si="15"/>
        <v/>
      </c>
      <c r="L72" s="8" t="str">
        <f t="shared" si="16"/>
        <v/>
      </c>
      <c r="M72" s="8" t="str">
        <f t="shared" si="17"/>
        <v/>
      </c>
      <c r="N72" s="8" t="str">
        <f t="shared" si="18"/>
        <v/>
      </c>
      <c r="O72" s="8" t="str">
        <f t="shared" si="19"/>
        <v/>
      </c>
      <c r="P72" s="8" t="str">
        <f t="shared" si="20"/>
        <v>N/A</v>
      </c>
      <c r="Q72" s="8"/>
    </row>
    <row r="73" spans="1:17" ht="15" customHeight="1" x14ac:dyDescent="0.25">
      <c r="A73" s="8" t="str">
        <f t="shared" si="14"/>
        <v/>
      </c>
      <c r="B73" s="11"/>
      <c r="C73" s="8"/>
      <c r="D73" s="8"/>
      <c r="E73" s="8"/>
      <c r="F73" s="8"/>
      <c r="G73" s="8"/>
      <c r="H73" s="8"/>
      <c r="I73" s="8"/>
      <c r="J73" s="8"/>
      <c r="K73" s="8" t="str">
        <f t="shared" si="15"/>
        <v/>
      </c>
      <c r="L73" s="8" t="str">
        <f t="shared" si="16"/>
        <v/>
      </c>
      <c r="M73" s="8" t="str">
        <f t="shared" si="17"/>
        <v/>
      </c>
      <c r="N73" s="8" t="str">
        <f t="shared" si="18"/>
        <v/>
      </c>
      <c r="O73" s="8" t="str">
        <f t="shared" si="19"/>
        <v/>
      </c>
      <c r="P73" s="8" t="str">
        <f t="shared" si="20"/>
        <v>N/A</v>
      </c>
      <c r="Q73" s="8"/>
    </row>
    <row r="74" spans="1:17" ht="15" customHeight="1" x14ac:dyDescent="0.25">
      <c r="A74" s="8" t="str">
        <f t="shared" si="14"/>
        <v/>
      </c>
      <c r="B74" s="11"/>
      <c r="C74" s="8"/>
      <c r="D74" s="8"/>
      <c r="E74" s="8"/>
      <c r="F74" s="8"/>
      <c r="G74" s="8"/>
      <c r="H74" s="8"/>
      <c r="I74" s="8"/>
      <c r="J74" s="8"/>
      <c r="K74" s="8" t="str">
        <f t="shared" si="15"/>
        <v/>
      </c>
      <c r="L74" s="8" t="str">
        <f t="shared" si="16"/>
        <v/>
      </c>
      <c r="M74" s="8" t="str">
        <f t="shared" si="17"/>
        <v/>
      </c>
      <c r="N74" s="8" t="str">
        <f t="shared" si="18"/>
        <v/>
      </c>
      <c r="O74" s="8" t="str">
        <f t="shared" si="19"/>
        <v/>
      </c>
      <c r="P74" s="8" t="str">
        <f t="shared" si="20"/>
        <v>N/A</v>
      </c>
      <c r="Q74" s="8"/>
    </row>
    <row r="75" spans="1:17" ht="15" customHeight="1" x14ac:dyDescent="0.25">
      <c r="A75" s="8" t="str">
        <f t="shared" si="14"/>
        <v/>
      </c>
      <c r="B75" s="11"/>
      <c r="C75" s="8"/>
      <c r="D75" s="8"/>
      <c r="E75" s="8"/>
      <c r="F75" s="8"/>
      <c r="G75" s="8"/>
      <c r="H75" s="8"/>
      <c r="I75" s="8"/>
      <c r="J75" s="8"/>
      <c r="K75" s="8" t="str">
        <f t="shared" si="15"/>
        <v/>
      </c>
      <c r="L75" s="8" t="str">
        <f t="shared" si="16"/>
        <v/>
      </c>
      <c r="M75" s="8" t="str">
        <f t="shared" si="17"/>
        <v/>
      </c>
      <c r="N75" s="8" t="str">
        <f t="shared" si="18"/>
        <v/>
      </c>
      <c r="O75" s="8" t="str">
        <f t="shared" si="19"/>
        <v/>
      </c>
      <c r="P75" s="8" t="str">
        <f t="shared" si="20"/>
        <v>N/A</v>
      </c>
      <c r="Q75" s="8"/>
    </row>
    <row r="76" spans="1:17" ht="15" customHeight="1" x14ac:dyDescent="0.25">
      <c r="A76" s="8" t="str">
        <f t="shared" si="14"/>
        <v/>
      </c>
      <c r="B76" s="11"/>
      <c r="C76" s="8"/>
      <c r="D76" s="8"/>
      <c r="E76" s="8"/>
      <c r="F76" s="8"/>
      <c r="G76" s="8"/>
      <c r="H76" s="8"/>
      <c r="I76" s="8"/>
      <c r="J76" s="8"/>
      <c r="K76" s="8" t="str">
        <f t="shared" si="15"/>
        <v/>
      </c>
      <c r="L76" s="8" t="str">
        <f t="shared" si="16"/>
        <v/>
      </c>
      <c r="M76" s="8" t="str">
        <f t="shared" si="17"/>
        <v/>
      </c>
      <c r="N76" s="8" t="str">
        <f t="shared" si="18"/>
        <v/>
      </c>
      <c r="O76" s="8" t="str">
        <f t="shared" si="19"/>
        <v/>
      </c>
      <c r="P76" s="8" t="str">
        <f t="shared" si="20"/>
        <v>N/A</v>
      </c>
      <c r="Q76" s="8"/>
    </row>
    <row r="77" spans="1:17" ht="15" customHeight="1" x14ac:dyDescent="0.25">
      <c r="A77" s="8" t="str">
        <f t="shared" si="14"/>
        <v/>
      </c>
      <c r="B77" s="11"/>
      <c r="C77" s="8"/>
      <c r="D77" s="8"/>
      <c r="E77" s="8"/>
      <c r="F77" s="8"/>
      <c r="G77" s="8"/>
      <c r="H77" s="8"/>
      <c r="I77" s="8"/>
      <c r="J77" s="8"/>
      <c r="K77" s="8" t="str">
        <f t="shared" si="15"/>
        <v/>
      </c>
      <c r="L77" s="8" t="str">
        <f t="shared" si="16"/>
        <v/>
      </c>
      <c r="M77" s="8" t="str">
        <f t="shared" si="17"/>
        <v/>
      </c>
      <c r="N77" s="8" t="str">
        <f t="shared" si="18"/>
        <v/>
      </c>
      <c r="O77" s="8" t="str">
        <f t="shared" si="19"/>
        <v/>
      </c>
      <c r="P77" s="8" t="str">
        <f t="shared" si="20"/>
        <v>N/A</v>
      </c>
      <c r="Q77" s="8"/>
    </row>
    <row r="78" spans="1:17" ht="15" customHeight="1" x14ac:dyDescent="0.25">
      <c r="A78" s="8" t="str">
        <f t="shared" si="14"/>
        <v/>
      </c>
      <c r="B78" s="11"/>
      <c r="C78" s="8"/>
      <c r="D78" s="8"/>
      <c r="E78" s="8"/>
      <c r="F78" s="8"/>
      <c r="G78" s="8"/>
      <c r="H78" s="8"/>
      <c r="I78" s="8"/>
      <c r="J78" s="8"/>
      <c r="K78" s="8" t="str">
        <f t="shared" si="15"/>
        <v/>
      </c>
      <c r="L78" s="8" t="str">
        <f t="shared" si="16"/>
        <v/>
      </c>
      <c r="M78" s="8" t="str">
        <f t="shared" si="17"/>
        <v/>
      </c>
      <c r="N78" s="8" t="str">
        <f t="shared" si="18"/>
        <v/>
      </c>
      <c r="O78" s="8" t="str">
        <f t="shared" si="19"/>
        <v/>
      </c>
      <c r="P78" s="8" t="str">
        <f t="shared" si="20"/>
        <v>N/A</v>
      </c>
      <c r="Q78" s="8"/>
    </row>
    <row r="79" spans="1:17" ht="15" customHeight="1" x14ac:dyDescent="0.25">
      <c r="A79" s="8" t="str">
        <f t="shared" si="14"/>
        <v/>
      </c>
      <c r="B79" s="11"/>
      <c r="C79" s="8"/>
      <c r="D79" s="8"/>
      <c r="E79" s="8"/>
      <c r="F79" s="8"/>
      <c r="G79" s="8"/>
      <c r="H79" s="8"/>
      <c r="I79" s="8"/>
      <c r="J79" s="8"/>
      <c r="K79" s="8" t="str">
        <f t="shared" si="15"/>
        <v/>
      </c>
      <c r="L79" s="8" t="str">
        <f t="shared" si="16"/>
        <v/>
      </c>
      <c r="M79" s="8" t="str">
        <f t="shared" si="17"/>
        <v/>
      </c>
      <c r="N79" s="8" t="str">
        <f t="shared" si="18"/>
        <v/>
      </c>
      <c r="O79" s="8" t="str">
        <f t="shared" si="19"/>
        <v/>
      </c>
      <c r="P79" s="8" t="str">
        <f t="shared" si="20"/>
        <v>N/A</v>
      </c>
      <c r="Q79" s="8"/>
    </row>
    <row r="80" spans="1:17" ht="15" customHeight="1" x14ac:dyDescent="0.25">
      <c r="A80" s="8" t="str">
        <f t="shared" si="14"/>
        <v/>
      </c>
      <c r="B80" s="11"/>
      <c r="C80" s="8"/>
      <c r="D80" s="8"/>
      <c r="E80" s="8"/>
      <c r="F80" s="8"/>
      <c r="G80" s="8"/>
      <c r="H80" s="8"/>
      <c r="I80" s="8"/>
      <c r="J80" s="8"/>
      <c r="K80" s="8" t="str">
        <f t="shared" si="15"/>
        <v/>
      </c>
      <c r="L80" s="8" t="str">
        <f t="shared" si="16"/>
        <v/>
      </c>
      <c r="M80" s="8" t="str">
        <f t="shared" si="17"/>
        <v/>
      </c>
      <c r="N80" s="8" t="str">
        <f t="shared" si="18"/>
        <v/>
      </c>
      <c r="O80" s="8" t="str">
        <f t="shared" si="19"/>
        <v/>
      </c>
      <c r="P80" s="8" t="str">
        <f t="shared" si="20"/>
        <v>N/A</v>
      </c>
      <c r="Q80" s="8"/>
    </row>
    <row r="81" spans="1:17" ht="15" customHeight="1" x14ac:dyDescent="0.25">
      <c r="A81" s="8" t="str">
        <f t="shared" si="14"/>
        <v/>
      </c>
      <c r="B81" s="11"/>
      <c r="C81" s="8"/>
      <c r="D81" s="8"/>
      <c r="E81" s="8"/>
      <c r="F81" s="8"/>
      <c r="G81" s="8"/>
      <c r="H81" s="8"/>
      <c r="I81" s="8"/>
      <c r="J81" s="8"/>
      <c r="K81" s="8" t="str">
        <f t="shared" si="15"/>
        <v/>
      </c>
      <c r="L81" s="8" t="str">
        <f t="shared" si="16"/>
        <v/>
      </c>
      <c r="M81" s="8" t="str">
        <f t="shared" si="17"/>
        <v/>
      </c>
      <c r="N81" s="8" t="str">
        <f t="shared" si="18"/>
        <v/>
      </c>
      <c r="O81" s="8" t="str">
        <f t="shared" si="19"/>
        <v/>
      </c>
      <c r="P81" s="8" t="str">
        <f t="shared" si="20"/>
        <v>N/A</v>
      </c>
      <c r="Q81" s="8"/>
    </row>
    <row r="82" spans="1:17" ht="15" customHeight="1" x14ac:dyDescent="0.25">
      <c r="A82" s="8" t="str">
        <f t="shared" si="14"/>
        <v/>
      </c>
      <c r="B82" s="11"/>
      <c r="C82" s="8"/>
      <c r="D82" s="8"/>
      <c r="E82" s="8"/>
      <c r="F82" s="8"/>
      <c r="G82" s="8"/>
      <c r="H82" s="8"/>
      <c r="I82" s="8"/>
      <c r="J82" s="8"/>
      <c r="K82" s="8" t="str">
        <f t="shared" si="15"/>
        <v/>
      </c>
      <c r="L82" s="8" t="str">
        <f t="shared" si="16"/>
        <v/>
      </c>
      <c r="M82" s="8" t="str">
        <f t="shared" si="17"/>
        <v/>
      </c>
      <c r="N82" s="8" t="str">
        <f t="shared" si="18"/>
        <v/>
      </c>
      <c r="O82" s="8" t="str">
        <f t="shared" si="19"/>
        <v/>
      </c>
      <c r="P82" s="8" t="str">
        <f t="shared" si="20"/>
        <v>N/A</v>
      </c>
      <c r="Q82" s="8"/>
    </row>
    <row r="83" spans="1:17" ht="15" customHeight="1" x14ac:dyDescent="0.25">
      <c r="A83" s="8" t="str">
        <f t="shared" si="14"/>
        <v/>
      </c>
      <c r="B83" s="11"/>
      <c r="C83" s="8"/>
      <c r="D83" s="8"/>
      <c r="E83" s="8"/>
      <c r="F83" s="8"/>
      <c r="G83" s="8"/>
      <c r="H83" s="8"/>
      <c r="I83" s="8"/>
      <c r="J83" s="8"/>
      <c r="K83" s="8" t="str">
        <f t="shared" si="15"/>
        <v/>
      </c>
      <c r="L83" s="8" t="str">
        <f t="shared" si="16"/>
        <v/>
      </c>
      <c r="M83" s="8" t="str">
        <f t="shared" si="17"/>
        <v/>
      </c>
      <c r="N83" s="8" t="str">
        <f t="shared" si="18"/>
        <v/>
      </c>
      <c r="O83" s="8" t="str">
        <f t="shared" si="19"/>
        <v/>
      </c>
      <c r="P83" s="8" t="str">
        <f t="shared" si="20"/>
        <v>N/A</v>
      </c>
      <c r="Q83" s="8"/>
    </row>
    <row r="84" spans="1:17" ht="15" customHeight="1" x14ac:dyDescent="0.25">
      <c r="A84" s="8" t="str">
        <f t="shared" si="14"/>
        <v/>
      </c>
      <c r="B84" s="11"/>
      <c r="C84" s="8"/>
      <c r="D84" s="8"/>
      <c r="E84" s="8"/>
      <c r="F84" s="8"/>
      <c r="G84" s="8"/>
      <c r="H84" s="8"/>
      <c r="I84" s="8"/>
      <c r="J84" s="8"/>
      <c r="K84" s="8" t="str">
        <f t="shared" si="15"/>
        <v/>
      </c>
      <c r="L84" s="8" t="str">
        <f t="shared" si="16"/>
        <v/>
      </c>
      <c r="M84" s="8" t="str">
        <f t="shared" si="17"/>
        <v/>
      </c>
      <c r="N84" s="8" t="str">
        <f t="shared" si="18"/>
        <v/>
      </c>
      <c r="O84" s="8" t="str">
        <f t="shared" si="19"/>
        <v/>
      </c>
      <c r="P84" s="8" t="str">
        <f t="shared" si="20"/>
        <v>N/A</v>
      </c>
      <c r="Q84" s="8"/>
    </row>
    <row r="85" spans="1:17" ht="15" customHeight="1" x14ac:dyDescent="0.25">
      <c r="A85" s="8" t="str">
        <f t="shared" si="14"/>
        <v/>
      </c>
      <c r="B85" s="11"/>
      <c r="C85" s="8"/>
      <c r="D85" s="8"/>
      <c r="E85" s="8"/>
      <c r="F85" s="8"/>
      <c r="G85" s="8"/>
      <c r="H85" s="8"/>
      <c r="I85" s="8"/>
      <c r="J85" s="8"/>
      <c r="K85" s="8" t="str">
        <f t="shared" si="15"/>
        <v/>
      </c>
      <c r="L85" s="8" t="str">
        <f t="shared" si="16"/>
        <v/>
      </c>
      <c r="M85" s="8" t="str">
        <f t="shared" si="17"/>
        <v/>
      </c>
      <c r="N85" s="8" t="str">
        <f t="shared" si="18"/>
        <v/>
      </c>
      <c r="O85" s="8" t="str">
        <f t="shared" si="19"/>
        <v/>
      </c>
      <c r="P85" s="8" t="str">
        <f t="shared" si="20"/>
        <v>N/A</v>
      </c>
      <c r="Q85" s="8"/>
    </row>
    <row r="86" spans="1:17" ht="15" customHeight="1" x14ac:dyDescent="0.25">
      <c r="A86" s="8" t="str">
        <f t="shared" si="14"/>
        <v/>
      </c>
      <c r="B86" s="11"/>
      <c r="C86" s="8"/>
      <c r="D86" s="8"/>
      <c r="E86" s="8"/>
      <c r="F86" s="8"/>
      <c r="G86" s="8"/>
      <c r="H86" s="8"/>
      <c r="I86" s="8"/>
      <c r="J86" s="8"/>
      <c r="K86" s="8" t="str">
        <f t="shared" si="15"/>
        <v/>
      </c>
      <c r="L86" s="8" t="str">
        <f t="shared" si="16"/>
        <v/>
      </c>
      <c r="M86" s="8" t="str">
        <f t="shared" si="17"/>
        <v/>
      </c>
      <c r="N86" s="8" t="str">
        <f t="shared" si="18"/>
        <v/>
      </c>
      <c r="O86" s="8" t="str">
        <f t="shared" si="19"/>
        <v/>
      </c>
      <c r="P86" s="8" t="str">
        <f t="shared" si="20"/>
        <v>N/A</v>
      </c>
      <c r="Q86" s="8"/>
    </row>
    <row r="87" spans="1:17" ht="15" customHeight="1" x14ac:dyDescent="0.25">
      <c r="A87" s="8" t="str">
        <f t="shared" si="14"/>
        <v/>
      </c>
      <c r="B87" s="11"/>
      <c r="C87" s="8"/>
      <c r="D87" s="8"/>
      <c r="E87" s="8"/>
      <c r="F87" s="8"/>
      <c r="G87" s="8"/>
      <c r="H87" s="8"/>
      <c r="I87" s="8"/>
      <c r="J87" s="8"/>
      <c r="K87" s="8" t="str">
        <f t="shared" si="15"/>
        <v/>
      </c>
      <c r="L87" s="8" t="str">
        <f t="shared" si="16"/>
        <v/>
      </c>
      <c r="M87" s="8" t="str">
        <f t="shared" si="17"/>
        <v/>
      </c>
      <c r="N87" s="8" t="str">
        <f t="shared" si="18"/>
        <v/>
      </c>
      <c r="O87" s="8" t="str">
        <f t="shared" si="19"/>
        <v/>
      </c>
      <c r="P87" s="8" t="str">
        <f t="shared" si="20"/>
        <v>N/A</v>
      </c>
      <c r="Q87" s="8"/>
    </row>
    <row r="88" spans="1:17" ht="15" customHeight="1" x14ac:dyDescent="0.25">
      <c r="A88" s="8" t="str">
        <f t="shared" si="14"/>
        <v/>
      </c>
      <c r="B88" s="11"/>
      <c r="C88" s="8"/>
      <c r="D88" s="8"/>
      <c r="E88" s="8"/>
      <c r="F88" s="8"/>
      <c r="G88" s="8"/>
      <c r="H88" s="8"/>
      <c r="I88" s="8"/>
      <c r="J88" s="8"/>
      <c r="K88" s="8" t="str">
        <f t="shared" si="15"/>
        <v/>
      </c>
      <c r="L88" s="8" t="str">
        <f t="shared" si="16"/>
        <v/>
      </c>
      <c r="M88" s="8" t="str">
        <f t="shared" si="17"/>
        <v/>
      </c>
      <c r="N88" s="8" t="str">
        <f t="shared" si="18"/>
        <v/>
      </c>
      <c r="O88" s="8" t="str">
        <f t="shared" si="19"/>
        <v/>
      </c>
      <c r="P88" s="8" t="str">
        <f t="shared" si="20"/>
        <v>N/A</v>
      </c>
      <c r="Q88" s="8"/>
    </row>
    <row r="89" spans="1:17" ht="15" customHeight="1" x14ac:dyDescent="0.25">
      <c r="A89" s="8" t="str">
        <f t="shared" si="14"/>
        <v/>
      </c>
      <c r="B89" s="11"/>
      <c r="C89" s="8"/>
      <c r="D89" s="8"/>
      <c r="E89" s="8"/>
      <c r="F89" s="8"/>
      <c r="G89" s="8"/>
      <c r="H89" s="8"/>
      <c r="I89" s="8"/>
      <c r="J89" s="8"/>
      <c r="K89" s="8" t="str">
        <f t="shared" si="15"/>
        <v/>
      </c>
      <c r="L89" s="8" t="str">
        <f t="shared" si="16"/>
        <v/>
      </c>
      <c r="M89" s="8" t="str">
        <f t="shared" si="17"/>
        <v/>
      </c>
      <c r="N89" s="8" t="str">
        <f t="shared" si="18"/>
        <v/>
      </c>
      <c r="O89" s="8" t="str">
        <f t="shared" si="19"/>
        <v/>
      </c>
      <c r="P89" s="8" t="str">
        <f t="shared" si="20"/>
        <v>N/A</v>
      </c>
      <c r="Q89" s="8"/>
    </row>
    <row r="90" spans="1:17" ht="15" customHeight="1" x14ac:dyDescent="0.25">
      <c r="A90" s="8" t="str">
        <f t="shared" si="14"/>
        <v/>
      </c>
      <c r="B90" s="11"/>
      <c r="C90" s="8"/>
      <c r="D90" s="8"/>
      <c r="E90" s="8"/>
      <c r="F90" s="8"/>
      <c r="G90" s="8"/>
      <c r="H90" s="8"/>
      <c r="I90" s="8"/>
      <c r="J90" s="8"/>
      <c r="K90" s="8" t="str">
        <f t="shared" si="15"/>
        <v/>
      </c>
      <c r="L90" s="8" t="str">
        <f t="shared" si="16"/>
        <v/>
      </c>
      <c r="M90" s="8" t="str">
        <f t="shared" si="17"/>
        <v/>
      </c>
      <c r="N90" s="8" t="str">
        <f t="shared" si="18"/>
        <v/>
      </c>
      <c r="O90" s="8" t="str">
        <f t="shared" si="19"/>
        <v/>
      </c>
      <c r="P90" s="8" t="str">
        <f t="shared" si="20"/>
        <v>N/A</v>
      </c>
      <c r="Q90" s="8"/>
    </row>
    <row r="91" spans="1:17" ht="15" customHeight="1" x14ac:dyDescent="0.25">
      <c r="A91" s="8" t="str">
        <f t="shared" si="14"/>
        <v/>
      </c>
      <c r="B91" s="11"/>
      <c r="C91" s="8"/>
      <c r="D91" s="8"/>
      <c r="E91" s="8"/>
      <c r="F91" s="8"/>
      <c r="G91" s="8"/>
      <c r="H91" s="8"/>
      <c r="I91" s="8"/>
      <c r="J91" s="8"/>
      <c r="K91" s="8" t="str">
        <f t="shared" si="15"/>
        <v/>
      </c>
      <c r="L91" s="8" t="str">
        <f t="shared" si="16"/>
        <v/>
      </c>
      <c r="M91" s="8" t="str">
        <f t="shared" si="17"/>
        <v/>
      </c>
      <c r="N91" s="8" t="str">
        <f t="shared" si="18"/>
        <v/>
      </c>
      <c r="O91" s="8" t="str">
        <f t="shared" si="19"/>
        <v/>
      </c>
      <c r="P91" s="8" t="str">
        <f t="shared" si="20"/>
        <v>N/A</v>
      </c>
      <c r="Q91" s="8"/>
    </row>
    <row r="92" spans="1:17" ht="15" customHeight="1" x14ac:dyDescent="0.25">
      <c r="A92" s="8" t="str">
        <f t="shared" si="14"/>
        <v/>
      </c>
      <c r="B92" s="11"/>
      <c r="C92" s="8"/>
      <c r="D92" s="8"/>
      <c r="E92" s="8"/>
      <c r="F92" s="8"/>
      <c r="G92" s="8"/>
      <c r="H92" s="8"/>
      <c r="I92" s="8"/>
      <c r="J92" s="8"/>
      <c r="K92" s="8" t="str">
        <f t="shared" si="15"/>
        <v/>
      </c>
      <c r="L92" s="8" t="str">
        <f t="shared" si="16"/>
        <v/>
      </c>
      <c r="M92" s="8" t="str">
        <f t="shared" si="17"/>
        <v/>
      </c>
      <c r="N92" s="8" t="str">
        <f t="shared" si="18"/>
        <v/>
      </c>
      <c r="O92" s="8" t="str">
        <f t="shared" si="19"/>
        <v/>
      </c>
      <c r="P92" s="8" t="str">
        <f t="shared" si="20"/>
        <v>N/A</v>
      </c>
      <c r="Q92" s="8"/>
    </row>
    <row r="93" spans="1:17" ht="15" customHeight="1" x14ac:dyDescent="0.25">
      <c r="A93" s="8" t="str">
        <f t="shared" si="14"/>
        <v/>
      </c>
      <c r="B93" s="11"/>
      <c r="C93" s="8"/>
      <c r="D93" s="8"/>
      <c r="E93" s="8"/>
      <c r="F93" s="8"/>
      <c r="G93" s="8"/>
      <c r="H93" s="8"/>
      <c r="I93" s="8"/>
      <c r="J93" s="8"/>
      <c r="K93" s="8" t="str">
        <f t="shared" si="15"/>
        <v/>
      </c>
      <c r="L93" s="8" t="str">
        <f t="shared" si="16"/>
        <v/>
      </c>
      <c r="M93" s="8" t="str">
        <f t="shared" si="17"/>
        <v/>
      </c>
      <c r="N93" s="8" t="str">
        <f t="shared" si="18"/>
        <v/>
      </c>
      <c r="O93" s="8" t="str">
        <f t="shared" si="19"/>
        <v/>
      </c>
      <c r="P93" s="8" t="str">
        <f t="shared" si="20"/>
        <v>N/A</v>
      </c>
      <c r="Q93" s="8"/>
    </row>
    <row r="94" spans="1:17" ht="15" customHeight="1" x14ac:dyDescent="0.25">
      <c r="A94" s="8" t="str">
        <f t="shared" si="14"/>
        <v/>
      </c>
      <c r="B94" s="11"/>
      <c r="C94" s="8"/>
      <c r="D94" s="8"/>
      <c r="E94" s="8"/>
      <c r="F94" s="8"/>
      <c r="G94" s="8"/>
      <c r="H94" s="8"/>
      <c r="I94" s="8"/>
      <c r="J94" s="8"/>
      <c r="K94" s="8" t="str">
        <f t="shared" si="15"/>
        <v/>
      </c>
      <c r="L94" s="8" t="str">
        <f t="shared" si="16"/>
        <v/>
      </c>
      <c r="M94" s="8" t="str">
        <f t="shared" si="17"/>
        <v/>
      </c>
      <c r="N94" s="8" t="str">
        <f t="shared" si="18"/>
        <v/>
      </c>
      <c r="O94" s="8" t="str">
        <f t="shared" si="19"/>
        <v/>
      </c>
      <c r="P94" s="8" t="str">
        <f t="shared" si="20"/>
        <v>N/A</v>
      </c>
      <c r="Q94" s="8"/>
    </row>
    <row r="95" spans="1:17" ht="15" customHeight="1" x14ac:dyDescent="0.25">
      <c r="A95" s="8" t="str">
        <f t="shared" si="14"/>
        <v/>
      </c>
      <c r="B95" s="11"/>
      <c r="C95" s="8"/>
      <c r="D95" s="8"/>
      <c r="E95" s="8"/>
      <c r="F95" s="8"/>
      <c r="G95" s="8"/>
      <c r="H95" s="8"/>
      <c r="I95" s="8"/>
      <c r="J95" s="8"/>
      <c r="K95" s="8" t="str">
        <f t="shared" si="15"/>
        <v/>
      </c>
      <c r="L95" s="8" t="str">
        <f t="shared" si="16"/>
        <v/>
      </c>
      <c r="M95" s="8" t="str">
        <f t="shared" si="17"/>
        <v/>
      </c>
      <c r="N95" s="8" t="str">
        <f t="shared" si="18"/>
        <v/>
      </c>
      <c r="O95" s="8" t="str">
        <f t="shared" si="19"/>
        <v/>
      </c>
      <c r="P95" s="8" t="str">
        <f t="shared" si="20"/>
        <v>N/A</v>
      </c>
      <c r="Q95" s="8"/>
    </row>
    <row r="96" spans="1:17" ht="15" customHeight="1" x14ac:dyDescent="0.25">
      <c r="A96" s="8" t="str">
        <f t="shared" si="14"/>
        <v/>
      </c>
      <c r="B96" s="11"/>
      <c r="C96" s="8"/>
      <c r="D96" s="8"/>
      <c r="E96" s="8"/>
      <c r="F96" s="8"/>
      <c r="G96" s="8"/>
      <c r="H96" s="8"/>
      <c r="I96" s="8"/>
      <c r="J96" s="8"/>
      <c r="K96" s="8" t="str">
        <f t="shared" si="15"/>
        <v/>
      </c>
      <c r="L96" s="8" t="str">
        <f t="shared" si="16"/>
        <v/>
      </c>
      <c r="M96" s="8" t="str">
        <f t="shared" si="17"/>
        <v/>
      </c>
      <c r="N96" s="8" t="str">
        <f t="shared" si="18"/>
        <v/>
      </c>
      <c r="O96" s="8" t="str">
        <f t="shared" si="19"/>
        <v/>
      </c>
      <c r="P96" s="8" t="str">
        <f t="shared" si="20"/>
        <v>N/A</v>
      </c>
      <c r="Q96" s="8"/>
    </row>
    <row r="97" spans="1:17" ht="15" customHeight="1" x14ac:dyDescent="0.25">
      <c r="A97" s="8" t="str">
        <f t="shared" si="14"/>
        <v/>
      </c>
      <c r="B97" s="11"/>
      <c r="C97" s="8"/>
      <c r="D97" s="8"/>
      <c r="E97" s="8"/>
      <c r="F97" s="8"/>
      <c r="G97" s="8"/>
      <c r="H97" s="8"/>
      <c r="I97" s="8"/>
      <c r="J97" s="8"/>
      <c r="K97" s="8" t="str">
        <f t="shared" si="15"/>
        <v/>
      </c>
      <c r="L97" s="8" t="str">
        <f t="shared" si="16"/>
        <v/>
      </c>
      <c r="M97" s="8" t="str">
        <f t="shared" si="17"/>
        <v/>
      </c>
      <c r="N97" s="8" t="str">
        <f t="shared" si="18"/>
        <v/>
      </c>
      <c r="O97" s="8" t="str">
        <f t="shared" si="19"/>
        <v/>
      </c>
      <c r="P97" s="8" t="str">
        <f t="shared" si="20"/>
        <v>N/A</v>
      </c>
      <c r="Q97" s="8"/>
    </row>
    <row r="98" spans="1:17" ht="15" customHeight="1" x14ac:dyDescent="0.25">
      <c r="A98" s="8" t="str">
        <f t="shared" ref="A98:A129" si="21">IF(B98="","",ROW()-1)</f>
        <v/>
      </c>
      <c r="B98" s="11"/>
      <c r="C98" s="8"/>
      <c r="D98" s="8"/>
      <c r="E98" s="8"/>
      <c r="F98" s="8"/>
      <c r="G98" s="8"/>
      <c r="H98" s="8"/>
      <c r="I98" s="8"/>
      <c r="J98" s="8"/>
      <c r="K98" s="8" t="str">
        <f t="shared" ref="K98:K129" si="22">IF(G98="","",IF(G98="SIM",1,0))</f>
        <v/>
      </c>
      <c r="L98" s="8" t="str">
        <f t="shared" ref="L98:L129" si="23">IF(H98="","",IF(H98="SIM",1,0))</f>
        <v/>
      </c>
      <c r="M98" s="8" t="str">
        <f t="shared" ref="M98:M129" si="24">IF(I98="","",IF(I98="SIM",1,0))</f>
        <v/>
      </c>
      <c r="N98" s="8" t="str">
        <f t="shared" ref="N98:N129" si="25">IF(J98="","",IF(J98="Conformidade",1,IF(J98="Não Conformidade",0,IF(J98="Não Conformidade Grave",-1,""))))</f>
        <v/>
      </c>
      <c r="O98" s="8" t="str">
        <f t="shared" ref="O98:O129" si="26">IF(COUNTA(G98:J98)=0,"",ROUND(AVERAGE(K98:N98)*100,0))</f>
        <v/>
      </c>
      <c r="P98" s="8" t="str">
        <f t="shared" ref="P98:P129" si="27">IFERROR(AVERAGEIF(C$2:C$201,C98,O$2:O$201),"N/A")</f>
        <v>N/A</v>
      </c>
      <c r="Q98" s="8"/>
    </row>
    <row r="99" spans="1:17" ht="15" customHeight="1" x14ac:dyDescent="0.25">
      <c r="A99" s="8" t="str">
        <f t="shared" si="21"/>
        <v/>
      </c>
      <c r="B99" s="11"/>
      <c r="C99" s="8"/>
      <c r="D99" s="8"/>
      <c r="E99" s="8"/>
      <c r="F99" s="8"/>
      <c r="G99" s="8"/>
      <c r="H99" s="8"/>
      <c r="I99" s="8"/>
      <c r="J99" s="8"/>
      <c r="K99" s="8" t="str">
        <f t="shared" si="22"/>
        <v/>
      </c>
      <c r="L99" s="8" t="str">
        <f t="shared" si="23"/>
        <v/>
      </c>
      <c r="M99" s="8" t="str">
        <f t="shared" si="24"/>
        <v/>
      </c>
      <c r="N99" s="8" t="str">
        <f t="shared" si="25"/>
        <v/>
      </c>
      <c r="O99" s="8" t="str">
        <f t="shared" si="26"/>
        <v/>
      </c>
      <c r="P99" s="8" t="str">
        <f t="shared" si="27"/>
        <v>N/A</v>
      </c>
      <c r="Q99" s="8"/>
    </row>
    <row r="100" spans="1:17" ht="15" customHeight="1" x14ac:dyDescent="0.25">
      <c r="A100" s="8" t="str">
        <f t="shared" si="21"/>
        <v/>
      </c>
      <c r="B100" s="11"/>
      <c r="C100" s="8"/>
      <c r="D100" s="8"/>
      <c r="E100" s="8"/>
      <c r="F100" s="8"/>
      <c r="G100" s="8"/>
      <c r="H100" s="8"/>
      <c r="I100" s="8"/>
      <c r="J100" s="8"/>
      <c r="K100" s="8" t="str">
        <f t="shared" si="22"/>
        <v/>
      </c>
      <c r="L100" s="8" t="str">
        <f t="shared" si="23"/>
        <v/>
      </c>
      <c r="M100" s="8" t="str">
        <f t="shared" si="24"/>
        <v/>
      </c>
      <c r="N100" s="8" t="str">
        <f t="shared" si="25"/>
        <v/>
      </c>
      <c r="O100" s="8" t="str">
        <f t="shared" si="26"/>
        <v/>
      </c>
      <c r="P100" s="8" t="str">
        <f t="shared" si="27"/>
        <v>N/A</v>
      </c>
      <c r="Q100" s="8"/>
    </row>
    <row r="101" spans="1:17" ht="15" customHeight="1" x14ac:dyDescent="0.25">
      <c r="A101" s="8" t="str">
        <f t="shared" si="21"/>
        <v/>
      </c>
      <c r="B101" s="11"/>
      <c r="C101" s="8"/>
      <c r="D101" s="8"/>
      <c r="E101" s="8"/>
      <c r="F101" s="8"/>
      <c r="G101" s="8"/>
      <c r="H101" s="8"/>
      <c r="I101" s="8"/>
      <c r="J101" s="8"/>
      <c r="K101" s="8" t="str">
        <f t="shared" si="22"/>
        <v/>
      </c>
      <c r="L101" s="8" t="str">
        <f t="shared" si="23"/>
        <v/>
      </c>
      <c r="M101" s="8" t="str">
        <f t="shared" si="24"/>
        <v/>
      </c>
      <c r="N101" s="8" t="str">
        <f t="shared" si="25"/>
        <v/>
      </c>
      <c r="O101" s="8" t="str">
        <f t="shared" si="26"/>
        <v/>
      </c>
      <c r="P101" s="8" t="str">
        <f t="shared" si="27"/>
        <v>N/A</v>
      </c>
      <c r="Q101" s="8"/>
    </row>
    <row r="102" spans="1:17" ht="15" customHeight="1" x14ac:dyDescent="0.25">
      <c r="A102" s="8" t="str">
        <f t="shared" si="21"/>
        <v/>
      </c>
      <c r="B102" s="11"/>
      <c r="C102" s="8"/>
      <c r="D102" s="8"/>
      <c r="E102" s="8"/>
      <c r="F102" s="8"/>
      <c r="G102" s="8"/>
      <c r="H102" s="8"/>
      <c r="I102" s="8"/>
      <c r="J102" s="8"/>
      <c r="K102" s="8" t="str">
        <f t="shared" si="22"/>
        <v/>
      </c>
      <c r="L102" s="8" t="str">
        <f t="shared" si="23"/>
        <v/>
      </c>
      <c r="M102" s="8" t="str">
        <f t="shared" si="24"/>
        <v/>
      </c>
      <c r="N102" s="8" t="str">
        <f t="shared" si="25"/>
        <v/>
      </c>
      <c r="O102" s="8" t="str">
        <f t="shared" si="26"/>
        <v/>
      </c>
      <c r="P102" s="8" t="str">
        <f t="shared" si="27"/>
        <v>N/A</v>
      </c>
      <c r="Q102" s="8"/>
    </row>
    <row r="103" spans="1:17" ht="15" customHeight="1" x14ac:dyDescent="0.25">
      <c r="A103" s="8" t="str">
        <f t="shared" si="21"/>
        <v/>
      </c>
      <c r="B103" s="11"/>
      <c r="C103" s="8"/>
      <c r="D103" s="8"/>
      <c r="E103" s="8"/>
      <c r="F103" s="8"/>
      <c r="G103" s="8"/>
      <c r="H103" s="8"/>
      <c r="I103" s="8"/>
      <c r="J103" s="8"/>
      <c r="K103" s="8" t="str">
        <f t="shared" si="22"/>
        <v/>
      </c>
      <c r="L103" s="8" t="str">
        <f t="shared" si="23"/>
        <v/>
      </c>
      <c r="M103" s="8" t="str">
        <f t="shared" si="24"/>
        <v/>
      </c>
      <c r="N103" s="8" t="str">
        <f t="shared" si="25"/>
        <v/>
      </c>
      <c r="O103" s="8" t="str">
        <f t="shared" si="26"/>
        <v/>
      </c>
      <c r="P103" s="8" t="str">
        <f t="shared" si="27"/>
        <v>N/A</v>
      </c>
      <c r="Q103" s="8"/>
    </row>
    <row r="104" spans="1:17" ht="15" customHeight="1" x14ac:dyDescent="0.25">
      <c r="A104" s="8" t="str">
        <f t="shared" si="21"/>
        <v/>
      </c>
      <c r="B104" s="11"/>
      <c r="C104" s="8"/>
      <c r="D104" s="8"/>
      <c r="E104" s="8"/>
      <c r="F104" s="8"/>
      <c r="G104" s="8"/>
      <c r="H104" s="8"/>
      <c r="I104" s="8"/>
      <c r="J104" s="8"/>
      <c r="K104" s="8" t="str">
        <f t="shared" si="22"/>
        <v/>
      </c>
      <c r="L104" s="8" t="str">
        <f t="shared" si="23"/>
        <v/>
      </c>
      <c r="M104" s="8" t="str">
        <f t="shared" si="24"/>
        <v/>
      </c>
      <c r="N104" s="8" t="str">
        <f t="shared" si="25"/>
        <v/>
      </c>
      <c r="O104" s="8" t="str">
        <f t="shared" si="26"/>
        <v/>
      </c>
      <c r="P104" s="8" t="str">
        <f t="shared" si="27"/>
        <v>N/A</v>
      </c>
      <c r="Q104" s="8"/>
    </row>
    <row r="105" spans="1:17" ht="15" customHeight="1" x14ac:dyDescent="0.25">
      <c r="A105" s="8" t="str">
        <f t="shared" si="21"/>
        <v/>
      </c>
      <c r="B105" s="11"/>
      <c r="C105" s="8"/>
      <c r="D105" s="8"/>
      <c r="E105" s="8"/>
      <c r="F105" s="8"/>
      <c r="G105" s="8"/>
      <c r="H105" s="8"/>
      <c r="I105" s="8"/>
      <c r="J105" s="8"/>
      <c r="K105" s="8" t="str">
        <f t="shared" si="22"/>
        <v/>
      </c>
      <c r="L105" s="8" t="str">
        <f t="shared" si="23"/>
        <v/>
      </c>
      <c r="M105" s="8" t="str">
        <f t="shared" si="24"/>
        <v/>
      </c>
      <c r="N105" s="8" t="str">
        <f t="shared" si="25"/>
        <v/>
      </c>
      <c r="O105" s="8" t="str">
        <f t="shared" si="26"/>
        <v/>
      </c>
      <c r="P105" s="8" t="str">
        <f t="shared" si="27"/>
        <v>N/A</v>
      </c>
      <c r="Q105" s="8"/>
    </row>
    <row r="106" spans="1:17" ht="15" customHeight="1" x14ac:dyDescent="0.25">
      <c r="A106" s="8" t="str">
        <f t="shared" si="21"/>
        <v/>
      </c>
      <c r="B106" s="11"/>
      <c r="C106" s="8"/>
      <c r="D106" s="8"/>
      <c r="E106" s="8"/>
      <c r="F106" s="8"/>
      <c r="G106" s="8"/>
      <c r="H106" s="8"/>
      <c r="I106" s="8"/>
      <c r="J106" s="8"/>
      <c r="K106" s="8" t="str">
        <f t="shared" si="22"/>
        <v/>
      </c>
      <c r="L106" s="8" t="str">
        <f t="shared" si="23"/>
        <v/>
      </c>
      <c r="M106" s="8" t="str">
        <f t="shared" si="24"/>
        <v/>
      </c>
      <c r="N106" s="8" t="str">
        <f t="shared" si="25"/>
        <v/>
      </c>
      <c r="O106" s="8" t="str">
        <f t="shared" si="26"/>
        <v/>
      </c>
      <c r="P106" s="8" t="str">
        <f t="shared" si="27"/>
        <v>N/A</v>
      </c>
      <c r="Q106" s="8"/>
    </row>
    <row r="107" spans="1:17" ht="15" customHeight="1" x14ac:dyDescent="0.25">
      <c r="A107" s="8" t="str">
        <f t="shared" si="21"/>
        <v/>
      </c>
      <c r="B107" s="11"/>
      <c r="C107" s="8"/>
      <c r="D107" s="8"/>
      <c r="E107" s="8"/>
      <c r="F107" s="8"/>
      <c r="G107" s="8"/>
      <c r="H107" s="8"/>
      <c r="I107" s="8"/>
      <c r="J107" s="8"/>
      <c r="K107" s="8" t="str">
        <f t="shared" si="22"/>
        <v/>
      </c>
      <c r="L107" s="8" t="str">
        <f t="shared" si="23"/>
        <v/>
      </c>
      <c r="M107" s="8" t="str">
        <f t="shared" si="24"/>
        <v/>
      </c>
      <c r="N107" s="8" t="str">
        <f t="shared" si="25"/>
        <v/>
      </c>
      <c r="O107" s="8" t="str">
        <f t="shared" si="26"/>
        <v/>
      </c>
      <c r="P107" s="8" t="str">
        <f t="shared" si="27"/>
        <v>N/A</v>
      </c>
      <c r="Q107" s="8"/>
    </row>
    <row r="108" spans="1:17" ht="15" customHeight="1" x14ac:dyDescent="0.25">
      <c r="A108" s="8" t="str">
        <f t="shared" si="21"/>
        <v/>
      </c>
      <c r="B108" s="11"/>
      <c r="C108" s="8"/>
      <c r="D108" s="8"/>
      <c r="E108" s="8"/>
      <c r="F108" s="8"/>
      <c r="G108" s="8"/>
      <c r="H108" s="8"/>
      <c r="I108" s="8"/>
      <c r="J108" s="8"/>
      <c r="K108" s="8" t="str">
        <f t="shared" si="22"/>
        <v/>
      </c>
      <c r="L108" s="8" t="str">
        <f t="shared" si="23"/>
        <v/>
      </c>
      <c r="M108" s="8" t="str">
        <f t="shared" si="24"/>
        <v/>
      </c>
      <c r="N108" s="8" t="str">
        <f t="shared" si="25"/>
        <v/>
      </c>
      <c r="O108" s="8" t="str">
        <f t="shared" si="26"/>
        <v/>
      </c>
      <c r="P108" s="8" t="str">
        <f t="shared" si="27"/>
        <v>N/A</v>
      </c>
      <c r="Q108" s="8"/>
    </row>
    <row r="109" spans="1:17" ht="15" customHeight="1" x14ac:dyDescent="0.25">
      <c r="A109" s="8" t="str">
        <f t="shared" si="21"/>
        <v/>
      </c>
      <c r="B109" s="11"/>
      <c r="C109" s="8"/>
      <c r="D109" s="8"/>
      <c r="E109" s="8"/>
      <c r="F109" s="8"/>
      <c r="G109" s="8"/>
      <c r="H109" s="8"/>
      <c r="I109" s="8"/>
      <c r="J109" s="8"/>
      <c r="K109" s="8" t="str">
        <f t="shared" si="22"/>
        <v/>
      </c>
      <c r="L109" s="8" t="str">
        <f t="shared" si="23"/>
        <v/>
      </c>
      <c r="M109" s="8" t="str">
        <f t="shared" si="24"/>
        <v/>
      </c>
      <c r="N109" s="8" t="str">
        <f t="shared" si="25"/>
        <v/>
      </c>
      <c r="O109" s="8" t="str">
        <f t="shared" si="26"/>
        <v/>
      </c>
      <c r="P109" s="8" t="str">
        <f t="shared" si="27"/>
        <v>N/A</v>
      </c>
      <c r="Q109" s="8"/>
    </row>
    <row r="110" spans="1:17" ht="15" customHeight="1" x14ac:dyDescent="0.25">
      <c r="A110" s="8" t="str">
        <f t="shared" si="21"/>
        <v/>
      </c>
      <c r="B110" s="11"/>
      <c r="C110" s="8"/>
      <c r="D110" s="8"/>
      <c r="E110" s="8"/>
      <c r="F110" s="8"/>
      <c r="G110" s="8"/>
      <c r="H110" s="8"/>
      <c r="I110" s="8"/>
      <c r="J110" s="8"/>
      <c r="K110" s="8" t="str">
        <f t="shared" si="22"/>
        <v/>
      </c>
      <c r="L110" s="8" t="str">
        <f t="shared" si="23"/>
        <v/>
      </c>
      <c r="M110" s="8" t="str">
        <f t="shared" si="24"/>
        <v/>
      </c>
      <c r="N110" s="8" t="str">
        <f t="shared" si="25"/>
        <v/>
      </c>
      <c r="O110" s="8" t="str">
        <f t="shared" si="26"/>
        <v/>
      </c>
      <c r="P110" s="8" t="str">
        <f t="shared" si="27"/>
        <v>N/A</v>
      </c>
      <c r="Q110" s="8"/>
    </row>
    <row r="111" spans="1:17" ht="15" customHeight="1" x14ac:dyDescent="0.25">
      <c r="A111" s="8" t="str">
        <f t="shared" si="21"/>
        <v/>
      </c>
      <c r="B111" s="11"/>
      <c r="C111" s="8"/>
      <c r="D111" s="8"/>
      <c r="E111" s="8"/>
      <c r="F111" s="8"/>
      <c r="G111" s="8"/>
      <c r="H111" s="8"/>
      <c r="I111" s="8"/>
      <c r="J111" s="8"/>
      <c r="K111" s="8" t="str">
        <f t="shared" si="22"/>
        <v/>
      </c>
      <c r="L111" s="8" t="str">
        <f t="shared" si="23"/>
        <v/>
      </c>
      <c r="M111" s="8" t="str">
        <f t="shared" si="24"/>
        <v/>
      </c>
      <c r="N111" s="8" t="str">
        <f t="shared" si="25"/>
        <v/>
      </c>
      <c r="O111" s="8" t="str">
        <f t="shared" si="26"/>
        <v/>
      </c>
      <c r="P111" s="8" t="str">
        <f t="shared" si="27"/>
        <v>N/A</v>
      </c>
      <c r="Q111" s="8"/>
    </row>
    <row r="112" spans="1:17" ht="15" customHeight="1" x14ac:dyDescent="0.25">
      <c r="A112" s="8" t="str">
        <f t="shared" si="21"/>
        <v/>
      </c>
      <c r="B112" s="11"/>
      <c r="C112" s="8"/>
      <c r="D112" s="8"/>
      <c r="E112" s="8"/>
      <c r="F112" s="8"/>
      <c r="G112" s="8"/>
      <c r="H112" s="8"/>
      <c r="I112" s="8"/>
      <c r="J112" s="8"/>
      <c r="K112" s="8" t="str">
        <f t="shared" si="22"/>
        <v/>
      </c>
      <c r="L112" s="8" t="str">
        <f t="shared" si="23"/>
        <v/>
      </c>
      <c r="M112" s="8" t="str">
        <f t="shared" si="24"/>
        <v/>
      </c>
      <c r="N112" s="8" t="str">
        <f t="shared" si="25"/>
        <v/>
      </c>
      <c r="O112" s="8" t="str">
        <f t="shared" si="26"/>
        <v/>
      </c>
      <c r="P112" s="8" t="str">
        <f t="shared" si="27"/>
        <v>N/A</v>
      </c>
      <c r="Q112" s="8"/>
    </row>
    <row r="113" spans="1:17" ht="15" customHeight="1" x14ac:dyDescent="0.25">
      <c r="A113" s="8" t="str">
        <f t="shared" si="21"/>
        <v/>
      </c>
      <c r="B113" s="11"/>
      <c r="C113" s="8"/>
      <c r="D113" s="8"/>
      <c r="E113" s="8"/>
      <c r="F113" s="8"/>
      <c r="G113" s="8"/>
      <c r="H113" s="8"/>
      <c r="I113" s="8"/>
      <c r="J113" s="8"/>
      <c r="K113" s="8" t="str">
        <f t="shared" si="22"/>
        <v/>
      </c>
      <c r="L113" s="8" t="str">
        <f t="shared" si="23"/>
        <v/>
      </c>
      <c r="M113" s="8" t="str">
        <f t="shared" si="24"/>
        <v/>
      </c>
      <c r="N113" s="8" t="str">
        <f t="shared" si="25"/>
        <v/>
      </c>
      <c r="O113" s="8" t="str">
        <f t="shared" si="26"/>
        <v/>
      </c>
      <c r="P113" s="8" t="str">
        <f t="shared" si="27"/>
        <v>N/A</v>
      </c>
      <c r="Q113" s="8"/>
    </row>
    <row r="114" spans="1:17" ht="15" customHeight="1" x14ac:dyDescent="0.25">
      <c r="A114" s="8" t="str">
        <f t="shared" si="21"/>
        <v/>
      </c>
      <c r="B114" s="11"/>
      <c r="C114" s="8"/>
      <c r="D114" s="8"/>
      <c r="E114" s="8"/>
      <c r="F114" s="8"/>
      <c r="G114" s="8"/>
      <c r="H114" s="8"/>
      <c r="I114" s="8"/>
      <c r="J114" s="8"/>
      <c r="K114" s="8" t="str">
        <f t="shared" si="22"/>
        <v/>
      </c>
      <c r="L114" s="8" t="str">
        <f t="shared" si="23"/>
        <v/>
      </c>
      <c r="M114" s="8" t="str">
        <f t="shared" si="24"/>
        <v/>
      </c>
      <c r="N114" s="8" t="str">
        <f t="shared" si="25"/>
        <v/>
      </c>
      <c r="O114" s="8" t="str">
        <f t="shared" si="26"/>
        <v/>
      </c>
      <c r="P114" s="8" t="str">
        <f t="shared" si="27"/>
        <v>N/A</v>
      </c>
      <c r="Q114" s="8"/>
    </row>
    <row r="115" spans="1:17" ht="15" customHeight="1" x14ac:dyDescent="0.25">
      <c r="A115" s="8" t="str">
        <f t="shared" si="21"/>
        <v/>
      </c>
      <c r="B115" s="11"/>
      <c r="C115" s="8"/>
      <c r="D115" s="8"/>
      <c r="E115" s="8"/>
      <c r="F115" s="8"/>
      <c r="G115" s="8"/>
      <c r="H115" s="8"/>
      <c r="I115" s="8"/>
      <c r="J115" s="8"/>
      <c r="K115" s="8" t="str">
        <f t="shared" si="22"/>
        <v/>
      </c>
      <c r="L115" s="8" t="str">
        <f t="shared" si="23"/>
        <v/>
      </c>
      <c r="M115" s="8" t="str">
        <f t="shared" si="24"/>
        <v/>
      </c>
      <c r="N115" s="8" t="str">
        <f t="shared" si="25"/>
        <v/>
      </c>
      <c r="O115" s="8" t="str">
        <f t="shared" si="26"/>
        <v/>
      </c>
      <c r="P115" s="8" t="str">
        <f t="shared" si="27"/>
        <v>N/A</v>
      </c>
      <c r="Q115" s="8"/>
    </row>
    <row r="116" spans="1:17" ht="15" customHeight="1" x14ac:dyDescent="0.25">
      <c r="A116" s="8" t="str">
        <f t="shared" si="21"/>
        <v/>
      </c>
      <c r="B116" s="11"/>
      <c r="C116" s="8"/>
      <c r="D116" s="8"/>
      <c r="E116" s="8"/>
      <c r="F116" s="8"/>
      <c r="G116" s="8"/>
      <c r="H116" s="8"/>
      <c r="I116" s="8"/>
      <c r="J116" s="8"/>
      <c r="K116" s="8" t="str">
        <f t="shared" si="22"/>
        <v/>
      </c>
      <c r="L116" s="8" t="str">
        <f t="shared" si="23"/>
        <v/>
      </c>
      <c r="M116" s="8" t="str">
        <f t="shared" si="24"/>
        <v/>
      </c>
      <c r="N116" s="8" t="str">
        <f t="shared" si="25"/>
        <v/>
      </c>
      <c r="O116" s="8" t="str">
        <f t="shared" si="26"/>
        <v/>
      </c>
      <c r="P116" s="8" t="str">
        <f t="shared" si="27"/>
        <v>N/A</v>
      </c>
      <c r="Q116" s="8"/>
    </row>
    <row r="117" spans="1:17" ht="15" customHeight="1" x14ac:dyDescent="0.25">
      <c r="A117" s="8" t="str">
        <f t="shared" si="21"/>
        <v/>
      </c>
      <c r="B117" s="11"/>
      <c r="C117" s="8"/>
      <c r="D117" s="8"/>
      <c r="E117" s="8"/>
      <c r="F117" s="8"/>
      <c r="G117" s="8"/>
      <c r="H117" s="8"/>
      <c r="I117" s="8"/>
      <c r="J117" s="8"/>
      <c r="K117" s="8" t="str">
        <f t="shared" si="22"/>
        <v/>
      </c>
      <c r="L117" s="8" t="str">
        <f t="shared" si="23"/>
        <v/>
      </c>
      <c r="M117" s="8" t="str">
        <f t="shared" si="24"/>
        <v/>
      </c>
      <c r="N117" s="8" t="str">
        <f t="shared" si="25"/>
        <v/>
      </c>
      <c r="O117" s="8" t="str">
        <f t="shared" si="26"/>
        <v/>
      </c>
      <c r="P117" s="8" t="str">
        <f t="shared" si="27"/>
        <v>N/A</v>
      </c>
      <c r="Q117" s="8"/>
    </row>
    <row r="118" spans="1:17" ht="15" customHeight="1" x14ac:dyDescent="0.25">
      <c r="A118" s="8" t="str">
        <f t="shared" si="21"/>
        <v/>
      </c>
      <c r="B118" s="11"/>
      <c r="C118" s="8"/>
      <c r="D118" s="8"/>
      <c r="E118" s="8"/>
      <c r="F118" s="8"/>
      <c r="G118" s="8"/>
      <c r="H118" s="8"/>
      <c r="I118" s="8"/>
      <c r="J118" s="8"/>
      <c r="K118" s="8" t="str">
        <f t="shared" si="22"/>
        <v/>
      </c>
      <c r="L118" s="8" t="str">
        <f t="shared" si="23"/>
        <v/>
      </c>
      <c r="M118" s="8" t="str">
        <f t="shared" si="24"/>
        <v/>
      </c>
      <c r="N118" s="8" t="str">
        <f t="shared" si="25"/>
        <v/>
      </c>
      <c r="O118" s="8" t="str">
        <f t="shared" si="26"/>
        <v/>
      </c>
      <c r="P118" s="8" t="str">
        <f t="shared" si="27"/>
        <v>N/A</v>
      </c>
      <c r="Q118" s="8"/>
    </row>
    <row r="119" spans="1:17" ht="15" customHeight="1" x14ac:dyDescent="0.25">
      <c r="A119" s="8" t="str">
        <f t="shared" si="21"/>
        <v/>
      </c>
      <c r="B119" s="11"/>
      <c r="C119" s="8"/>
      <c r="D119" s="8"/>
      <c r="E119" s="8"/>
      <c r="F119" s="8"/>
      <c r="G119" s="8"/>
      <c r="H119" s="8"/>
      <c r="I119" s="8"/>
      <c r="J119" s="8"/>
      <c r="K119" s="8" t="str">
        <f t="shared" si="22"/>
        <v/>
      </c>
      <c r="L119" s="8" t="str">
        <f t="shared" si="23"/>
        <v/>
      </c>
      <c r="M119" s="8" t="str">
        <f t="shared" si="24"/>
        <v/>
      </c>
      <c r="N119" s="8" t="str">
        <f t="shared" si="25"/>
        <v/>
      </c>
      <c r="O119" s="8" t="str">
        <f t="shared" si="26"/>
        <v/>
      </c>
      <c r="P119" s="8" t="str">
        <f t="shared" si="27"/>
        <v>N/A</v>
      </c>
      <c r="Q119" s="8"/>
    </row>
    <row r="120" spans="1:17" ht="15" customHeight="1" x14ac:dyDescent="0.25">
      <c r="A120" s="8" t="str">
        <f t="shared" si="21"/>
        <v/>
      </c>
      <c r="B120" s="11"/>
      <c r="C120" s="8"/>
      <c r="D120" s="8"/>
      <c r="E120" s="8"/>
      <c r="F120" s="8"/>
      <c r="G120" s="8"/>
      <c r="H120" s="8"/>
      <c r="I120" s="8"/>
      <c r="J120" s="8"/>
      <c r="K120" s="8" t="str">
        <f t="shared" si="22"/>
        <v/>
      </c>
      <c r="L120" s="8" t="str">
        <f t="shared" si="23"/>
        <v/>
      </c>
      <c r="M120" s="8" t="str">
        <f t="shared" si="24"/>
        <v/>
      </c>
      <c r="N120" s="8" t="str">
        <f t="shared" si="25"/>
        <v/>
      </c>
      <c r="O120" s="8" t="str">
        <f t="shared" si="26"/>
        <v/>
      </c>
      <c r="P120" s="8" t="str">
        <f t="shared" si="27"/>
        <v>N/A</v>
      </c>
      <c r="Q120" s="8"/>
    </row>
    <row r="121" spans="1:17" ht="15" customHeight="1" x14ac:dyDescent="0.25">
      <c r="A121" s="8" t="str">
        <f t="shared" si="21"/>
        <v/>
      </c>
      <c r="B121" s="11"/>
      <c r="C121" s="8"/>
      <c r="D121" s="8"/>
      <c r="E121" s="8"/>
      <c r="F121" s="8"/>
      <c r="G121" s="8"/>
      <c r="H121" s="8"/>
      <c r="I121" s="8"/>
      <c r="J121" s="8"/>
      <c r="K121" s="8" t="str">
        <f t="shared" si="22"/>
        <v/>
      </c>
      <c r="L121" s="8" t="str">
        <f t="shared" si="23"/>
        <v/>
      </c>
      <c r="M121" s="8" t="str">
        <f t="shared" si="24"/>
        <v/>
      </c>
      <c r="N121" s="8" t="str">
        <f t="shared" si="25"/>
        <v/>
      </c>
      <c r="O121" s="8" t="str">
        <f t="shared" si="26"/>
        <v/>
      </c>
      <c r="P121" s="8" t="str">
        <f t="shared" si="27"/>
        <v>N/A</v>
      </c>
      <c r="Q121" s="8"/>
    </row>
    <row r="122" spans="1:17" ht="15" customHeight="1" x14ac:dyDescent="0.25">
      <c r="A122" s="8" t="str">
        <f t="shared" si="21"/>
        <v/>
      </c>
      <c r="B122" s="11"/>
      <c r="C122" s="8"/>
      <c r="D122" s="8"/>
      <c r="E122" s="8"/>
      <c r="F122" s="8"/>
      <c r="G122" s="8"/>
      <c r="H122" s="8"/>
      <c r="I122" s="8"/>
      <c r="J122" s="8"/>
      <c r="K122" s="8" t="str">
        <f t="shared" si="22"/>
        <v/>
      </c>
      <c r="L122" s="8" t="str">
        <f t="shared" si="23"/>
        <v/>
      </c>
      <c r="M122" s="8" t="str">
        <f t="shared" si="24"/>
        <v/>
      </c>
      <c r="N122" s="8" t="str">
        <f t="shared" si="25"/>
        <v/>
      </c>
      <c r="O122" s="8" t="str">
        <f t="shared" si="26"/>
        <v/>
      </c>
      <c r="P122" s="8" t="str">
        <f t="shared" si="27"/>
        <v>N/A</v>
      </c>
      <c r="Q122" s="8"/>
    </row>
    <row r="123" spans="1:17" ht="15" customHeight="1" x14ac:dyDescent="0.25">
      <c r="A123" s="8" t="str">
        <f t="shared" si="21"/>
        <v/>
      </c>
      <c r="B123" s="11"/>
      <c r="C123" s="8"/>
      <c r="D123" s="8"/>
      <c r="E123" s="8"/>
      <c r="F123" s="8"/>
      <c r="G123" s="8"/>
      <c r="H123" s="8"/>
      <c r="I123" s="8"/>
      <c r="J123" s="8"/>
      <c r="K123" s="8" t="str">
        <f t="shared" si="22"/>
        <v/>
      </c>
      <c r="L123" s="8" t="str">
        <f t="shared" si="23"/>
        <v/>
      </c>
      <c r="M123" s="8" t="str">
        <f t="shared" si="24"/>
        <v/>
      </c>
      <c r="N123" s="8" t="str">
        <f t="shared" si="25"/>
        <v/>
      </c>
      <c r="O123" s="8" t="str">
        <f t="shared" si="26"/>
        <v/>
      </c>
      <c r="P123" s="8" t="str">
        <f t="shared" si="27"/>
        <v>N/A</v>
      </c>
      <c r="Q123" s="8"/>
    </row>
    <row r="124" spans="1:17" ht="15" customHeight="1" x14ac:dyDescent="0.25">
      <c r="A124" s="8" t="str">
        <f t="shared" si="21"/>
        <v/>
      </c>
      <c r="B124" s="11"/>
      <c r="C124" s="8"/>
      <c r="D124" s="8"/>
      <c r="E124" s="8"/>
      <c r="F124" s="8"/>
      <c r="G124" s="8"/>
      <c r="H124" s="8"/>
      <c r="I124" s="8"/>
      <c r="J124" s="8"/>
      <c r="K124" s="8" t="str">
        <f t="shared" si="22"/>
        <v/>
      </c>
      <c r="L124" s="8" t="str">
        <f t="shared" si="23"/>
        <v/>
      </c>
      <c r="M124" s="8" t="str">
        <f t="shared" si="24"/>
        <v/>
      </c>
      <c r="N124" s="8" t="str">
        <f t="shared" si="25"/>
        <v/>
      </c>
      <c r="O124" s="8" t="str">
        <f t="shared" si="26"/>
        <v/>
      </c>
      <c r="P124" s="8" t="str">
        <f t="shared" si="27"/>
        <v>N/A</v>
      </c>
      <c r="Q124" s="8"/>
    </row>
    <row r="125" spans="1:17" ht="15" customHeight="1" x14ac:dyDescent="0.25">
      <c r="A125" s="8" t="str">
        <f t="shared" si="21"/>
        <v/>
      </c>
      <c r="B125" s="11"/>
      <c r="C125" s="8"/>
      <c r="D125" s="8"/>
      <c r="E125" s="8"/>
      <c r="F125" s="8"/>
      <c r="G125" s="8"/>
      <c r="H125" s="8"/>
      <c r="I125" s="8"/>
      <c r="J125" s="8"/>
      <c r="K125" s="8" t="str">
        <f t="shared" si="22"/>
        <v/>
      </c>
      <c r="L125" s="8" t="str">
        <f t="shared" si="23"/>
        <v/>
      </c>
      <c r="M125" s="8" t="str">
        <f t="shared" si="24"/>
        <v/>
      </c>
      <c r="N125" s="8" t="str">
        <f t="shared" si="25"/>
        <v/>
      </c>
      <c r="O125" s="8" t="str">
        <f t="shared" si="26"/>
        <v/>
      </c>
      <c r="P125" s="8" t="str">
        <f t="shared" si="27"/>
        <v>N/A</v>
      </c>
      <c r="Q125" s="8"/>
    </row>
    <row r="126" spans="1:17" ht="15" customHeight="1" x14ac:dyDescent="0.25">
      <c r="A126" s="8" t="str">
        <f t="shared" si="21"/>
        <v/>
      </c>
      <c r="B126" s="11"/>
      <c r="C126" s="8"/>
      <c r="D126" s="8"/>
      <c r="E126" s="8"/>
      <c r="F126" s="8"/>
      <c r="G126" s="8"/>
      <c r="H126" s="8"/>
      <c r="I126" s="8"/>
      <c r="J126" s="8"/>
      <c r="K126" s="8" t="str">
        <f t="shared" si="22"/>
        <v/>
      </c>
      <c r="L126" s="8" t="str">
        <f t="shared" si="23"/>
        <v/>
      </c>
      <c r="M126" s="8" t="str">
        <f t="shared" si="24"/>
        <v/>
      </c>
      <c r="N126" s="8" t="str">
        <f t="shared" si="25"/>
        <v/>
      </c>
      <c r="O126" s="8" t="str">
        <f t="shared" si="26"/>
        <v/>
      </c>
      <c r="P126" s="8" t="str">
        <f t="shared" si="27"/>
        <v>N/A</v>
      </c>
      <c r="Q126" s="8"/>
    </row>
    <row r="127" spans="1:17" ht="15" customHeight="1" x14ac:dyDescent="0.25">
      <c r="A127" s="8" t="str">
        <f t="shared" si="21"/>
        <v/>
      </c>
      <c r="B127" s="11"/>
      <c r="C127" s="8"/>
      <c r="D127" s="8"/>
      <c r="E127" s="8"/>
      <c r="F127" s="8"/>
      <c r="G127" s="8"/>
      <c r="H127" s="8"/>
      <c r="I127" s="8"/>
      <c r="J127" s="8"/>
      <c r="K127" s="8" t="str">
        <f t="shared" si="22"/>
        <v/>
      </c>
      <c r="L127" s="8" t="str">
        <f t="shared" si="23"/>
        <v/>
      </c>
      <c r="M127" s="8" t="str">
        <f t="shared" si="24"/>
        <v/>
      </c>
      <c r="N127" s="8" t="str">
        <f t="shared" si="25"/>
        <v/>
      </c>
      <c r="O127" s="8" t="str">
        <f t="shared" si="26"/>
        <v/>
      </c>
      <c r="P127" s="8" t="str">
        <f t="shared" si="27"/>
        <v>N/A</v>
      </c>
      <c r="Q127" s="8"/>
    </row>
    <row r="128" spans="1:17" ht="15" customHeight="1" x14ac:dyDescent="0.25">
      <c r="A128" s="8" t="str">
        <f t="shared" si="21"/>
        <v/>
      </c>
      <c r="B128" s="11"/>
      <c r="C128" s="8"/>
      <c r="D128" s="8"/>
      <c r="E128" s="8"/>
      <c r="F128" s="8"/>
      <c r="G128" s="8"/>
      <c r="H128" s="8"/>
      <c r="I128" s="8"/>
      <c r="J128" s="8"/>
      <c r="K128" s="8" t="str">
        <f t="shared" si="22"/>
        <v/>
      </c>
      <c r="L128" s="8" t="str">
        <f t="shared" si="23"/>
        <v/>
      </c>
      <c r="M128" s="8" t="str">
        <f t="shared" si="24"/>
        <v/>
      </c>
      <c r="N128" s="8" t="str">
        <f t="shared" si="25"/>
        <v/>
      </c>
      <c r="O128" s="8" t="str">
        <f t="shared" si="26"/>
        <v/>
      </c>
      <c r="P128" s="8" t="str">
        <f t="shared" si="27"/>
        <v>N/A</v>
      </c>
      <c r="Q128" s="8"/>
    </row>
    <row r="129" spans="1:17" ht="15" customHeight="1" x14ac:dyDescent="0.25">
      <c r="A129" s="8" t="str">
        <f t="shared" si="21"/>
        <v/>
      </c>
      <c r="B129" s="11"/>
      <c r="C129" s="8"/>
      <c r="D129" s="8"/>
      <c r="E129" s="8"/>
      <c r="F129" s="8"/>
      <c r="G129" s="8"/>
      <c r="H129" s="8"/>
      <c r="I129" s="8"/>
      <c r="J129" s="8"/>
      <c r="K129" s="8" t="str">
        <f t="shared" si="22"/>
        <v/>
      </c>
      <c r="L129" s="8" t="str">
        <f t="shared" si="23"/>
        <v/>
      </c>
      <c r="M129" s="8" t="str">
        <f t="shared" si="24"/>
        <v/>
      </c>
      <c r="N129" s="8" t="str">
        <f t="shared" si="25"/>
        <v/>
      </c>
      <c r="O129" s="8" t="str">
        <f t="shared" si="26"/>
        <v/>
      </c>
      <c r="P129" s="8" t="str">
        <f t="shared" si="27"/>
        <v>N/A</v>
      </c>
      <c r="Q129" s="8"/>
    </row>
    <row r="130" spans="1:17" ht="15" customHeight="1" x14ac:dyDescent="0.25">
      <c r="A130" s="8" t="str">
        <f t="shared" ref="A130:A161" si="28">IF(B130="","",ROW()-1)</f>
        <v/>
      </c>
      <c r="B130" s="11"/>
      <c r="C130" s="8"/>
      <c r="D130" s="8"/>
      <c r="E130" s="8"/>
      <c r="F130" s="8"/>
      <c r="G130" s="8"/>
      <c r="H130" s="8"/>
      <c r="I130" s="8"/>
      <c r="J130" s="8"/>
      <c r="K130" s="8" t="str">
        <f t="shared" ref="K130:K161" si="29">IF(G130="","",IF(G130="SIM",1,0))</f>
        <v/>
      </c>
      <c r="L130" s="8" t="str">
        <f t="shared" ref="L130:L161" si="30">IF(H130="","",IF(H130="SIM",1,0))</f>
        <v/>
      </c>
      <c r="M130" s="8" t="str">
        <f t="shared" ref="M130:M161" si="31">IF(I130="","",IF(I130="SIM",1,0))</f>
        <v/>
      </c>
      <c r="N130" s="8" t="str">
        <f t="shared" ref="N130:N161" si="32">IF(J130="","",IF(J130="Conformidade",1,IF(J130="Não Conformidade",0,IF(J130="Não Conformidade Grave",-1,""))))</f>
        <v/>
      </c>
      <c r="O130" s="8" t="str">
        <f t="shared" ref="O130:O161" si="33">IF(COUNTA(G130:J130)=0,"",ROUND(AVERAGE(K130:N130)*100,0))</f>
        <v/>
      </c>
      <c r="P130" s="8" t="str">
        <f t="shared" ref="P130:P161" si="34">IFERROR(AVERAGEIF(C$2:C$201,C130,O$2:O$201),"N/A")</f>
        <v>N/A</v>
      </c>
      <c r="Q130" s="8"/>
    </row>
    <row r="131" spans="1:17" ht="15" customHeight="1" x14ac:dyDescent="0.25">
      <c r="A131" s="8" t="str">
        <f t="shared" si="28"/>
        <v/>
      </c>
      <c r="B131" s="11"/>
      <c r="C131" s="8"/>
      <c r="D131" s="8"/>
      <c r="E131" s="8"/>
      <c r="F131" s="8"/>
      <c r="G131" s="8"/>
      <c r="H131" s="8"/>
      <c r="I131" s="8"/>
      <c r="J131" s="8"/>
      <c r="K131" s="8" t="str">
        <f t="shared" si="29"/>
        <v/>
      </c>
      <c r="L131" s="8" t="str">
        <f t="shared" si="30"/>
        <v/>
      </c>
      <c r="M131" s="8" t="str">
        <f t="shared" si="31"/>
        <v/>
      </c>
      <c r="N131" s="8" t="str">
        <f t="shared" si="32"/>
        <v/>
      </c>
      <c r="O131" s="8" t="str">
        <f t="shared" si="33"/>
        <v/>
      </c>
      <c r="P131" s="8" t="str">
        <f t="shared" si="34"/>
        <v>N/A</v>
      </c>
      <c r="Q131" s="8"/>
    </row>
    <row r="132" spans="1:17" ht="15" customHeight="1" x14ac:dyDescent="0.25">
      <c r="A132" s="8" t="str">
        <f t="shared" si="28"/>
        <v/>
      </c>
      <c r="B132" s="11"/>
      <c r="C132" s="8"/>
      <c r="D132" s="8"/>
      <c r="E132" s="8"/>
      <c r="F132" s="8"/>
      <c r="G132" s="8"/>
      <c r="H132" s="8"/>
      <c r="I132" s="8"/>
      <c r="J132" s="8"/>
      <c r="K132" s="8" t="str">
        <f t="shared" si="29"/>
        <v/>
      </c>
      <c r="L132" s="8" t="str">
        <f t="shared" si="30"/>
        <v/>
      </c>
      <c r="M132" s="8" t="str">
        <f t="shared" si="31"/>
        <v/>
      </c>
      <c r="N132" s="8" t="str">
        <f t="shared" si="32"/>
        <v/>
      </c>
      <c r="O132" s="8" t="str">
        <f t="shared" si="33"/>
        <v/>
      </c>
      <c r="P132" s="8" t="str">
        <f t="shared" si="34"/>
        <v>N/A</v>
      </c>
      <c r="Q132" s="8"/>
    </row>
    <row r="133" spans="1:17" ht="15" customHeight="1" x14ac:dyDescent="0.25">
      <c r="A133" s="8" t="str">
        <f t="shared" si="28"/>
        <v/>
      </c>
      <c r="B133" s="11"/>
      <c r="C133" s="8"/>
      <c r="D133" s="8"/>
      <c r="E133" s="8"/>
      <c r="F133" s="8"/>
      <c r="G133" s="8"/>
      <c r="H133" s="8"/>
      <c r="I133" s="8"/>
      <c r="J133" s="8"/>
      <c r="K133" s="8" t="str">
        <f t="shared" si="29"/>
        <v/>
      </c>
      <c r="L133" s="8" t="str">
        <f t="shared" si="30"/>
        <v/>
      </c>
      <c r="M133" s="8" t="str">
        <f t="shared" si="31"/>
        <v/>
      </c>
      <c r="N133" s="8" t="str">
        <f t="shared" si="32"/>
        <v/>
      </c>
      <c r="O133" s="8" t="str">
        <f t="shared" si="33"/>
        <v/>
      </c>
      <c r="P133" s="8" t="str">
        <f t="shared" si="34"/>
        <v>N/A</v>
      </c>
      <c r="Q133" s="8"/>
    </row>
    <row r="134" spans="1:17" ht="15" customHeight="1" x14ac:dyDescent="0.25">
      <c r="A134" s="8" t="str">
        <f t="shared" si="28"/>
        <v/>
      </c>
      <c r="B134" s="11"/>
      <c r="C134" s="8"/>
      <c r="D134" s="8"/>
      <c r="E134" s="8"/>
      <c r="F134" s="8"/>
      <c r="G134" s="8"/>
      <c r="H134" s="8"/>
      <c r="I134" s="8"/>
      <c r="J134" s="8"/>
      <c r="K134" s="8" t="str">
        <f t="shared" si="29"/>
        <v/>
      </c>
      <c r="L134" s="8" t="str">
        <f t="shared" si="30"/>
        <v/>
      </c>
      <c r="M134" s="8" t="str">
        <f t="shared" si="31"/>
        <v/>
      </c>
      <c r="N134" s="8" t="str">
        <f t="shared" si="32"/>
        <v/>
      </c>
      <c r="O134" s="8" t="str">
        <f t="shared" si="33"/>
        <v/>
      </c>
      <c r="P134" s="8" t="str">
        <f t="shared" si="34"/>
        <v>N/A</v>
      </c>
      <c r="Q134" s="8"/>
    </row>
    <row r="135" spans="1:17" ht="15" customHeight="1" x14ac:dyDescent="0.25">
      <c r="A135" s="8" t="str">
        <f t="shared" si="28"/>
        <v/>
      </c>
      <c r="B135" s="11"/>
      <c r="C135" s="8"/>
      <c r="D135" s="8"/>
      <c r="E135" s="8"/>
      <c r="F135" s="8"/>
      <c r="G135" s="8"/>
      <c r="H135" s="8"/>
      <c r="I135" s="8"/>
      <c r="J135" s="8"/>
      <c r="K135" s="8" t="str">
        <f t="shared" si="29"/>
        <v/>
      </c>
      <c r="L135" s="8" t="str">
        <f t="shared" si="30"/>
        <v/>
      </c>
      <c r="M135" s="8" t="str">
        <f t="shared" si="31"/>
        <v/>
      </c>
      <c r="N135" s="8" t="str">
        <f t="shared" si="32"/>
        <v/>
      </c>
      <c r="O135" s="8" t="str">
        <f t="shared" si="33"/>
        <v/>
      </c>
      <c r="P135" s="8" t="str">
        <f t="shared" si="34"/>
        <v>N/A</v>
      </c>
      <c r="Q135" s="8"/>
    </row>
    <row r="136" spans="1:17" ht="15" customHeight="1" x14ac:dyDescent="0.25">
      <c r="A136" s="8" t="str">
        <f t="shared" si="28"/>
        <v/>
      </c>
      <c r="B136" s="11"/>
      <c r="C136" s="8"/>
      <c r="D136" s="8"/>
      <c r="E136" s="8"/>
      <c r="F136" s="8"/>
      <c r="G136" s="8"/>
      <c r="H136" s="8"/>
      <c r="I136" s="8"/>
      <c r="J136" s="8"/>
      <c r="K136" s="8" t="str">
        <f t="shared" si="29"/>
        <v/>
      </c>
      <c r="L136" s="8" t="str">
        <f t="shared" si="30"/>
        <v/>
      </c>
      <c r="M136" s="8" t="str">
        <f t="shared" si="31"/>
        <v/>
      </c>
      <c r="N136" s="8" t="str">
        <f t="shared" si="32"/>
        <v/>
      </c>
      <c r="O136" s="8" t="str">
        <f t="shared" si="33"/>
        <v/>
      </c>
      <c r="P136" s="8" t="str">
        <f t="shared" si="34"/>
        <v>N/A</v>
      </c>
      <c r="Q136" s="8"/>
    </row>
    <row r="137" spans="1:17" ht="15" customHeight="1" x14ac:dyDescent="0.25">
      <c r="A137" s="8" t="str">
        <f t="shared" si="28"/>
        <v/>
      </c>
      <c r="B137" s="11"/>
      <c r="C137" s="8"/>
      <c r="D137" s="8"/>
      <c r="E137" s="8"/>
      <c r="F137" s="8"/>
      <c r="G137" s="8"/>
      <c r="H137" s="8"/>
      <c r="I137" s="8"/>
      <c r="J137" s="8"/>
      <c r="K137" s="8" t="str">
        <f t="shared" si="29"/>
        <v/>
      </c>
      <c r="L137" s="8" t="str">
        <f t="shared" si="30"/>
        <v/>
      </c>
      <c r="M137" s="8" t="str">
        <f t="shared" si="31"/>
        <v/>
      </c>
      <c r="N137" s="8" t="str">
        <f t="shared" si="32"/>
        <v/>
      </c>
      <c r="O137" s="8" t="str">
        <f t="shared" si="33"/>
        <v/>
      </c>
      <c r="P137" s="8" t="str">
        <f t="shared" si="34"/>
        <v>N/A</v>
      </c>
      <c r="Q137" s="8"/>
    </row>
    <row r="138" spans="1:17" ht="15" customHeight="1" x14ac:dyDescent="0.25">
      <c r="A138" s="8" t="str">
        <f t="shared" si="28"/>
        <v/>
      </c>
      <c r="B138" s="11"/>
      <c r="C138" s="8"/>
      <c r="D138" s="8"/>
      <c r="E138" s="8"/>
      <c r="F138" s="8"/>
      <c r="G138" s="8"/>
      <c r="H138" s="8"/>
      <c r="I138" s="8"/>
      <c r="J138" s="8"/>
      <c r="K138" s="8" t="str">
        <f t="shared" si="29"/>
        <v/>
      </c>
      <c r="L138" s="8" t="str">
        <f t="shared" si="30"/>
        <v/>
      </c>
      <c r="M138" s="8" t="str">
        <f t="shared" si="31"/>
        <v/>
      </c>
      <c r="N138" s="8" t="str">
        <f t="shared" si="32"/>
        <v/>
      </c>
      <c r="O138" s="8" t="str">
        <f t="shared" si="33"/>
        <v/>
      </c>
      <c r="P138" s="8" t="str">
        <f t="shared" si="34"/>
        <v>N/A</v>
      </c>
      <c r="Q138" s="8"/>
    </row>
    <row r="139" spans="1:17" ht="15" customHeight="1" x14ac:dyDescent="0.25">
      <c r="A139" s="8" t="str">
        <f t="shared" si="28"/>
        <v/>
      </c>
      <c r="B139" s="11"/>
      <c r="C139" s="8"/>
      <c r="D139" s="8"/>
      <c r="E139" s="8"/>
      <c r="F139" s="8"/>
      <c r="G139" s="8"/>
      <c r="H139" s="8"/>
      <c r="I139" s="8"/>
      <c r="J139" s="8"/>
      <c r="K139" s="8" t="str">
        <f t="shared" si="29"/>
        <v/>
      </c>
      <c r="L139" s="8" t="str">
        <f t="shared" si="30"/>
        <v/>
      </c>
      <c r="M139" s="8" t="str">
        <f t="shared" si="31"/>
        <v/>
      </c>
      <c r="N139" s="8" t="str">
        <f t="shared" si="32"/>
        <v/>
      </c>
      <c r="O139" s="8" t="str">
        <f t="shared" si="33"/>
        <v/>
      </c>
      <c r="P139" s="8" t="str">
        <f t="shared" si="34"/>
        <v>N/A</v>
      </c>
      <c r="Q139" s="8"/>
    </row>
    <row r="140" spans="1:17" ht="15" customHeight="1" x14ac:dyDescent="0.25">
      <c r="A140" s="8" t="str">
        <f t="shared" si="28"/>
        <v/>
      </c>
      <c r="B140" s="11"/>
      <c r="C140" s="8"/>
      <c r="D140" s="8"/>
      <c r="E140" s="8"/>
      <c r="F140" s="8"/>
      <c r="G140" s="8"/>
      <c r="H140" s="8"/>
      <c r="I140" s="8"/>
      <c r="J140" s="8"/>
      <c r="K140" s="8" t="str">
        <f t="shared" si="29"/>
        <v/>
      </c>
      <c r="L140" s="8" t="str">
        <f t="shared" si="30"/>
        <v/>
      </c>
      <c r="M140" s="8" t="str">
        <f t="shared" si="31"/>
        <v/>
      </c>
      <c r="N140" s="8" t="str">
        <f t="shared" si="32"/>
        <v/>
      </c>
      <c r="O140" s="8" t="str">
        <f t="shared" si="33"/>
        <v/>
      </c>
      <c r="P140" s="8" t="str">
        <f t="shared" si="34"/>
        <v>N/A</v>
      </c>
      <c r="Q140" s="8"/>
    </row>
    <row r="141" spans="1:17" ht="15" customHeight="1" x14ac:dyDescent="0.25">
      <c r="A141" s="8" t="str">
        <f t="shared" si="28"/>
        <v/>
      </c>
      <c r="B141" s="11"/>
      <c r="C141" s="8"/>
      <c r="D141" s="8"/>
      <c r="E141" s="8"/>
      <c r="F141" s="8"/>
      <c r="G141" s="8"/>
      <c r="H141" s="8"/>
      <c r="I141" s="8"/>
      <c r="J141" s="8"/>
      <c r="K141" s="8" t="str">
        <f t="shared" si="29"/>
        <v/>
      </c>
      <c r="L141" s="8" t="str">
        <f t="shared" si="30"/>
        <v/>
      </c>
      <c r="M141" s="8" t="str">
        <f t="shared" si="31"/>
        <v/>
      </c>
      <c r="N141" s="8" t="str">
        <f t="shared" si="32"/>
        <v/>
      </c>
      <c r="O141" s="8" t="str">
        <f t="shared" si="33"/>
        <v/>
      </c>
      <c r="P141" s="8" t="str">
        <f t="shared" si="34"/>
        <v>N/A</v>
      </c>
      <c r="Q141" s="8"/>
    </row>
    <row r="142" spans="1:17" ht="15" customHeight="1" x14ac:dyDescent="0.25">
      <c r="A142" s="8" t="str">
        <f t="shared" si="28"/>
        <v/>
      </c>
      <c r="B142" s="11"/>
      <c r="C142" s="8"/>
      <c r="D142" s="8"/>
      <c r="E142" s="8"/>
      <c r="F142" s="8"/>
      <c r="G142" s="8"/>
      <c r="H142" s="8"/>
      <c r="I142" s="8"/>
      <c r="J142" s="8"/>
      <c r="K142" s="8" t="str">
        <f t="shared" si="29"/>
        <v/>
      </c>
      <c r="L142" s="8" t="str">
        <f t="shared" si="30"/>
        <v/>
      </c>
      <c r="M142" s="8" t="str">
        <f t="shared" si="31"/>
        <v/>
      </c>
      <c r="N142" s="8" t="str">
        <f t="shared" si="32"/>
        <v/>
      </c>
      <c r="O142" s="8" t="str">
        <f t="shared" si="33"/>
        <v/>
      </c>
      <c r="P142" s="8" t="str">
        <f t="shared" si="34"/>
        <v>N/A</v>
      </c>
      <c r="Q142" s="8"/>
    </row>
    <row r="143" spans="1:17" ht="15" customHeight="1" x14ac:dyDescent="0.25">
      <c r="A143" s="8" t="str">
        <f t="shared" si="28"/>
        <v/>
      </c>
      <c r="B143" s="11"/>
      <c r="C143" s="8"/>
      <c r="D143" s="8"/>
      <c r="E143" s="8"/>
      <c r="F143" s="8"/>
      <c r="G143" s="8"/>
      <c r="H143" s="8"/>
      <c r="I143" s="8"/>
      <c r="J143" s="8"/>
      <c r="K143" s="8" t="str">
        <f t="shared" si="29"/>
        <v/>
      </c>
      <c r="L143" s="8" t="str">
        <f t="shared" si="30"/>
        <v/>
      </c>
      <c r="M143" s="8" t="str">
        <f t="shared" si="31"/>
        <v/>
      </c>
      <c r="N143" s="8" t="str">
        <f t="shared" si="32"/>
        <v/>
      </c>
      <c r="O143" s="8" t="str">
        <f t="shared" si="33"/>
        <v/>
      </c>
      <c r="P143" s="8" t="str">
        <f t="shared" si="34"/>
        <v>N/A</v>
      </c>
      <c r="Q143" s="8"/>
    </row>
    <row r="144" spans="1:17" ht="15" customHeight="1" x14ac:dyDescent="0.25">
      <c r="A144" s="8" t="str">
        <f t="shared" si="28"/>
        <v/>
      </c>
      <c r="B144" s="11"/>
      <c r="C144" s="8"/>
      <c r="D144" s="8"/>
      <c r="E144" s="8"/>
      <c r="F144" s="8"/>
      <c r="G144" s="8"/>
      <c r="H144" s="8"/>
      <c r="I144" s="8"/>
      <c r="J144" s="8"/>
      <c r="K144" s="8" t="str">
        <f t="shared" si="29"/>
        <v/>
      </c>
      <c r="L144" s="8" t="str">
        <f t="shared" si="30"/>
        <v/>
      </c>
      <c r="M144" s="8" t="str">
        <f t="shared" si="31"/>
        <v/>
      </c>
      <c r="N144" s="8" t="str">
        <f t="shared" si="32"/>
        <v/>
      </c>
      <c r="O144" s="8" t="str">
        <f t="shared" si="33"/>
        <v/>
      </c>
      <c r="P144" s="8" t="str">
        <f t="shared" si="34"/>
        <v>N/A</v>
      </c>
      <c r="Q144" s="8"/>
    </row>
    <row r="145" spans="1:17" ht="15" customHeight="1" x14ac:dyDescent="0.25">
      <c r="A145" s="8" t="str">
        <f t="shared" si="28"/>
        <v/>
      </c>
      <c r="B145" s="11"/>
      <c r="C145" s="8"/>
      <c r="D145" s="8"/>
      <c r="E145" s="8"/>
      <c r="F145" s="8"/>
      <c r="G145" s="8"/>
      <c r="H145" s="8"/>
      <c r="I145" s="8"/>
      <c r="J145" s="8"/>
      <c r="K145" s="8" t="str">
        <f t="shared" si="29"/>
        <v/>
      </c>
      <c r="L145" s="8" t="str">
        <f t="shared" si="30"/>
        <v/>
      </c>
      <c r="M145" s="8" t="str">
        <f t="shared" si="31"/>
        <v/>
      </c>
      <c r="N145" s="8" t="str">
        <f t="shared" si="32"/>
        <v/>
      </c>
      <c r="O145" s="8" t="str">
        <f t="shared" si="33"/>
        <v/>
      </c>
      <c r="P145" s="8" t="str">
        <f t="shared" si="34"/>
        <v>N/A</v>
      </c>
      <c r="Q145" s="8"/>
    </row>
    <row r="146" spans="1:17" ht="15" customHeight="1" x14ac:dyDescent="0.25">
      <c r="A146" s="8" t="str">
        <f t="shared" si="28"/>
        <v/>
      </c>
      <c r="B146" s="11"/>
      <c r="C146" s="8"/>
      <c r="D146" s="8"/>
      <c r="E146" s="8"/>
      <c r="F146" s="8"/>
      <c r="G146" s="8"/>
      <c r="H146" s="8"/>
      <c r="I146" s="8"/>
      <c r="J146" s="8"/>
      <c r="K146" s="8" t="str">
        <f t="shared" si="29"/>
        <v/>
      </c>
      <c r="L146" s="8" t="str">
        <f t="shared" si="30"/>
        <v/>
      </c>
      <c r="M146" s="8" t="str">
        <f t="shared" si="31"/>
        <v/>
      </c>
      <c r="N146" s="8" t="str">
        <f t="shared" si="32"/>
        <v/>
      </c>
      <c r="O146" s="8" t="str">
        <f t="shared" si="33"/>
        <v/>
      </c>
      <c r="P146" s="8" t="str">
        <f t="shared" si="34"/>
        <v>N/A</v>
      </c>
      <c r="Q146" s="8"/>
    </row>
    <row r="147" spans="1:17" ht="15" customHeight="1" x14ac:dyDescent="0.25">
      <c r="A147" s="8" t="str">
        <f t="shared" si="28"/>
        <v/>
      </c>
      <c r="B147" s="11"/>
      <c r="C147" s="8"/>
      <c r="D147" s="8"/>
      <c r="E147" s="8"/>
      <c r="F147" s="8"/>
      <c r="G147" s="8"/>
      <c r="H147" s="8"/>
      <c r="I147" s="8"/>
      <c r="J147" s="8"/>
      <c r="K147" s="8" t="str">
        <f t="shared" si="29"/>
        <v/>
      </c>
      <c r="L147" s="8" t="str">
        <f t="shared" si="30"/>
        <v/>
      </c>
      <c r="M147" s="8" t="str">
        <f t="shared" si="31"/>
        <v/>
      </c>
      <c r="N147" s="8" t="str">
        <f t="shared" si="32"/>
        <v/>
      </c>
      <c r="O147" s="8" t="str">
        <f t="shared" si="33"/>
        <v/>
      </c>
      <c r="P147" s="8" t="str">
        <f t="shared" si="34"/>
        <v>N/A</v>
      </c>
      <c r="Q147" s="8"/>
    </row>
    <row r="148" spans="1:17" ht="15" customHeight="1" x14ac:dyDescent="0.25">
      <c r="A148" s="8" t="str">
        <f t="shared" si="28"/>
        <v/>
      </c>
      <c r="B148" s="11"/>
      <c r="C148" s="8"/>
      <c r="D148" s="8"/>
      <c r="E148" s="8"/>
      <c r="F148" s="8"/>
      <c r="G148" s="8"/>
      <c r="H148" s="8"/>
      <c r="I148" s="8"/>
      <c r="J148" s="8"/>
      <c r="K148" s="8" t="str">
        <f t="shared" si="29"/>
        <v/>
      </c>
      <c r="L148" s="8" t="str">
        <f t="shared" si="30"/>
        <v/>
      </c>
      <c r="M148" s="8" t="str">
        <f t="shared" si="31"/>
        <v/>
      </c>
      <c r="N148" s="8" t="str">
        <f t="shared" si="32"/>
        <v/>
      </c>
      <c r="O148" s="8" t="str">
        <f t="shared" si="33"/>
        <v/>
      </c>
      <c r="P148" s="8" t="str">
        <f t="shared" si="34"/>
        <v>N/A</v>
      </c>
      <c r="Q148" s="8"/>
    </row>
    <row r="149" spans="1:17" ht="15" customHeight="1" x14ac:dyDescent="0.25">
      <c r="A149" s="8" t="str">
        <f t="shared" si="28"/>
        <v/>
      </c>
      <c r="B149" s="11"/>
      <c r="C149" s="8"/>
      <c r="D149" s="8"/>
      <c r="E149" s="8"/>
      <c r="F149" s="8"/>
      <c r="G149" s="8"/>
      <c r="H149" s="8"/>
      <c r="I149" s="8"/>
      <c r="J149" s="8"/>
      <c r="K149" s="8" t="str">
        <f t="shared" si="29"/>
        <v/>
      </c>
      <c r="L149" s="8" t="str">
        <f t="shared" si="30"/>
        <v/>
      </c>
      <c r="M149" s="8" t="str">
        <f t="shared" si="31"/>
        <v/>
      </c>
      <c r="N149" s="8" t="str">
        <f t="shared" si="32"/>
        <v/>
      </c>
      <c r="O149" s="8" t="str">
        <f t="shared" si="33"/>
        <v/>
      </c>
      <c r="P149" s="8" t="str">
        <f t="shared" si="34"/>
        <v>N/A</v>
      </c>
      <c r="Q149" s="8"/>
    </row>
    <row r="150" spans="1:17" ht="15" customHeight="1" x14ac:dyDescent="0.25">
      <c r="A150" s="8" t="str">
        <f t="shared" si="28"/>
        <v/>
      </c>
      <c r="B150" s="11"/>
      <c r="C150" s="8"/>
      <c r="D150" s="8"/>
      <c r="E150" s="8"/>
      <c r="F150" s="8"/>
      <c r="G150" s="8"/>
      <c r="H150" s="8"/>
      <c r="I150" s="8"/>
      <c r="J150" s="8"/>
      <c r="K150" s="8" t="str">
        <f t="shared" si="29"/>
        <v/>
      </c>
      <c r="L150" s="8" t="str">
        <f t="shared" si="30"/>
        <v/>
      </c>
      <c r="M150" s="8" t="str">
        <f t="shared" si="31"/>
        <v/>
      </c>
      <c r="N150" s="8" t="str">
        <f t="shared" si="32"/>
        <v/>
      </c>
      <c r="O150" s="8" t="str">
        <f t="shared" si="33"/>
        <v/>
      </c>
      <c r="P150" s="8" t="str">
        <f t="shared" si="34"/>
        <v>N/A</v>
      </c>
      <c r="Q150" s="8"/>
    </row>
    <row r="151" spans="1:17" ht="15" customHeight="1" x14ac:dyDescent="0.25">
      <c r="A151" s="8" t="str">
        <f t="shared" si="28"/>
        <v/>
      </c>
      <c r="B151" s="11"/>
      <c r="C151" s="8"/>
      <c r="D151" s="8"/>
      <c r="E151" s="8"/>
      <c r="F151" s="8"/>
      <c r="G151" s="8"/>
      <c r="H151" s="8"/>
      <c r="I151" s="8"/>
      <c r="J151" s="8"/>
      <c r="K151" s="8" t="str">
        <f t="shared" si="29"/>
        <v/>
      </c>
      <c r="L151" s="8" t="str">
        <f t="shared" si="30"/>
        <v/>
      </c>
      <c r="M151" s="8" t="str">
        <f t="shared" si="31"/>
        <v/>
      </c>
      <c r="N151" s="8" t="str">
        <f t="shared" si="32"/>
        <v/>
      </c>
      <c r="O151" s="8" t="str">
        <f t="shared" si="33"/>
        <v/>
      </c>
      <c r="P151" s="8" t="str">
        <f t="shared" si="34"/>
        <v>N/A</v>
      </c>
      <c r="Q151" s="8"/>
    </row>
    <row r="152" spans="1:17" ht="15" customHeight="1" x14ac:dyDescent="0.25">
      <c r="A152" s="8" t="str">
        <f t="shared" si="28"/>
        <v/>
      </c>
      <c r="B152" s="11"/>
      <c r="C152" s="8"/>
      <c r="D152" s="8"/>
      <c r="E152" s="8"/>
      <c r="F152" s="8"/>
      <c r="G152" s="8"/>
      <c r="H152" s="8"/>
      <c r="I152" s="8"/>
      <c r="J152" s="8"/>
      <c r="K152" s="8" t="str">
        <f t="shared" si="29"/>
        <v/>
      </c>
      <c r="L152" s="8" t="str">
        <f t="shared" si="30"/>
        <v/>
      </c>
      <c r="M152" s="8" t="str">
        <f t="shared" si="31"/>
        <v/>
      </c>
      <c r="N152" s="8" t="str">
        <f t="shared" si="32"/>
        <v/>
      </c>
      <c r="O152" s="8" t="str">
        <f t="shared" si="33"/>
        <v/>
      </c>
      <c r="P152" s="8" t="str">
        <f t="shared" si="34"/>
        <v>N/A</v>
      </c>
      <c r="Q152" s="8"/>
    </row>
    <row r="153" spans="1:17" ht="15" customHeight="1" x14ac:dyDescent="0.25">
      <c r="A153" s="8" t="str">
        <f t="shared" si="28"/>
        <v/>
      </c>
      <c r="B153" s="11"/>
      <c r="C153" s="8"/>
      <c r="D153" s="8"/>
      <c r="E153" s="8"/>
      <c r="F153" s="8"/>
      <c r="G153" s="8"/>
      <c r="H153" s="8"/>
      <c r="I153" s="8"/>
      <c r="J153" s="8"/>
      <c r="K153" s="8" t="str">
        <f t="shared" si="29"/>
        <v/>
      </c>
      <c r="L153" s="8" t="str">
        <f t="shared" si="30"/>
        <v/>
      </c>
      <c r="M153" s="8" t="str">
        <f t="shared" si="31"/>
        <v/>
      </c>
      <c r="N153" s="8" t="str">
        <f t="shared" si="32"/>
        <v/>
      </c>
      <c r="O153" s="8" t="str">
        <f t="shared" si="33"/>
        <v/>
      </c>
      <c r="P153" s="8" t="str">
        <f t="shared" si="34"/>
        <v>N/A</v>
      </c>
      <c r="Q153" s="8"/>
    </row>
    <row r="154" spans="1:17" ht="15" customHeight="1" x14ac:dyDescent="0.25">
      <c r="A154" s="8" t="str">
        <f t="shared" si="28"/>
        <v/>
      </c>
      <c r="B154" s="11"/>
      <c r="C154" s="8"/>
      <c r="D154" s="8"/>
      <c r="E154" s="8"/>
      <c r="F154" s="8"/>
      <c r="G154" s="8"/>
      <c r="H154" s="8"/>
      <c r="I154" s="8"/>
      <c r="J154" s="8"/>
      <c r="K154" s="8" t="str">
        <f t="shared" si="29"/>
        <v/>
      </c>
      <c r="L154" s="8" t="str">
        <f t="shared" si="30"/>
        <v/>
      </c>
      <c r="M154" s="8" t="str">
        <f t="shared" si="31"/>
        <v/>
      </c>
      <c r="N154" s="8" t="str">
        <f t="shared" si="32"/>
        <v/>
      </c>
      <c r="O154" s="8" t="str">
        <f t="shared" si="33"/>
        <v/>
      </c>
      <c r="P154" s="8" t="str">
        <f t="shared" si="34"/>
        <v>N/A</v>
      </c>
      <c r="Q154" s="8"/>
    </row>
    <row r="155" spans="1:17" ht="15" customHeight="1" x14ac:dyDescent="0.25">
      <c r="A155" s="8" t="str">
        <f t="shared" si="28"/>
        <v/>
      </c>
      <c r="B155" s="11"/>
      <c r="C155" s="8"/>
      <c r="D155" s="8"/>
      <c r="E155" s="8"/>
      <c r="F155" s="8"/>
      <c r="G155" s="8"/>
      <c r="H155" s="8"/>
      <c r="I155" s="8"/>
      <c r="J155" s="8"/>
      <c r="K155" s="8" t="str">
        <f t="shared" si="29"/>
        <v/>
      </c>
      <c r="L155" s="8" t="str">
        <f t="shared" si="30"/>
        <v/>
      </c>
      <c r="M155" s="8" t="str">
        <f t="shared" si="31"/>
        <v/>
      </c>
      <c r="N155" s="8" t="str">
        <f t="shared" si="32"/>
        <v/>
      </c>
      <c r="O155" s="8" t="str">
        <f t="shared" si="33"/>
        <v/>
      </c>
      <c r="P155" s="8" t="str">
        <f t="shared" si="34"/>
        <v>N/A</v>
      </c>
      <c r="Q155" s="8"/>
    </row>
    <row r="156" spans="1:17" ht="15" customHeight="1" x14ac:dyDescent="0.25">
      <c r="A156" s="8" t="str">
        <f t="shared" si="28"/>
        <v/>
      </c>
      <c r="B156" s="11"/>
      <c r="C156" s="8"/>
      <c r="D156" s="8"/>
      <c r="E156" s="8"/>
      <c r="F156" s="8"/>
      <c r="G156" s="8"/>
      <c r="H156" s="8"/>
      <c r="I156" s="8"/>
      <c r="J156" s="8"/>
      <c r="K156" s="8" t="str">
        <f t="shared" si="29"/>
        <v/>
      </c>
      <c r="L156" s="8" t="str">
        <f t="shared" si="30"/>
        <v/>
      </c>
      <c r="M156" s="8" t="str">
        <f t="shared" si="31"/>
        <v/>
      </c>
      <c r="N156" s="8" t="str">
        <f t="shared" si="32"/>
        <v/>
      </c>
      <c r="O156" s="8" t="str">
        <f t="shared" si="33"/>
        <v/>
      </c>
      <c r="P156" s="8" t="str">
        <f t="shared" si="34"/>
        <v>N/A</v>
      </c>
      <c r="Q156" s="8"/>
    </row>
    <row r="157" spans="1:17" ht="15" customHeight="1" x14ac:dyDescent="0.25">
      <c r="A157" s="8" t="str">
        <f t="shared" si="28"/>
        <v/>
      </c>
      <c r="B157" s="11"/>
      <c r="C157" s="8"/>
      <c r="D157" s="8"/>
      <c r="E157" s="8"/>
      <c r="F157" s="8"/>
      <c r="G157" s="8"/>
      <c r="H157" s="8"/>
      <c r="I157" s="8"/>
      <c r="J157" s="8"/>
      <c r="K157" s="8" t="str">
        <f t="shared" si="29"/>
        <v/>
      </c>
      <c r="L157" s="8" t="str">
        <f t="shared" si="30"/>
        <v/>
      </c>
      <c r="M157" s="8" t="str">
        <f t="shared" si="31"/>
        <v/>
      </c>
      <c r="N157" s="8" t="str">
        <f t="shared" si="32"/>
        <v/>
      </c>
      <c r="O157" s="8" t="str">
        <f t="shared" si="33"/>
        <v/>
      </c>
      <c r="P157" s="8" t="str">
        <f t="shared" si="34"/>
        <v>N/A</v>
      </c>
      <c r="Q157" s="8"/>
    </row>
    <row r="158" spans="1:17" ht="15" customHeight="1" x14ac:dyDescent="0.25">
      <c r="A158" s="8" t="str">
        <f t="shared" si="28"/>
        <v/>
      </c>
      <c r="B158" s="11"/>
      <c r="C158" s="8"/>
      <c r="D158" s="8"/>
      <c r="E158" s="8"/>
      <c r="F158" s="8"/>
      <c r="G158" s="8"/>
      <c r="H158" s="8"/>
      <c r="I158" s="8"/>
      <c r="J158" s="8"/>
      <c r="K158" s="8" t="str">
        <f t="shared" si="29"/>
        <v/>
      </c>
      <c r="L158" s="8" t="str">
        <f t="shared" si="30"/>
        <v/>
      </c>
      <c r="M158" s="8" t="str">
        <f t="shared" si="31"/>
        <v/>
      </c>
      <c r="N158" s="8" t="str">
        <f t="shared" si="32"/>
        <v/>
      </c>
      <c r="O158" s="8" t="str">
        <f t="shared" si="33"/>
        <v/>
      </c>
      <c r="P158" s="8" t="str">
        <f t="shared" si="34"/>
        <v>N/A</v>
      </c>
      <c r="Q158" s="8"/>
    </row>
    <row r="159" spans="1:17" ht="15" customHeight="1" x14ac:dyDescent="0.25">
      <c r="A159" s="8" t="str">
        <f t="shared" si="28"/>
        <v/>
      </c>
      <c r="B159" s="11"/>
      <c r="C159" s="8"/>
      <c r="D159" s="8"/>
      <c r="E159" s="8"/>
      <c r="F159" s="8"/>
      <c r="G159" s="8"/>
      <c r="H159" s="8"/>
      <c r="I159" s="8"/>
      <c r="J159" s="8"/>
      <c r="K159" s="8" t="str">
        <f t="shared" si="29"/>
        <v/>
      </c>
      <c r="L159" s="8" t="str">
        <f t="shared" si="30"/>
        <v/>
      </c>
      <c r="M159" s="8" t="str">
        <f t="shared" si="31"/>
        <v/>
      </c>
      <c r="N159" s="8" t="str">
        <f t="shared" si="32"/>
        <v/>
      </c>
      <c r="O159" s="8" t="str">
        <f t="shared" si="33"/>
        <v/>
      </c>
      <c r="P159" s="8" t="str">
        <f t="shared" si="34"/>
        <v>N/A</v>
      </c>
      <c r="Q159" s="8"/>
    </row>
    <row r="160" spans="1:17" ht="15" customHeight="1" x14ac:dyDescent="0.25">
      <c r="A160" s="8" t="str">
        <f t="shared" si="28"/>
        <v/>
      </c>
      <c r="B160" s="11"/>
      <c r="C160" s="8"/>
      <c r="D160" s="8"/>
      <c r="E160" s="8"/>
      <c r="F160" s="8"/>
      <c r="G160" s="8"/>
      <c r="H160" s="8"/>
      <c r="I160" s="8"/>
      <c r="J160" s="8"/>
      <c r="K160" s="8" t="str">
        <f t="shared" si="29"/>
        <v/>
      </c>
      <c r="L160" s="8" t="str">
        <f t="shared" si="30"/>
        <v/>
      </c>
      <c r="M160" s="8" t="str">
        <f t="shared" si="31"/>
        <v/>
      </c>
      <c r="N160" s="8" t="str">
        <f t="shared" si="32"/>
        <v/>
      </c>
      <c r="O160" s="8" t="str">
        <f t="shared" si="33"/>
        <v/>
      </c>
      <c r="P160" s="8" t="str">
        <f t="shared" si="34"/>
        <v>N/A</v>
      </c>
      <c r="Q160" s="8"/>
    </row>
    <row r="161" spans="1:17" ht="15" customHeight="1" x14ac:dyDescent="0.25">
      <c r="A161" s="8" t="str">
        <f t="shared" si="28"/>
        <v/>
      </c>
      <c r="B161" s="11"/>
      <c r="C161" s="8"/>
      <c r="D161" s="8"/>
      <c r="E161" s="8"/>
      <c r="F161" s="8"/>
      <c r="G161" s="8"/>
      <c r="H161" s="8"/>
      <c r="I161" s="8"/>
      <c r="J161" s="8"/>
      <c r="K161" s="8" t="str">
        <f t="shared" si="29"/>
        <v/>
      </c>
      <c r="L161" s="8" t="str">
        <f t="shared" si="30"/>
        <v/>
      </c>
      <c r="M161" s="8" t="str">
        <f t="shared" si="31"/>
        <v/>
      </c>
      <c r="N161" s="8" t="str">
        <f t="shared" si="32"/>
        <v/>
      </c>
      <c r="O161" s="8" t="str">
        <f t="shared" si="33"/>
        <v/>
      </c>
      <c r="P161" s="8" t="str">
        <f t="shared" si="34"/>
        <v>N/A</v>
      </c>
      <c r="Q161" s="8"/>
    </row>
    <row r="162" spans="1:17" ht="15" customHeight="1" x14ac:dyDescent="0.25">
      <c r="A162" s="8" t="str">
        <f t="shared" ref="A162:A193" si="35">IF(B162="","",ROW()-1)</f>
        <v/>
      </c>
      <c r="B162" s="11"/>
      <c r="C162" s="8"/>
      <c r="D162" s="8"/>
      <c r="E162" s="8"/>
      <c r="F162" s="8"/>
      <c r="G162" s="8"/>
      <c r="H162" s="8"/>
      <c r="I162" s="8"/>
      <c r="J162" s="8"/>
      <c r="K162" s="8" t="str">
        <f t="shared" ref="K162:K193" si="36">IF(G162="","",IF(G162="SIM",1,0))</f>
        <v/>
      </c>
      <c r="L162" s="8" t="str">
        <f t="shared" ref="L162:L193" si="37">IF(H162="","",IF(H162="SIM",1,0))</f>
        <v/>
      </c>
      <c r="M162" s="8" t="str">
        <f t="shared" ref="M162:M193" si="38">IF(I162="","",IF(I162="SIM",1,0))</f>
        <v/>
      </c>
      <c r="N162" s="8" t="str">
        <f t="shared" ref="N162:N193" si="39">IF(J162="","",IF(J162="Conformidade",1,IF(J162="Não Conformidade",0,IF(J162="Não Conformidade Grave",-1,""))))</f>
        <v/>
      </c>
      <c r="O162" s="8" t="str">
        <f t="shared" ref="O162:O193" si="40">IF(COUNTA(G162:J162)=0,"",ROUND(AVERAGE(K162:N162)*100,0))</f>
        <v/>
      </c>
      <c r="P162" s="8" t="str">
        <f t="shared" ref="P162:P193" si="41">IFERROR(AVERAGEIF(C$2:C$201,C162,O$2:O$201),"N/A")</f>
        <v>N/A</v>
      </c>
      <c r="Q162" s="8"/>
    </row>
    <row r="163" spans="1:17" ht="15" customHeight="1" x14ac:dyDescent="0.25">
      <c r="A163" s="8" t="str">
        <f t="shared" si="35"/>
        <v/>
      </c>
      <c r="B163" s="11"/>
      <c r="C163" s="8"/>
      <c r="D163" s="8"/>
      <c r="E163" s="8"/>
      <c r="F163" s="8"/>
      <c r="G163" s="8"/>
      <c r="H163" s="8"/>
      <c r="I163" s="8"/>
      <c r="J163" s="8"/>
      <c r="K163" s="8" t="str">
        <f t="shared" si="36"/>
        <v/>
      </c>
      <c r="L163" s="8" t="str">
        <f t="shared" si="37"/>
        <v/>
      </c>
      <c r="M163" s="8" t="str">
        <f t="shared" si="38"/>
        <v/>
      </c>
      <c r="N163" s="8" t="str">
        <f t="shared" si="39"/>
        <v/>
      </c>
      <c r="O163" s="8" t="str">
        <f t="shared" si="40"/>
        <v/>
      </c>
      <c r="P163" s="8" t="str">
        <f t="shared" si="41"/>
        <v>N/A</v>
      </c>
      <c r="Q163" s="8"/>
    </row>
    <row r="164" spans="1:17" ht="15" customHeight="1" x14ac:dyDescent="0.25">
      <c r="A164" s="8" t="str">
        <f t="shared" si="35"/>
        <v/>
      </c>
      <c r="B164" s="11"/>
      <c r="C164" s="8"/>
      <c r="D164" s="8"/>
      <c r="E164" s="8"/>
      <c r="F164" s="8"/>
      <c r="G164" s="8"/>
      <c r="H164" s="8"/>
      <c r="I164" s="8"/>
      <c r="J164" s="8"/>
      <c r="K164" s="8" t="str">
        <f t="shared" si="36"/>
        <v/>
      </c>
      <c r="L164" s="8" t="str">
        <f t="shared" si="37"/>
        <v/>
      </c>
      <c r="M164" s="8" t="str">
        <f t="shared" si="38"/>
        <v/>
      </c>
      <c r="N164" s="8" t="str">
        <f t="shared" si="39"/>
        <v/>
      </c>
      <c r="O164" s="8" t="str">
        <f t="shared" si="40"/>
        <v/>
      </c>
      <c r="P164" s="8" t="str">
        <f t="shared" si="41"/>
        <v>N/A</v>
      </c>
      <c r="Q164" s="8"/>
    </row>
    <row r="165" spans="1:17" ht="15" customHeight="1" x14ac:dyDescent="0.25">
      <c r="A165" s="8" t="str">
        <f t="shared" si="35"/>
        <v/>
      </c>
      <c r="B165" s="11"/>
      <c r="C165" s="8"/>
      <c r="D165" s="8"/>
      <c r="E165" s="8"/>
      <c r="F165" s="8"/>
      <c r="G165" s="8"/>
      <c r="H165" s="8"/>
      <c r="I165" s="8"/>
      <c r="J165" s="8"/>
      <c r="K165" s="8" t="str">
        <f t="shared" si="36"/>
        <v/>
      </c>
      <c r="L165" s="8" t="str">
        <f t="shared" si="37"/>
        <v/>
      </c>
      <c r="M165" s="8" t="str">
        <f t="shared" si="38"/>
        <v/>
      </c>
      <c r="N165" s="8" t="str">
        <f t="shared" si="39"/>
        <v/>
      </c>
      <c r="O165" s="8" t="str">
        <f t="shared" si="40"/>
        <v/>
      </c>
      <c r="P165" s="8" t="str">
        <f t="shared" si="41"/>
        <v>N/A</v>
      </c>
      <c r="Q165" s="8"/>
    </row>
    <row r="166" spans="1:17" ht="15" customHeight="1" x14ac:dyDescent="0.25">
      <c r="A166" s="8" t="str">
        <f t="shared" si="35"/>
        <v/>
      </c>
      <c r="B166" s="11"/>
      <c r="C166" s="8"/>
      <c r="D166" s="8"/>
      <c r="E166" s="8"/>
      <c r="F166" s="8"/>
      <c r="G166" s="8"/>
      <c r="H166" s="8"/>
      <c r="I166" s="8"/>
      <c r="J166" s="8"/>
      <c r="K166" s="8" t="str">
        <f t="shared" si="36"/>
        <v/>
      </c>
      <c r="L166" s="8" t="str">
        <f t="shared" si="37"/>
        <v/>
      </c>
      <c r="M166" s="8" t="str">
        <f t="shared" si="38"/>
        <v/>
      </c>
      <c r="N166" s="8" t="str">
        <f t="shared" si="39"/>
        <v/>
      </c>
      <c r="O166" s="8" t="str">
        <f t="shared" si="40"/>
        <v/>
      </c>
      <c r="P166" s="8" t="str">
        <f t="shared" si="41"/>
        <v>N/A</v>
      </c>
      <c r="Q166" s="8"/>
    </row>
    <row r="167" spans="1:17" ht="15" customHeight="1" x14ac:dyDescent="0.25">
      <c r="A167" s="8" t="str">
        <f t="shared" si="35"/>
        <v/>
      </c>
      <c r="B167" s="11"/>
      <c r="C167" s="8"/>
      <c r="D167" s="8"/>
      <c r="E167" s="8"/>
      <c r="F167" s="8"/>
      <c r="G167" s="8"/>
      <c r="H167" s="8"/>
      <c r="I167" s="8"/>
      <c r="J167" s="8"/>
      <c r="K167" s="8" t="str">
        <f t="shared" si="36"/>
        <v/>
      </c>
      <c r="L167" s="8" t="str">
        <f t="shared" si="37"/>
        <v/>
      </c>
      <c r="M167" s="8" t="str">
        <f t="shared" si="38"/>
        <v/>
      </c>
      <c r="N167" s="8" t="str">
        <f t="shared" si="39"/>
        <v/>
      </c>
      <c r="O167" s="8" t="str">
        <f t="shared" si="40"/>
        <v/>
      </c>
      <c r="P167" s="8" t="str">
        <f t="shared" si="41"/>
        <v>N/A</v>
      </c>
      <c r="Q167" s="8"/>
    </row>
    <row r="168" spans="1:17" ht="15" customHeight="1" x14ac:dyDescent="0.25">
      <c r="A168" s="8" t="str">
        <f t="shared" si="35"/>
        <v/>
      </c>
      <c r="B168" s="11"/>
      <c r="C168" s="8"/>
      <c r="D168" s="8"/>
      <c r="E168" s="8"/>
      <c r="F168" s="8"/>
      <c r="G168" s="8"/>
      <c r="H168" s="8"/>
      <c r="I168" s="8"/>
      <c r="J168" s="8"/>
      <c r="K168" s="8" t="str">
        <f t="shared" si="36"/>
        <v/>
      </c>
      <c r="L168" s="8" t="str">
        <f t="shared" si="37"/>
        <v/>
      </c>
      <c r="M168" s="8" t="str">
        <f t="shared" si="38"/>
        <v/>
      </c>
      <c r="N168" s="8" t="str">
        <f t="shared" si="39"/>
        <v/>
      </c>
      <c r="O168" s="8" t="str">
        <f t="shared" si="40"/>
        <v/>
      </c>
      <c r="P168" s="8" t="str">
        <f t="shared" si="41"/>
        <v>N/A</v>
      </c>
      <c r="Q168" s="8"/>
    </row>
    <row r="169" spans="1:17" ht="15" customHeight="1" x14ac:dyDescent="0.25">
      <c r="A169" s="8" t="str">
        <f t="shared" si="35"/>
        <v/>
      </c>
      <c r="B169" s="11"/>
      <c r="C169" s="8"/>
      <c r="D169" s="8"/>
      <c r="E169" s="8"/>
      <c r="F169" s="8"/>
      <c r="G169" s="8"/>
      <c r="H169" s="8"/>
      <c r="I169" s="8"/>
      <c r="J169" s="8"/>
      <c r="K169" s="8" t="str">
        <f t="shared" si="36"/>
        <v/>
      </c>
      <c r="L169" s="8" t="str">
        <f t="shared" si="37"/>
        <v/>
      </c>
      <c r="M169" s="8" t="str">
        <f t="shared" si="38"/>
        <v/>
      </c>
      <c r="N169" s="8" t="str">
        <f t="shared" si="39"/>
        <v/>
      </c>
      <c r="O169" s="8" t="str">
        <f t="shared" si="40"/>
        <v/>
      </c>
      <c r="P169" s="8" t="str">
        <f t="shared" si="41"/>
        <v>N/A</v>
      </c>
      <c r="Q169" s="8"/>
    </row>
    <row r="170" spans="1:17" ht="15" customHeight="1" x14ac:dyDescent="0.25">
      <c r="A170" s="8" t="str">
        <f t="shared" si="35"/>
        <v/>
      </c>
      <c r="B170" s="11"/>
      <c r="C170" s="8"/>
      <c r="D170" s="8"/>
      <c r="E170" s="8"/>
      <c r="F170" s="8"/>
      <c r="G170" s="8"/>
      <c r="H170" s="8"/>
      <c r="I170" s="8"/>
      <c r="J170" s="8"/>
      <c r="K170" s="8" t="str">
        <f t="shared" si="36"/>
        <v/>
      </c>
      <c r="L170" s="8" t="str">
        <f t="shared" si="37"/>
        <v/>
      </c>
      <c r="M170" s="8" t="str">
        <f t="shared" si="38"/>
        <v/>
      </c>
      <c r="N170" s="8" t="str">
        <f t="shared" si="39"/>
        <v/>
      </c>
      <c r="O170" s="8" t="str">
        <f t="shared" si="40"/>
        <v/>
      </c>
      <c r="P170" s="8" t="str">
        <f t="shared" si="41"/>
        <v>N/A</v>
      </c>
      <c r="Q170" s="8"/>
    </row>
    <row r="171" spans="1:17" ht="15" customHeight="1" x14ac:dyDescent="0.25">
      <c r="A171" s="8" t="str">
        <f t="shared" si="35"/>
        <v/>
      </c>
      <c r="B171" s="11"/>
      <c r="C171" s="8"/>
      <c r="D171" s="8"/>
      <c r="E171" s="8"/>
      <c r="F171" s="8"/>
      <c r="G171" s="8"/>
      <c r="H171" s="8"/>
      <c r="I171" s="8"/>
      <c r="J171" s="8"/>
      <c r="K171" s="8" t="str">
        <f t="shared" si="36"/>
        <v/>
      </c>
      <c r="L171" s="8" t="str">
        <f t="shared" si="37"/>
        <v/>
      </c>
      <c r="M171" s="8" t="str">
        <f t="shared" si="38"/>
        <v/>
      </c>
      <c r="N171" s="8" t="str">
        <f t="shared" si="39"/>
        <v/>
      </c>
      <c r="O171" s="8" t="str">
        <f t="shared" si="40"/>
        <v/>
      </c>
      <c r="P171" s="8" t="str">
        <f t="shared" si="41"/>
        <v>N/A</v>
      </c>
      <c r="Q171" s="8"/>
    </row>
    <row r="172" spans="1:17" ht="15" customHeight="1" x14ac:dyDescent="0.25">
      <c r="A172" s="8" t="str">
        <f t="shared" si="35"/>
        <v/>
      </c>
      <c r="B172" s="11"/>
      <c r="C172" s="8"/>
      <c r="D172" s="8"/>
      <c r="E172" s="8"/>
      <c r="F172" s="8"/>
      <c r="G172" s="8"/>
      <c r="H172" s="8"/>
      <c r="I172" s="8"/>
      <c r="J172" s="8"/>
      <c r="K172" s="8" t="str">
        <f t="shared" si="36"/>
        <v/>
      </c>
      <c r="L172" s="8" t="str">
        <f t="shared" si="37"/>
        <v/>
      </c>
      <c r="M172" s="8" t="str">
        <f t="shared" si="38"/>
        <v/>
      </c>
      <c r="N172" s="8" t="str">
        <f t="shared" si="39"/>
        <v/>
      </c>
      <c r="O172" s="8" t="str">
        <f t="shared" si="40"/>
        <v/>
      </c>
      <c r="P172" s="8" t="str">
        <f t="shared" si="41"/>
        <v>N/A</v>
      </c>
      <c r="Q172" s="8"/>
    </row>
    <row r="173" spans="1:17" ht="15" customHeight="1" x14ac:dyDescent="0.25">
      <c r="A173" s="8" t="str">
        <f t="shared" si="35"/>
        <v/>
      </c>
      <c r="B173" s="11"/>
      <c r="C173" s="8"/>
      <c r="D173" s="8"/>
      <c r="E173" s="8"/>
      <c r="F173" s="8"/>
      <c r="G173" s="8"/>
      <c r="H173" s="8"/>
      <c r="I173" s="8"/>
      <c r="J173" s="8"/>
      <c r="K173" s="8" t="str">
        <f t="shared" si="36"/>
        <v/>
      </c>
      <c r="L173" s="8" t="str">
        <f t="shared" si="37"/>
        <v/>
      </c>
      <c r="M173" s="8" t="str">
        <f t="shared" si="38"/>
        <v/>
      </c>
      <c r="N173" s="8" t="str">
        <f t="shared" si="39"/>
        <v/>
      </c>
      <c r="O173" s="8" t="str">
        <f t="shared" si="40"/>
        <v/>
      </c>
      <c r="P173" s="8" t="str">
        <f t="shared" si="41"/>
        <v>N/A</v>
      </c>
      <c r="Q173" s="8"/>
    </row>
    <row r="174" spans="1:17" ht="15" customHeight="1" x14ac:dyDescent="0.25">
      <c r="A174" s="8" t="str">
        <f t="shared" si="35"/>
        <v/>
      </c>
      <c r="B174" s="11"/>
      <c r="C174" s="8"/>
      <c r="D174" s="8"/>
      <c r="E174" s="8"/>
      <c r="F174" s="8"/>
      <c r="G174" s="8"/>
      <c r="H174" s="8"/>
      <c r="I174" s="8"/>
      <c r="J174" s="8"/>
      <c r="K174" s="8" t="str">
        <f t="shared" si="36"/>
        <v/>
      </c>
      <c r="L174" s="8" t="str">
        <f t="shared" si="37"/>
        <v/>
      </c>
      <c r="M174" s="8" t="str">
        <f t="shared" si="38"/>
        <v/>
      </c>
      <c r="N174" s="8" t="str">
        <f t="shared" si="39"/>
        <v/>
      </c>
      <c r="O174" s="8" t="str">
        <f t="shared" si="40"/>
        <v/>
      </c>
      <c r="P174" s="8" t="str">
        <f t="shared" si="41"/>
        <v>N/A</v>
      </c>
      <c r="Q174" s="8"/>
    </row>
    <row r="175" spans="1:17" ht="15" customHeight="1" x14ac:dyDescent="0.25">
      <c r="A175" s="8" t="str">
        <f t="shared" si="35"/>
        <v/>
      </c>
      <c r="B175" s="11"/>
      <c r="C175" s="8"/>
      <c r="D175" s="8"/>
      <c r="E175" s="8"/>
      <c r="F175" s="8"/>
      <c r="G175" s="8"/>
      <c r="H175" s="8"/>
      <c r="I175" s="8"/>
      <c r="J175" s="8"/>
      <c r="K175" s="8" t="str">
        <f t="shared" si="36"/>
        <v/>
      </c>
      <c r="L175" s="8" t="str">
        <f t="shared" si="37"/>
        <v/>
      </c>
      <c r="M175" s="8" t="str">
        <f t="shared" si="38"/>
        <v/>
      </c>
      <c r="N175" s="8" t="str">
        <f t="shared" si="39"/>
        <v/>
      </c>
      <c r="O175" s="8" t="str">
        <f t="shared" si="40"/>
        <v/>
      </c>
      <c r="P175" s="8" t="str">
        <f t="shared" si="41"/>
        <v>N/A</v>
      </c>
      <c r="Q175" s="8"/>
    </row>
    <row r="176" spans="1:17" ht="15" customHeight="1" x14ac:dyDescent="0.25">
      <c r="A176" s="8" t="str">
        <f t="shared" si="35"/>
        <v/>
      </c>
      <c r="B176" s="11"/>
      <c r="C176" s="8"/>
      <c r="D176" s="8"/>
      <c r="E176" s="8"/>
      <c r="F176" s="8"/>
      <c r="G176" s="8"/>
      <c r="H176" s="8"/>
      <c r="I176" s="8"/>
      <c r="J176" s="8"/>
      <c r="K176" s="8" t="str">
        <f t="shared" si="36"/>
        <v/>
      </c>
      <c r="L176" s="8" t="str">
        <f t="shared" si="37"/>
        <v/>
      </c>
      <c r="M176" s="8" t="str">
        <f t="shared" si="38"/>
        <v/>
      </c>
      <c r="N176" s="8" t="str">
        <f t="shared" si="39"/>
        <v/>
      </c>
      <c r="O176" s="8" t="str">
        <f t="shared" si="40"/>
        <v/>
      </c>
      <c r="P176" s="8" t="str">
        <f t="shared" si="41"/>
        <v>N/A</v>
      </c>
      <c r="Q176" s="8"/>
    </row>
    <row r="177" spans="1:17" ht="15" customHeight="1" x14ac:dyDescent="0.25">
      <c r="A177" s="8" t="str">
        <f t="shared" si="35"/>
        <v/>
      </c>
      <c r="B177" s="11"/>
      <c r="C177" s="8"/>
      <c r="D177" s="8"/>
      <c r="E177" s="8"/>
      <c r="F177" s="8"/>
      <c r="G177" s="8"/>
      <c r="H177" s="8"/>
      <c r="I177" s="8"/>
      <c r="J177" s="8"/>
      <c r="K177" s="8" t="str">
        <f t="shared" si="36"/>
        <v/>
      </c>
      <c r="L177" s="8" t="str">
        <f t="shared" si="37"/>
        <v/>
      </c>
      <c r="M177" s="8" t="str">
        <f t="shared" si="38"/>
        <v/>
      </c>
      <c r="N177" s="8" t="str">
        <f t="shared" si="39"/>
        <v/>
      </c>
      <c r="O177" s="8" t="str">
        <f t="shared" si="40"/>
        <v/>
      </c>
      <c r="P177" s="8" t="str">
        <f t="shared" si="41"/>
        <v>N/A</v>
      </c>
      <c r="Q177" s="8"/>
    </row>
    <row r="178" spans="1:17" ht="15" customHeight="1" x14ac:dyDescent="0.25">
      <c r="A178" s="8" t="str">
        <f t="shared" si="35"/>
        <v/>
      </c>
      <c r="B178" s="11"/>
      <c r="C178" s="8"/>
      <c r="D178" s="8"/>
      <c r="E178" s="8"/>
      <c r="F178" s="8"/>
      <c r="G178" s="8"/>
      <c r="H178" s="8"/>
      <c r="I178" s="8"/>
      <c r="J178" s="8"/>
      <c r="K178" s="8" t="str">
        <f t="shared" si="36"/>
        <v/>
      </c>
      <c r="L178" s="8" t="str">
        <f t="shared" si="37"/>
        <v/>
      </c>
      <c r="M178" s="8" t="str">
        <f t="shared" si="38"/>
        <v/>
      </c>
      <c r="N178" s="8" t="str">
        <f t="shared" si="39"/>
        <v/>
      </c>
      <c r="O178" s="8" t="str">
        <f t="shared" si="40"/>
        <v/>
      </c>
      <c r="P178" s="8" t="str">
        <f t="shared" si="41"/>
        <v>N/A</v>
      </c>
      <c r="Q178" s="8"/>
    </row>
    <row r="179" spans="1:17" ht="15" customHeight="1" x14ac:dyDescent="0.25">
      <c r="A179" s="8" t="str">
        <f t="shared" si="35"/>
        <v/>
      </c>
      <c r="B179" s="11"/>
      <c r="C179" s="8"/>
      <c r="D179" s="8"/>
      <c r="E179" s="8"/>
      <c r="F179" s="8"/>
      <c r="G179" s="8"/>
      <c r="H179" s="8"/>
      <c r="I179" s="8"/>
      <c r="J179" s="8"/>
      <c r="K179" s="8" t="str">
        <f t="shared" si="36"/>
        <v/>
      </c>
      <c r="L179" s="8" t="str">
        <f t="shared" si="37"/>
        <v/>
      </c>
      <c r="M179" s="8" t="str">
        <f t="shared" si="38"/>
        <v/>
      </c>
      <c r="N179" s="8" t="str">
        <f t="shared" si="39"/>
        <v/>
      </c>
      <c r="O179" s="8" t="str">
        <f t="shared" si="40"/>
        <v/>
      </c>
      <c r="P179" s="8" t="str">
        <f t="shared" si="41"/>
        <v>N/A</v>
      </c>
      <c r="Q179" s="8"/>
    </row>
    <row r="180" spans="1:17" ht="15" customHeight="1" x14ac:dyDescent="0.25">
      <c r="A180" s="8" t="str">
        <f t="shared" si="35"/>
        <v/>
      </c>
      <c r="B180" s="11"/>
      <c r="C180" s="8"/>
      <c r="D180" s="8"/>
      <c r="E180" s="8"/>
      <c r="F180" s="8"/>
      <c r="G180" s="8"/>
      <c r="H180" s="8"/>
      <c r="I180" s="8"/>
      <c r="J180" s="8"/>
      <c r="K180" s="8" t="str">
        <f t="shared" si="36"/>
        <v/>
      </c>
      <c r="L180" s="8" t="str">
        <f t="shared" si="37"/>
        <v/>
      </c>
      <c r="M180" s="8" t="str">
        <f t="shared" si="38"/>
        <v/>
      </c>
      <c r="N180" s="8" t="str">
        <f t="shared" si="39"/>
        <v/>
      </c>
      <c r="O180" s="8" t="str">
        <f t="shared" si="40"/>
        <v/>
      </c>
      <c r="P180" s="8" t="str">
        <f t="shared" si="41"/>
        <v>N/A</v>
      </c>
      <c r="Q180" s="8"/>
    </row>
    <row r="181" spans="1:17" ht="15" customHeight="1" x14ac:dyDescent="0.25">
      <c r="A181" s="8" t="str">
        <f t="shared" si="35"/>
        <v/>
      </c>
      <c r="B181" s="11"/>
      <c r="C181" s="8"/>
      <c r="D181" s="8"/>
      <c r="E181" s="8"/>
      <c r="F181" s="8"/>
      <c r="G181" s="8"/>
      <c r="H181" s="8"/>
      <c r="I181" s="8"/>
      <c r="J181" s="8"/>
      <c r="K181" s="8" t="str">
        <f t="shared" si="36"/>
        <v/>
      </c>
      <c r="L181" s="8" t="str">
        <f t="shared" si="37"/>
        <v/>
      </c>
      <c r="M181" s="8" t="str">
        <f t="shared" si="38"/>
        <v/>
      </c>
      <c r="N181" s="8" t="str">
        <f t="shared" si="39"/>
        <v/>
      </c>
      <c r="O181" s="8" t="str">
        <f t="shared" si="40"/>
        <v/>
      </c>
      <c r="P181" s="8" t="str">
        <f t="shared" si="41"/>
        <v>N/A</v>
      </c>
      <c r="Q181" s="8"/>
    </row>
    <row r="182" spans="1:17" ht="15" customHeight="1" x14ac:dyDescent="0.25">
      <c r="A182" s="8" t="str">
        <f t="shared" si="35"/>
        <v/>
      </c>
      <c r="B182" s="11"/>
      <c r="C182" s="8"/>
      <c r="D182" s="8"/>
      <c r="E182" s="8"/>
      <c r="F182" s="8"/>
      <c r="G182" s="8"/>
      <c r="H182" s="8"/>
      <c r="I182" s="8"/>
      <c r="J182" s="8"/>
      <c r="K182" s="8" t="str">
        <f t="shared" si="36"/>
        <v/>
      </c>
      <c r="L182" s="8" t="str">
        <f t="shared" si="37"/>
        <v/>
      </c>
      <c r="M182" s="8" t="str">
        <f t="shared" si="38"/>
        <v/>
      </c>
      <c r="N182" s="8" t="str">
        <f t="shared" si="39"/>
        <v/>
      </c>
      <c r="O182" s="8" t="str">
        <f t="shared" si="40"/>
        <v/>
      </c>
      <c r="P182" s="8" t="str">
        <f t="shared" si="41"/>
        <v>N/A</v>
      </c>
      <c r="Q182" s="8"/>
    </row>
    <row r="183" spans="1:17" ht="15" customHeight="1" x14ac:dyDescent="0.25">
      <c r="A183" s="8" t="str">
        <f t="shared" si="35"/>
        <v/>
      </c>
      <c r="B183" s="11"/>
      <c r="C183" s="8"/>
      <c r="D183" s="8"/>
      <c r="E183" s="8"/>
      <c r="F183" s="8"/>
      <c r="G183" s="8"/>
      <c r="H183" s="8"/>
      <c r="I183" s="8"/>
      <c r="J183" s="8"/>
      <c r="K183" s="8" t="str">
        <f t="shared" si="36"/>
        <v/>
      </c>
      <c r="L183" s="8" t="str">
        <f t="shared" si="37"/>
        <v/>
      </c>
      <c r="M183" s="8" t="str">
        <f t="shared" si="38"/>
        <v/>
      </c>
      <c r="N183" s="8" t="str">
        <f t="shared" si="39"/>
        <v/>
      </c>
      <c r="O183" s="8" t="str">
        <f t="shared" si="40"/>
        <v/>
      </c>
      <c r="P183" s="8" t="str">
        <f t="shared" si="41"/>
        <v>N/A</v>
      </c>
      <c r="Q183" s="8"/>
    </row>
    <row r="184" spans="1:17" ht="15" customHeight="1" x14ac:dyDescent="0.25">
      <c r="A184" s="8" t="str">
        <f t="shared" si="35"/>
        <v/>
      </c>
      <c r="B184" s="11"/>
      <c r="C184" s="8"/>
      <c r="D184" s="8"/>
      <c r="E184" s="8"/>
      <c r="F184" s="8"/>
      <c r="G184" s="8"/>
      <c r="H184" s="8"/>
      <c r="I184" s="8"/>
      <c r="J184" s="8"/>
      <c r="K184" s="8" t="str">
        <f t="shared" si="36"/>
        <v/>
      </c>
      <c r="L184" s="8" t="str">
        <f t="shared" si="37"/>
        <v/>
      </c>
      <c r="M184" s="8" t="str">
        <f t="shared" si="38"/>
        <v/>
      </c>
      <c r="N184" s="8" t="str">
        <f t="shared" si="39"/>
        <v/>
      </c>
      <c r="O184" s="8" t="str">
        <f t="shared" si="40"/>
        <v/>
      </c>
      <c r="P184" s="8" t="str">
        <f t="shared" si="41"/>
        <v>N/A</v>
      </c>
      <c r="Q184" s="8"/>
    </row>
    <row r="185" spans="1:17" ht="15" customHeight="1" x14ac:dyDescent="0.25">
      <c r="A185" s="8" t="str">
        <f t="shared" si="35"/>
        <v/>
      </c>
      <c r="B185" s="11"/>
      <c r="C185" s="8"/>
      <c r="D185" s="8"/>
      <c r="E185" s="8"/>
      <c r="F185" s="8"/>
      <c r="G185" s="8"/>
      <c r="H185" s="8"/>
      <c r="I185" s="8"/>
      <c r="J185" s="8"/>
      <c r="K185" s="8" t="str">
        <f t="shared" si="36"/>
        <v/>
      </c>
      <c r="L185" s="8" t="str">
        <f t="shared" si="37"/>
        <v/>
      </c>
      <c r="M185" s="8" t="str">
        <f t="shared" si="38"/>
        <v/>
      </c>
      <c r="N185" s="8" t="str">
        <f t="shared" si="39"/>
        <v/>
      </c>
      <c r="O185" s="8" t="str">
        <f t="shared" si="40"/>
        <v/>
      </c>
      <c r="P185" s="8" t="str">
        <f t="shared" si="41"/>
        <v>N/A</v>
      </c>
      <c r="Q185" s="8"/>
    </row>
    <row r="186" spans="1:17" ht="15" customHeight="1" x14ac:dyDescent="0.25">
      <c r="A186" s="8" t="str">
        <f t="shared" si="35"/>
        <v/>
      </c>
      <c r="B186" s="11"/>
      <c r="C186" s="8"/>
      <c r="D186" s="8"/>
      <c r="E186" s="8"/>
      <c r="F186" s="8"/>
      <c r="G186" s="8"/>
      <c r="H186" s="8"/>
      <c r="I186" s="8"/>
      <c r="J186" s="8"/>
      <c r="K186" s="8" t="str">
        <f t="shared" si="36"/>
        <v/>
      </c>
      <c r="L186" s="8" t="str">
        <f t="shared" si="37"/>
        <v/>
      </c>
      <c r="M186" s="8" t="str">
        <f t="shared" si="38"/>
        <v/>
      </c>
      <c r="N186" s="8" t="str">
        <f t="shared" si="39"/>
        <v/>
      </c>
      <c r="O186" s="8" t="str">
        <f t="shared" si="40"/>
        <v/>
      </c>
      <c r="P186" s="8" t="str">
        <f t="shared" si="41"/>
        <v>N/A</v>
      </c>
      <c r="Q186" s="8"/>
    </row>
    <row r="187" spans="1:17" ht="15" customHeight="1" x14ac:dyDescent="0.25">
      <c r="A187" s="8" t="str">
        <f t="shared" si="35"/>
        <v/>
      </c>
      <c r="B187" s="11"/>
      <c r="C187" s="8"/>
      <c r="D187" s="8"/>
      <c r="E187" s="8"/>
      <c r="F187" s="8"/>
      <c r="G187" s="8"/>
      <c r="H187" s="8"/>
      <c r="I187" s="8"/>
      <c r="J187" s="8"/>
      <c r="K187" s="8" t="str">
        <f t="shared" si="36"/>
        <v/>
      </c>
      <c r="L187" s="8" t="str">
        <f t="shared" si="37"/>
        <v/>
      </c>
      <c r="M187" s="8" t="str">
        <f t="shared" si="38"/>
        <v/>
      </c>
      <c r="N187" s="8" t="str">
        <f t="shared" si="39"/>
        <v/>
      </c>
      <c r="O187" s="8" t="str">
        <f t="shared" si="40"/>
        <v/>
      </c>
      <c r="P187" s="8" t="str">
        <f t="shared" si="41"/>
        <v>N/A</v>
      </c>
      <c r="Q187" s="8"/>
    </row>
    <row r="188" spans="1:17" ht="15" customHeight="1" x14ac:dyDescent="0.25">
      <c r="A188" s="8" t="str">
        <f t="shared" si="35"/>
        <v/>
      </c>
      <c r="B188" s="11"/>
      <c r="C188" s="8"/>
      <c r="D188" s="8"/>
      <c r="E188" s="8"/>
      <c r="F188" s="8"/>
      <c r="G188" s="8"/>
      <c r="H188" s="8"/>
      <c r="I188" s="8"/>
      <c r="J188" s="8"/>
      <c r="K188" s="8" t="str">
        <f t="shared" si="36"/>
        <v/>
      </c>
      <c r="L188" s="8" t="str">
        <f t="shared" si="37"/>
        <v/>
      </c>
      <c r="M188" s="8" t="str">
        <f t="shared" si="38"/>
        <v/>
      </c>
      <c r="N188" s="8" t="str">
        <f t="shared" si="39"/>
        <v/>
      </c>
      <c r="O188" s="8" t="str">
        <f t="shared" si="40"/>
        <v/>
      </c>
      <c r="P188" s="8" t="str">
        <f t="shared" si="41"/>
        <v>N/A</v>
      </c>
      <c r="Q188" s="8"/>
    </row>
    <row r="189" spans="1:17" ht="15" customHeight="1" x14ac:dyDescent="0.25">
      <c r="A189" s="8" t="str">
        <f t="shared" si="35"/>
        <v/>
      </c>
      <c r="B189" s="11"/>
      <c r="C189" s="8"/>
      <c r="D189" s="8"/>
      <c r="E189" s="8"/>
      <c r="F189" s="8"/>
      <c r="G189" s="8"/>
      <c r="H189" s="8"/>
      <c r="I189" s="8"/>
      <c r="J189" s="8"/>
      <c r="K189" s="8" t="str">
        <f t="shared" si="36"/>
        <v/>
      </c>
      <c r="L189" s="8" t="str">
        <f t="shared" si="37"/>
        <v/>
      </c>
      <c r="M189" s="8" t="str">
        <f t="shared" si="38"/>
        <v/>
      </c>
      <c r="N189" s="8" t="str">
        <f t="shared" si="39"/>
        <v/>
      </c>
      <c r="O189" s="8" t="str">
        <f t="shared" si="40"/>
        <v/>
      </c>
      <c r="P189" s="8" t="str">
        <f t="shared" si="41"/>
        <v>N/A</v>
      </c>
      <c r="Q189" s="8"/>
    </row>
    <row r="190" spans="1:17" ht="15" customHeight="1" x14ac:dyDescent="0.25">
      <c r="A190" s="8" t="str">
        <f t="shared" si="35"/>
        <v/>
      </c>
      <c r="B190" s="11"/>
      <c r="C190" s="8"/>
      <c r="D190" s="8"/>
      <c r="E190" s="8"/>
      <c r="F190" s="8"/>
      <c r="G190" s="8"/>
      <c r="H190" s="8"/>
      <c r="I190" s="8"/>
      <c r="J190" s="8"/>
      <c r="K190" s="8" t="str">
        <f t="shared" si="36"/>
        <v/>
      </c>
      <c r="L190" s="8" t="str">
        <f t="shared" si="37"/>
        <v/>
      </c>
      <c r="M190" s="8" t="str">
        <f t="shared" si="38"/>
        <v/>
      </c>
      <c r="N190" s="8" t="str">
        <f t="shared" si="39"/>
        <v/>
      </c>
      <c r="O190" s="8" t="str">
        <f t="shared" si="40"/>
        <v/>
      </c>
      <c r="P190" s="8" t="str">
        <f t="shared" si="41"/>
        <v>N/A</v>
      </c>
      <c r="Q190" s="8"/>
    </row>
    <row r="191" spans="1:17" ht="15" customHeight="1" x14ac:dyDescent="0.25">
      <c r="A191" s="8" t="str">
        <f t="shared" si="35"/>
        <v/>
      </c>
      <c r="B191" s="11"/>
      <c r="C191" s="8"/>
      <c r="D191" s="8"/>
      <c r="E191" s="8"/>
      <c r="F191" s="8"/>
      <c r="G191" s="8"/>
      <c r="H191" s="8"/>
      <c r="I191" s="8"/>
      <c r="J191" s="8"/>
      <c r="K191" s="8" t="str">
        <f t="shared" si="36"/>
        <v/>
      </c>
      <c r="L191" s="8" t="str">
        <f t="shared" si="37"/>
        <v/>
      </c>
      <c r="M191" s="8" t="str">
        <f t="shared" si="38"/>
        <v/>
      </c>
      <c r="N191" s="8" t="str">
        <f t="shared" si="39"/>
        <v/>
      </c>
      <c r="O191" s="8" t="str">
        <f t="shared" si="40"/>
        <v/>
      </c>
      <c r="P191" s="8" t="str">
        <f t="shared" si="41"/>
        <v>N/A</v>
      </c>
      <c r="Q191" s="8"/>
    </row>
    <row r="192" spans="1:17" ht="15" customHeight="1" x14ac:dyDescent="0.25">
      <c r="A192" s="8" t="str">
        <f t="shared" si="35"/>
        <v/>
      </c>
      <c r="B192" s="11"/>
      <c r="C192" s="8"/>
      <c r="D192" s="8"/>
      <c r="E192" s="8"/>
      <c r="F192" s="8"/>
      <c r="G192" s="8"/>
      <c r="H192" s="8"/>
      <c r="I192" s="8"/>
      <c r="J192" s="8"/>
      <c r="K192" s="8" t="str">
        <f t="shared" si="36"/>
        <v/>
      </c>
      <c r="L192" s="8" t="str">
        <f t="shared" si="37"/>
        <v/>
      </c>
      <c r="M192" s="8" t="str">
        <f t="shared" si="38"/>
        <v/>
      </c>
      <c r="N192" s="8" t="str">
        <f t="shared" si="39"/>
        <v/>
      </c>
      <c r="O192" s="8" t="str">
        <f t="shared" si="40"/>
        <v/>
      </c>
      <c r="P192" s="8" t="str">
        <f t="shared" si="41"/>
        <v>N/A</v>
      </c>
      <c r="Q192" s="8"/>
    </row>
    <row r="193" spans="1:17" ht="15" customHeight="1" x14ac:dyDescent="0.25">
      <c r="A193" s="8" t="str">
        <f t="shared" si="35"/>
        <v/>
      </c>
      <c r="B193" s="11"/>
      <c r="C193" s="8"/>
      <c r="D193" s="8"/>
      <c r="E193" s="8"/>
      <c r="F193" s="8"/>
      <c r="G193" s="8"/>
      <c r="H193" s="8"/>
      <c r="I193" s="8"/>
      <c r="J193" s="8"/>
      <c r="K193" s="8" t="str">
        <f t="shared" si="36"/>
        <v/>
      </c>
      <c r="L193" s="8" t="str">
        <f t="shared" si="37"/>
        <v/>
      </c>
      <c r="M193" s="8" t="str">
        <f t="shared" si="38"/>
        <v/>
      </c>
      <c r="N193" s="8" t="str">
        <f t="shared" si="39"/>
        <v/>
      </c>
      <c r="O193" s="8" t="str">
        <f t="shared" si="40"/>
        <v/>
      </c>
      <c r="P193" s="8" t="str">
        <f t="shared" si="41"/>
        <v>N/A</v>
      </c>
      <c r="Q193" s="8"/>
    </row>
    <row r="194" spans="1:17" ht="15" customHeight="1" x14ac:dyDescent="0.25">
      <c r="A194" s="8" t="str">
        <f t="shared" ref="A194:A201" si="42">IF(B194="","",ROW()-1)</f>
        <v/>
      </c>
      <c r="B194" s="11"/>
      <c r="C194" s="8"/>
      <c r="D194" s="8"/>
      <c r="E194" s="8"/>
      <c r="F194" s="8"/>
      <c r="G194" s="8"/>
      <c r="H194" s="8"/>
      <c r="I194" s="8"/>
      <c r="J194" s="8"/>
      <c r="K194" s="8" t="str">
        <f t="shared" ref="K194:K201" si="43">IF(G194="","",IF(G194="SIM",1,0))</f>
        <v/>
      </c>
      <c r="L194" s="8" t="str">
        <f t="shared" ref="L194:L201" si="44">IF(H194="","",IF(H194="SIM",1,0))</f>
        <v/>
      </c>
      <c r="M194" s="8" t="str">
        <f t="shared" ref="M194:M201" si="45">IF(I194="","",IF(I194="SIM",1,0))</f>
        <v/>
      </c>
      <c r="N194" s="8" t="str">
        <f t="shared" ref="N194:N201" si="46">IF(J194="","",IF(J194="Conformidade",1,IF(J194="Não Conformidade",0,IF(J194="Não Conformidade Grave",-1,""))))</f>
        <v/>
      </c>
      <c r="O194" s="8" t="str">
        <f t="shared" ref="O194:O201" si="47">IF(COUNTA(G194:J194)=0,"",ROUND(AVERAGE(K194:N194)*100,0))</f>
        <v/>
      </c>
      <c r="P194" s="8" t="str">
        <f t="shared" ref="P194:P201" si="48">IFERROR(AVERAGEIF(C$2:C$201,C194,O$2:O$201),"N/A")</f>
        <v>N/A</v>
      </c>
      <c r="Q194" s="8"/>
    </row>
    <row r="195" spans="1:17" ht="15" customHeight="1" x14ac:dyDescent="0.25">
      <c r="A195" s="8" t="str">
        <f t="shared" si="42"/>
        <v/>
      </c>
      <c r="B195" s="11"/>
      <c r="C195" s="8"/>
      <c r="D195" s="8"/>
      <c r="E195" s="8"/>
      <c r="F195" s="8"/>
      <c r="G195" s="8"/>
      <c r="H195" s="8"/>
      <c r="I195" s="8"/>
      <c r="J195" s="8"/>
      <c r="K195" s="8" t="str">
        <f t="shared" si="43"/>
        <v/>
      </c>
      <c r="L195" s="8" t="str">
        <f t="shared" si="44"/>
        <v/>
      </c>
      <c r="M195" s="8" t="str">
        <f t="shared" si="45"/>
        <v/>
      </c>
      <c r="N195" s="8" t="str">
        <f t="shared" si="46"/>
        <v/>
      </c>
      <c r="O195" s="8" t="str">
        <f t="shared" si="47"/>
        <v/>
      </c>
      <c r="P195" s="8" t="str">
        <f t="shared" si="48"/>
        <v>N/A</v>
      </c>
      <c r="Q195" s="8"/>
    </row>
    <row r="196" spans="1:17" ht="15" customHeight="1" x14ac:dyDescent="0.25">
      <c r="A196" s="8" t="str">
        <f t="shared" si="42"/>
        <v/>
      </c>
      <c r="B196" s="11"/>
      <c r="C196" s="8"/>
      <c r="D196" s="8"/>
      <c r="E196" s="8"/>
      <c r="F196" s="8"/>
      <c r="G196" s="8"/>
      <c r="H196" s="8"/>
      <c r="I196" s="8"/>
      <c r="J196" s="8"/>
      <c r="K196" s="8" t="str">
        <f t="shared" si="43"/>
        <v/>
      </c>
      <c r="L196" s="8" t="str">
        <f t="shared" si="44"/>
        <v/>
      </c>
      <c r="M196" s="8" t="str">
        <f t="shared" si="45"/>
        <v/>
      </c>
      <c r="N196" s="8" t="str">
        <f t="shared" si="46"/>
        <v/>
      </c>
      <c r="O196" s="8" t="str">
        <f t="shared" si="47"/>
        <v/>
      </c>
      <c r="P196" s="8" t="str">
        <f t="shared" si="48"/>
        <v>N/A</v>
      </c>
      <c r="Q196" s="8"/>
    </row>
    <row r="197" spans="1:17" ht="15" customHeight="1" x14ac:dyDescent="0.25">
      <c r="A197" s="8" t="str">
        <f t="shared" si="42"/>
        <v/>
      </c>
      <c r="B197" s="11"/>
      <c r="C197" s="8"/>
      <c r="D197" s="8"/>
      <c r="E197" s="8"/>
      <c r="F197" s="8"/>
      <c r="G197" s="8"/>
      <c r="H197" s="8"/>
      <c r="I197" s="8"/>
      <c r="J197" s="8"/>
      <c r="K197" s="8" t="str">
        <f t="shared" si="43"/>
        <v/>
      </c>
      <c r="L197" s="8" t="str">
        <f t="shared" si="44"/>
        <v/>
      </c>
      <c r="M197" s="8" t="str">
        <f t="shared" si="45"/>
        <v/>
      </c>
      <c r="N197" s="8" t="str">
        <f t="shared" si="46"/>
        <v/>
      </c>
      <c r="O197" s="8" t="str">
        <f t="shared" si="47"/>
        <v/>
      </c>
      <c r="P197" s="8" t="str">
        <f t="shared" si="48"/>
        <v>N/A</v>
      </c>
      <c r="Q197" s="8"/>
    </row>
    <row r="198" spans="1:17" ht="15" customHeight="1" x14ac:dyDescent="0.25">
      <c r="A198" s="8" t="str">
        <f t="shared" si="42"/>
        <v/>
      </c>
      <c r="B198" s="11"/>
      <c r="C198" s="8"/>
      <c r="D198" s="8"/>
      <c r="E198" s="8"/>
      <c r="F198" s="8"/>
      <c r="G198" s="8"/>
      <c r="H198" s="8"/>
      <c r="I198" s="8"/>
      <c r="J198" s="8"/>
      <c r="K198" s="8" t="str">
        <f t="shared" si="43"/>
        <v/>
      </c>
      <c r="L198" s="8" t="str">
        <f t="shared" si="44"/>
        <v/>
      </c>
      <c r="M198" s="8" t="str">
        <f t="shared" si="45"/>
        <v/>
      </c>
      <c r="N198" s="8" t="str">
        <f t="shared" si="46"/>
        <v/>
      </c>
      <c r="O198" s="8" t="str">
        <f t="shared" si="47"/>
        <v/>
      </c>
      <c r="P198" s="8" t="str">
        <f t="shared" si="48"/>
        <v>N/A</v>
      </c>
      <c r="Q198" s="8"/>
    </row>
    <row r="199" spans="1:17" ht="15" customHeight="1" x14ac:dyDescent="0.25">
      <c r="A199" s="8" t="str">
        <f t="shared" si="42"/>
        <v/>
      </c>
      <c r="B199" s="11"/>
      <c r="C199" s="8"/>
      <c r="D199" s="8"/>
      <c r="E199" s="8"/>
      <c r="F199" s="8"/>
      <c r="G199" s="8"/>
      <c r="H199" s="8"/>
      <c r="I199" s="8"/>
      <c r="J199" s="8"/>
      <c r="K199" s="8" t="str">
        <f t="shared" si="43"/>
        <v/>
      </c>
      <c r="L199" s="8" t="str">
        <f t="shared" si="44"/>
        <v/>
      </c>
      <c r="M199" s="8" t="str">
        <f t="shared" si="45"/>
        <v/>
      </c>
      <c r="N199" s="8" t="str">
        <f t="shared" si="46"/>
        <v/>
      </c>
      <c r="O199" s="8" t="str">
        <f t="shared" si="47"/>
        <v/>
      </c>
      <c r="P199" s="8" t="str">
        <f t="shared" si="48"/>
        <v>N/A</v>
      </c>
      <c r="Q199" s="8"/>
    </row>
    <row r="200" spans="1:17" ht="15" customHeight="1" x14ac:dyDescent="0.25">
      <c r="A200" s="8" t="str">
        <f t="shared" si="42"/>
        <v/>
      </c>
      <c r="B200" s="11"/>
      <c r="C200" s="8"/>
      <c r="D200" s="8"/>
      <c r="E200" s="8"/>
      <c r="F200" s="8"/>
      <c r="G200" s="8"/>
      <c r="H200" s="8"/>
      <c r="I200" s="8"/>
      <c r="J200" s="8"/>
      <c r="K200" s="8" t="str">
        <f t="shared" si="43"/>
        <v/>
      </c>
      <c r="L200" s="8" t="str">
        <f t="shared" si="44"/>
        <v/>
      </c>
      <c r="M200" s="8" t="str">
        <f t="shared" si="45"/>
        <v/>
      </c>
      <c r="N200" s="8" t="str">
        <f t="shared" si="46"/>
        <v/>
      </c>
      <c r="O200" s="8" t="str">
        <f t="shared" si="47"/>
        <v/>
      </c>
      <c r="P200" s="8" t="str">
        <f t="shared" si="48"/>
        <v>N/A</v>
      </c>
      <c r="Q200" s="8"/>
    </row>
    <row r="201" spans="1:17" ht="15" customHeight="1" x14ac:dyDescent="0.25">
      <c r="A201" s="8" t="str">
        <f t="shared" si="42"/>
        <v/>
      </c>
      <c r="B201" s="11"/>
      <c r="C201" s="8"/>
      <c r="D201" s="8"/>
      <c r="E201" s="8"/>
      <c r="F201" s="8"/>
      <c r="G201" s="8"/>
      <c r="H201" s="8"/>
      <c r="I201" s="8"/>
      <c r="J201" s="8"/>
      <c r="K201" s="8" t="str">
        <f t="shared" si="43"/>
        <v/>
      </c>
      <c r="L201" s="8" t="str">
        <f t="shared" si="44"/>
        <v/>
      </c>
      <c r="M201" s="8" t="str">
        <f t="shared" si="45"/>
        <v/>
      </c>
      <c r="N201" s="8" t="str">
        <f t="shared" si="46"/>
        <v/>
      </c>
      <c r="O201" s="8" t="str">
        <f t="shared" si="47"/>
        <v/>
      </c>
      <c r="P201" s="8" t="str">
        <f t="shared" si="48"/>
        <v>N/A</v>
      </c>
      <c r="Q201" s="8"/>
    </row>
  </sheetData>
  <conditionalFormatting sqref="G2:I201">
    <cfRule type="cellIs" dxfId="27" priority="2" operator="equal">
      <formula>"SIM"</formula>
    </cfRule>
    <cfRule type="cellIs" dxfId="26" priority="3" operator="equal">
      <formula>"NÃO"</formula>
    </cfRule>
  </conditionalFormatting>
  <conditionalFormatting sqref="O2:P201">
    <cfRule type="cellIs" dxfId="25" priority="8" operator="lessThan">
      <formula>50</formula>
    </cfRule>
    <cfRule type="cellIs" dxfId="24" priority="9" operator="between">
      <formula>50</formula>
      <formula>79</formula>
    </cfRule>
    <cfRule type="cellIs" dxfId="23" priority="10" operator="greaterThanOrEqual">
      <formula>80</formula>
    </cfRule>
  </conditionalFormatting>
  <dataValidations count="5">
    <dataValidation type="decimal" operator="greaterThanOrEqual" allowBlank="1" sqref="F2:F201" xr:uid="{00000000-0002-0000-0200-000000000000}">
      <formula1>0</formula1>
      <formula2>0</formula2>
    </dataValidation>
    <dataValidation type="list" allowBlank="1" sqref="G2:I201" xr:uid="{00000000-0002-0000-0200-000001000000}">
      <formula1>"SIM,NÃO"</formula1>
      <formula2>0</formula2>
    </dataValidation>
    <dataValidation type="list" allowBlank="1" sqref="J2:J201" xr:uid="{00000000-0002-0000-0200-000002000000}">
      <formula1>"Não Conformidade Grave,Não Conformidade,Conformidade,Observação"</formula1>
      <formula2>0</formula2>
    </dataValidation>
    <dataValidation type="date" allowBlank="1" sqref="B2:B201" xr:uid="{00000000-0002-0000-0200-000003000000}">
      <formula1>DATE(2000,1,1)</formula1>
      <formula2>0</formula2>
    </dataValidation>
    <dataValidation type="list" allowBlank="1" sqref="U2:U201" xr:uid="{00000000-0002-0000-0200-000004000000}">
      <formula1>"Aberto,Em andamento,Concluído"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01"/>
  <sheetViews>
    <sheetView zoomScaleNormal="100" workbookViewId="0">
      <pane ySplit="1" topLeftCell="A2" activePane="bottomLeft" state="frozen"/>
      <selection pane="bottomLeft" activeCell="C1" sqref="C1"/>
    </sheetView>
  </sheetViews>
  <sheetFormatPr defaultColWidth="8.7109375" defaultRowHeight="15" x14ac:dyDescent="0.25"/>
  <cols>
    <col min="1" max="1" width="13" customWidth="1"/>
    <col min="2" max="2" width="16" customWidth="1"/>
    <col min="3" max="3" width="22" customWidth="1"/>
    <col min="4" max="4" width="28" customWidth="1"/>
    <col min="5" max="5" width="30" customWidth="1"/>
    <col min="6" max="6" width="13" customWidth="1"/>
    <col min="7" max="7" width="24" customWidth="1"/>
    <col min="8" max="8" width="22" customWidth="1"/>
    <col min="9" max="9" width="17" customWidth="1"/>
    <col min="10" max="11" width="13" customWidth="1"/>
    <col min="12" max="12" width="14" customWidth="1"/>
    <col min="13" max="13" width="16" customWidth="1"/>
    <col min="14" max="14" width="10" customWidth="1"/>
    <col min="15" max="15" width="22" customWidth="1"/>
  </cols>
  <sheetData>
    <row r="1" spans="1:15" ht="22.3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53</v>
      </c>
      <c r="F1" s="1" t="s">
        <v>5</v>
      </c>
      <c r="G1" s="7" t="s">
        <v>54</v>
      </c>
      <c r="H1" s="7" t="s">
        <v>55</v>
      </c>
      <c r="I1" s="7" t="s">
        <v>36</v>
      </c>
      <c r="J1" s="7" t="s">
        <v>11</v>
      </c>
      <c r="K1" s="7" t="s">
        <v>56</v>
      </c>
      <c r="L1" s="7" t="s">
        <v>14</v>
      </c>
      <c r="M1" s="7" t="s">
        <v>57</v>
      </c>
      <c r="N1" s="7" t="s">
        <v>16</v>
      </c>
      <c r="O1" s="7" t="s">
        <v>17</v>
      </c>
    </row>
    <row r="2" spans="1:15" ht="15" customHeight="1" x14ac:dyDescent="0.25">
      <c r="A2" s="8">
        <f t="shared" ref="A2" si="0">IF(B2="","",ROW()-1)</f>
        <v>1</v>
      </c>
      <c r="B2" s="9">
        <v>46247</v>
      </c>
      <c r="C2" s="10" t="s">
        <v>254</v>
      </c>
      <c r="D2" s="10" t="s">
        <v>40</v>
      </c>
      <c r="E2" s="10" t="s">
        <v>40</v>
      </c>
      <c r="F2" s="10">
        <v>1</v>
      </c>
      <c r="G2" s="10" t="s">
        <v>25</v>
      </c>
      <c r="H2" s="10" t="s">
        <v>58</v>
      </c>
      <c r="I2" s="10" t="s">
        <v>14</v>
      </c>
      <c r="J2" s="8">
        <f t="shared" ref="J2" si="1">IF(G2="","",IF(G2="SIM",1,0))</f>
        <v>1</v>
      </c>
      <c r="K2" s="8">
        <f t="shared" ref="K2" si="2">IF(H2="","",IF(H2="Integral",1,IF(H2="Amostral",0.5,IF(H2="Não realizada",0,""))))</f>
        <v>0.5</v>
      </c>
      <c r="L2" s="8">
        <f t="shared" ref="L2" si="3">IF(I2="","",IF(I2="Conformidade",1,IF(I2="Não Conformidade",0,IF(I2="Não Conformidade Grave",-1,""))))</f>
        <v>1</v>
      </c>
      <c r="M2" s="8">
        <f t="shared" ref="M2" si="4">IF(COUNTA(G2:I2)=0,"",ROUND(AVERAGE(J2:L2)*100,0))</f>
        <v>83</v>
      </c>
      <c r="N2" s="8">
        <f t="shared" ref="N2" si="5">IFERROR(AVERAGEIF(C$2:C$201,C2,M$2:M$201),"N/A")</f>
        <v>83</v>
      </c>
      <c r="O2" s="10" t="s">
        <v>43</v>
      </c>
    </row>
    <row r="3" spans="1:15" ht="15" customHeight="1" x14ac:dyDescent="0.25">
      <c r="A3" s="8">
        <f>IF(B3="","",ROW()-1)</f>
        <v>2</v>
      </c>
      <c r="B3" s="44">
        <v>46180</v>
      </c>
      <c r="C3" s="10" t="s">
        <v>251</v>
      </c>
      <c r="D3" s="10" t="s">
        <v>263</v>
      </c>
      <c r="E3" s="10" t="s">
        <v>263</v>
      </c>
      <c r="F3" s="10">
        <v>5</v>
      </c>
      <c r="G3" s="10" t="s">
        <v>30</v>
      </c>
      <c r="H3" s="10" t="s">
        <v>283</v>
      </c>
      <c r="I3" s="10" t="s">
        <v>26</v>
      </c>
      <c r="J3" s="8">
        <f>IF(G3="","",IF(G3="SIM",1,0))</f>
        <v>0</v>
      </c>
      <c r="K3" s="8">
        <f>IF(H3="","",IF(H3="Integral",1,IF(H3="Amostral",0.5,IF(H3="Não realizada",0,""))))</f>
        <v>0</v>
      </c>
      <c r="L3" s="8">
        <f>IF(I3="","",IF(I3="Conformidade",1,IF(I3="Não Conformidade",0,IF(I3="Não Conformidade Grave",-1,""))))</f>
        <v>-1</v>
      </c>
      <c r="M3" s="45">
        <f>IF(COUNTA(G3:I3)=0,"",ROUND(AVERAGE(J3:L3)*100,0))</f>
        <v>-33</v>
      </c>
      <c r="N3" s="45">
        <f>IFERROR(AVERAGEIF(C$2:C$201,C3,M$2:M$201),"N/A")</f>
        <v>48.222222222222221</v>
      </c>
      <c r="O3" s="10" t="s">
        <v>285</v>
      </c>
    </row>
    <row r="4" spans="1:15" ht="15" customHeight="1" x14ac:dyDescent="0.25">
      <c r="A4" s="8">
        <f t="shared" ref="A4:A52" si="6">IF(B4="","",ROW()-1)</f>
        <v>3</v>
      </c>
      <c r="B4" s="44">
        <v>46211</v>
      </c>
      <c r="C4" s="10" t="s">
        <v>254</v>
      </c>
      <c r="D4" s="10" t="s">
        <v>249</v>
      </c>
      <c r="E4" s="10" t="s">
        <v>249</v>
      </c>
      <c r="F4" s="10">
        <v>6</v>
      </c>
      <c r="G4" s="10" t="s">
        <v>25</v>
      </c>
      <c r="H4" s="10" t="s">
        <v>58</v>
      </c>
      <c r="I4" s="10" t="s">
        <v>14</v>
      </c>
      <c r="J4" s="8">
        <f t="shared" ref="J4:J52" si="7">IF(G4="","",IF(G4="SIM",1,0))</f>
        <v>1</v>
      </c>
      <c r="K4" s="8">
        <f t="shared" ref="K4:K52" si="8">IF(H4="","",IF(H4="Integral",1,IF(H4="Amostral",0.5,IF(H4="Não realizada",0,""))))</f>
        <v>0.5</v>
      </c>
      <c r="L4" s="8">
        <f t="shared" ref="L4:L52" si="9">IF(I4="","",IF(I4="Conformidade",1,IF(I4="Não Conformidade",0,IF(I4="Não Conformidade Grave",-1,""))))</f>
        <v>1</v>
      </c>
      <c r="M4" s="45">
        <f t="shared" ref="M4:M52" si="10">IF(COUNTA(G4:I4)=0,"",ROUND(AVERAGE(J4:L4)*100,0))</f>
        <v>83</v>
      </c>
      <c r="N4" s="45">
        <f t="shared" ref="N4:N52" si="11">IFERROR(AVERAGEIF(C$2:C$201,C4,M$2:M$201),"N/A")</f>
        <v>83</v>
      </c>
      <c r="O4" s="10" t="s">
        <v>286</v>
      </c>
    </row>
    <row r="5" spans="1:15" ht="15" customHeight="1" x14ac:dyDescent="0.25">
      <c r="A5" s="8">
        <f t="shared" si="6"/>
        <v>4</v>
      </c>
      <c r="B5" s="44">
        <v>46243</v>
      </c>
      <c r="C5" s="10" t="s">
        <v>257</v>
      </c>
      <c r="D5" s="10" t="s">
        <v>261</v>
      </c>
      <c r="E5" s="10" t="s">
        <v>261</v>
      </c>
      <c r="F5" s="10">
        <v>7</v>
      </c>
      <c r="G5" s="10" t="s">
        <v>25</v>
      </c>
      <c r="H5" s="10" t="s">
        <v>58</v>
      </c>
      <c r="I5" s="10" t="s">
        <v>14</v>
      </c>
      <c r="J5" s="8">
        <f t="shared" si="7"/>
        <v>1</v>
      </c>
      <c r="K5" s="8">
        <f t="shared" si="8"/>
        <v>0.5</v>
      </c>
      <c r="L5" s="8">
        <f t="shared" si="9"/>
        <v>1</v>
      </c>
      <c r="M5" s="45">
        <f t="shared" si="10"/>
        <v>83</v>
      </c>
      <c r="N5" s="45">
        <f t="shared" si="11"/>
        <v>49.875</v>
      </c>
      <c r="O5" s="10" t="s">
        <v>286</v>
      </c>
    </row>
    <row r="6" spans="1:15" ht="15" customHeight="1" x14ac:dyDescent="0.25">
      <c r="A6" s="8">
        <f t="shared" si="6"/>
        <v>5</v>
      </c>
      <c r="B6" s="44">
        <v>46183</v>
      </c>
      <c r="C6" s="10" t="s">
        <v>260</v>
      </c>
      <c r="D6" s="10" t="s">
        <v>265</v>
      </c>
      <c r="E6" s="10" t="s">
        <v>265</v>
      </c>
      <c r="F6" s="10">
        <v>8</v>
      </c>
      <c r="G6" s="10" t="s">
        <v>25</v>
      </c>
      <c r="H6" s="10" t="s">
        <v>284</v>
      </c>
      <c r="I6" s="10" t="s">
        <v>14</v>
      </c>
      <c r="J6" s="8">
        <f t="shared" si="7"/>
        <v>1</v>
      </c>
      <c r="K6" s="8">
        <f t="shared" si="8"/>
        <v>1</v>
      </c>
      <c r="L6" s="8">
        <f t="shared" si="9"/>
        <v>1</v>
      </c>
      <c r="M6" s="45">
        <f t="shared" si="10"/>
        <v>100</v>
      </c>
      <c r="N6" s="45">
        <f t="shared" si="11"/>
        <v>74.875</v>
      </c>
      <c r="O6" s="10" t="s">
        <v>286</v>
      </c>
    </row>
    <row r="7" spans="1:15" ht="15" customHeight="1" x14ac:dyDescent="0.25">
      <c r="A7" s="8">
        <f t="shared" si="6"/>
        <v>6</v>
      </c>
      <c r="B7" s="44">
        <v>46214</v>
      </c>
      <c r="C7" s="10" t="s">
        <v>22</v>
      </c>
      <c r="D7" s="10" t="s">
        <v>255</v>
      </c>
      <c r="E7" s="10" t="s">
        <v>255</v>
      </c>
      <c r="F7" s="10">
        <v>9</v>
      </c>
      <c r="G7" s="10" t="s">
        <v>25</v>
      </c>
      <c r="H7" s="10" t="s">
        <v>58</v>
      </c>
      <c r="I7" s="10" t="s">
        <v>52</v>
      </c>
      <c r="J7" s="8">
        <f t="shared" si="7"/>
        <v>1</v>
      </c>
      <c r="K7" s="8">
        <f t="shared" si="8"/>
        <v>0.5</v>
      </c>
      <c r="L7" s="8">
        <f t="shared" si="9"/>
        <v>0</v>
      </c>
      <c r="M7" s="45">
        <f t="shared" si="10"/>
        <v>50</v>
      </c>
      <c r="N7" s="45">
        <f t="shared" si="11"/>
        <v>45.75</v>
      </c>
      <c r="O7" s="10" t="s">
        <v>287</v>
      </c>
    </row>
    <row r="8" spans="1:15" ht="15" customHeight="1" x14ac:dyDescent="0.25">
      <c r="A8" s="8">
        <f t="shared" si="6"/>
        <v>7</v>
      </c>
      <c r="B8" s="44">
        <v>46246</v>
      </c>
      <c r="C8" s="10" t="s">
        <v>248</v>
      </c>
      <c r="D8" s="10" t="s">
        <v>263</v>
      </c>
      <c r="E8" s="10" t="s">
        <v>263</v>
      </c>
      <c r="F8" s="10">
        <v>10</v>
      </c>
      <c r="G8" s="10" t="s">
        <v>25</v>
      </c>
      <c r="H8" s="10" t="s">
        <v>58</v>
      </c>
      <c r="I8" s="10" t="s">
        <v>14</v>
      </c>
      <c r="J8" s="8">
        <f t="shared" si="7"/>
        <v>1</v>
      </c>
      <c r="K8" s="8">
        <f t="shared" si="8"/>
        <v>0.5</v>
      </c>
      <c r="L8" s="8">
        <f t="shared" si="9"/>
        <v>1</v>
      </c>
      <c r="M8" s="45">
        <f t="shared" si="10"/>
        <v>83</v>
      </c>
      <c r="N8" s="45">
        <f t="shared" si="11"/>
        <v>74.75</v>
      </c>
      <c r="O8" s="10" t="s">
        <v>286</v>
      </c>
    </row>
    <row r="9" spans="1:15" ht="15" customHeight="1" x14ac:dyDescent="0.25">
      <c r="A9" s="8">
        <f t="shared" si="6"/>
        <v>8</v>
      </c>
      <c r="B9" s="44">
        <v>46186</v>
      </c>
      <c r="C9" s="10" t="s">
        <v>251</v>
      </c>
      <c r="D9" s="10" t="s">
        <v>249</v>
      </c>
      <c r="E9" s="10" t="s">
        <v>249</v>
      </c>
      <c r="F9" s="10">
        <v>11</v>
      </c>
      <c r="G9" s="10" t="s">
        <v>25</v>
      </c>
      <c r="H9" s="10" t="s">
        <v>284</v>
      </c>
      <c r="I9" s="10" t="s">
        <v>14</v>
      </c>
      <c r="J9" s="8">
        <f t="shared" si="7"/>
        <v>1</v>
      </c>
      <c r="K9" s="8">
        <f t="shared" si="8"/>
        <v>1</v>
      </c>
      <c r="L9" s="8">
        <f t="shared" si="9"/>
        <v>1</v>
      </c>
      <c r="M9" s="45">
        <f t="shared" si="10"/>
        <v>100</v>
      </c>
      <c r="N9" s="45">
        <f t="shared" si="11"/>
        <v>48.222222222222221</v>
      </c>
      <c r="O9" s="10" t="s">
        <v>286</v>
      </c>
    </row>
    <row r="10" spans="1:15" ht="15" customHeight="1" x14ac:dyDescent="0.25">
      <c r="A10" s="8">
        <f t="shared" si="6"/>
        <v>9</v>
      </c>
      <c r="B10" s="44">
        <v>46217</v>
      </c>
      <c r="C10" s="10" t="s">
        <v>254</v>
      </c>
      <c r="D10" s="10" t="s">
        <v>261</v>
      </c>
      <c r="E10" s="10" t="s">
        <v>261</v>
      </c>
      <c r="F10" s="10">
        <v>12</v>
      </c>
      <c r="G10" s="10" t="s">
        <v>25</v>
      </c>
      <c r="H10" s="10" t="s">
        <v>58</v>
      </c>
      <c r="I10" s="10" t="s">
        <v>14</v>
      </c>
      <c r="J10" s="8">
        <f t="shared" si="7"/>
        <v>1</v>
      </c>
      <c r="K10" s="8">
        <f t="shared" si="8"/>
        <v>0.5</v>
      </c>
      <c r="L10" s="8">
        <f t="shared" si="9"/>
        <v>1</v>
      </c>
      <c r="M10" s="45">
        <f t="shared" si="10"/>
        <v>83</v>
      </c>
      <c r="N10" s="45">
        <f t="shared" si="11"/>
        <v>83</v>
      </c>
      <c r="O10" s="10" t="s">
        <v>286</v>
      </c>
    </row>
    <row r="11" spans="1:15" ht="15" customHeight="1" x14ac:dyDescent="0.25">
      <c r="A11" s="8">
        <f t="shared" si="6"/>
        <v>10</v>
      </c>
      <c r="B11" s="44">
        <v>46249</v>
      </c>
      <c r="C11" s="10" t="s">
        <v>257</v>
      </c>
      <c r="D11" s="10" t="s">
        <v>265</v>
      </c>
      <c r="E11" s="10" t="s">
        <v>265</v>
      </c>
      <c r="F11" s="10">
        <v>13</v>
      </c>
      <c r="G11" s="10" t="s">
        <v>30</v>
      </c>
      <c r="H11" s="10" t="s">
        <v>283</v>
      </c>
      <c r="I11" s="10" t="s">
        <v>52</v>
      </c>
      <c r="J11" s="8">
        <f t="shared" si="7"/>
        <v>0</v>
      </c>
      <c r="K11" s="8">
        <f t="shared" si="8"/>
        <v>0</v>
      </c>
      <c r="L11" s="8">
        <f t="shared" si="9"/>
        <v>0</v>
      </c>
      <c r="M11" s="45">
        <f t="shared" si="10"/>
        <v>0</v>
      </c>
      <c r="N11" s="45">
        <f t="shared" si="11"/>
        <v>49.875</v>
      </c>
      <c r="O11" s="10" t="s">
        <v>285</v>
      </c>
    </row>
    <row r="12" spans="1:15" ht="15" customHeight="1" x14ac:dyDescent="0.25">
      <c r="A12" s="8">
        <f t="shared" si="6"/>
        <v>11</v>
      </c>
      <c r="B12" s="44">
        <v>46189</v>
      </c>
      <c r="C12" s="10" t="s">
        <v>260</v>
      </c>
      <c r="D12" s="10" t="s">
        <v>255</v>
      </c>
      <c r="E12" s="10" t="s">
        <v>255</v>
      </c>
      <c r="F12" s="10">
        <v>14</v>
      </c>
      <c r="G12" s="10" t="s">
        <v>25</v>
      </c>
      <c r="H12" s="10" t="s">
        <v>284</v>
      </c>
      <c r="I12" s="10" t="s">
        <v>14</v>
      </c>
      <c r="J12" s="8">
        <f t="shared" si="7"/>
        <v>1</v>
      </c>
      <c r="K12" s="8">
        <f t="shared" si="8"/>
        <v>1</v>
      </c>
      <c r="L12" s="8">
        <f t="shared" si="9"/>
        <v>1</v>
      </c>
      <c r="M12" s="45">
        <f t="shared" si="10"/>
        <v>100</v>
      </c>
      <c r="N12" s="45">
        <f t="shared" si="11"/>
        <v>74.875</v>
      </c>
      <c r="O12" s="10" t="s">
        <v>286</v>
      </c>
    </row>
    <row r="13" spans="1:15" ht="15" customHeight="1" x14ac:dyDescent="0.25">
      <c r="A13" s="8">
        <f t="shared" si="6"/>
        <v>12</v>
      </c>
      <c r="B13" s="44">
        <v>46220</v>
      </c>
      <c r="C13" s="10" t="s">
        <v>22</v>
      </c>
      <c r="D13" s="10" t="s">
        <v>263</v>
      </c>
      <c r="E13" s="10" t="s">
        <v>263</v>
      </c>
      <c r="F13" s="10">
        <v>15</v>
      </c>
      <c r="G13" s="10" t="s">
        <v>25</v>
      </c>
      <c r="H13" s="10" t="s">
        <v>58</v>
      </c>
      <c r="I13" s="10" t="s">
        <v>14</v>
      </c>
      <c r="J13" s="8">
        <f t="shared" si="7"/>
        <v>1</v>
      </c>
      <c r="K13" s="8">
        <f t="shared" si="8"/>
        <v>0.5</v>
      </c>
      <c r="L13" s="8">
        <f t="shared" si="9"/>
        <v>1</v>
      </c>
      <c r="M13" s="45">
        <f t="shared" si="10"/>
        <v>83</v>
      </c>
      <c r="N13" s="45">
        <f t="shared" si="11"/>
        <v>45.75</v>
      </c>
      <c r="O13" s="10" t="s">
        <v>286</v>
      </c>
    </row>
    <row r="14" spans="1:15" ht="15" customHeight="1" x14ac:dyDescent="0.25">
      <c r="A14" s="8">
        <f t="shared" si="6"/>
        <v>13</v>
      </c>
      <c r="B14" s="44">
        <v>46252</v>
      </c>
      <c r="C14" s="10" t="s">
        <v>248</v>
      </c>
      <c r="D14" s="10" t="s">
        <v>249</v>
      </c>
      <c r="E14" s="10" t="s">
        <v>249</v>
      </c>
      <c r="F14" s="10">
        <v>16</v>
      </c>
      <c r="G14" s="10" t="s">
        <v>25</v>
      </c>
      <c r="H14" s="10" t="s">
        <v>58</v>
      </c>
      <c r="I14" s="10" t="s">
        <v>26</v>
      </c>
      <c r="J14" s="8">
        <f t="shared" si="7"/>
        <v>1</v>
      </c>
      <c r="K14" s="8">
        <f t="shared" si="8"/>
        <v>0.5</v>
      </c>
      <c r="L14" s="8">
        <f t="shared" si="9"/>
        <v>-1</v>
      </c>
      <c r="M14" s="45">
        <f t="shared" si="10"/>
        <v>17</v>
      </c>
      <c r="N14" s="45">
        <f t="shared" si="11"/>
        <v>74.75</v>
      </c>
      <c r="O14" s="10" t="s">
        <v>287</v>
      </c>
    </row>
    <row r="15" spans="1:15" ht="15" customHeight="1" x14ac:dyDescent="0.25">
      <c r="A15" s="8">
        <f t="shared" si="6"/>
        <v>14</v>
      </c>
      <c r="B15" s="44">
        <v>46192</v>
      </c>
      <c r="C15" s="10" t="s">
        <v>251</v>
      </c>
      <c r="D15" s="10" t="s">
        <v>261</v>
      </c>
      <c r="E15" s="10" t="s">
        <v>261</v>
      </c>
      <c r="F15" s="10">
        <v>17</v>
      </c>
      <c r="G15" s="10" t="s">
        <v>25</v>
      </c>
      <c r="H15" s="10" t="s">
        <v>284</v>
      </c>
      <c r="I15" s="10" t="s">
        <v>52</v>
      </c>
      <c r="J15" s="8">
        <f t="shared" si="7"/>
        <v>1</v>
      </c>
      <c r="K15" s="8">
        <f t="shared" si="8"/>
        <v>1</v>
      </c>
      <c r="L15" s="8">
        <f t="shared" si="9"/>
        <v>0</v>
      </c>
      <c r="M15" s="45">
        <f t="shared" si="10"/>
        <v>67</v>
      </c>
      <c r="N15" s="45">
        <f t="shared" si="11"/>
        <v>48.222222222222221</v>
      </c>
      <c r="O15" s="10" t="s">
        <v>287</v>
      </c>
    </row>
    <row r="16" spans="1:15" ht="15" customHeight="1" x14ac:dyDescent="0.25">
      <c r="A16" s="8">
        <f t="shared" si="6"/>
        <v>15</v>
      </c>
      <c r="B16" s="44">
        <v>46223</v>
      </c>
      <c r="C16" s="10" t="s">
        <v>254</v>
      </c>
      <c r="D16" s="10" t="s">
        <v>265</v>
      </c>
      <c r="E16" s="10" t="s">
        <v>265</v>
      </c>
      <c r="F16" s="10">
        <v>18</v>
      </c>
      <c r="G16" s="10" t="s">
        <v>25</v>
      </c>
      <c r="H16" s="10" t="s">
        <v>58</v>
      </c>
      <c r="I16" s="10" t="s">
        <v>14</v>
      </c>
      <c r="J16" s="8">
        <f t="shared" si="7"/>
        <v>1</v>
      </c>
      <c r="K16" s="8">
        <f t="shared" si="8"/>
        <v>0.5</v>
      </c>
      <c r="L16" s="8">
        <f t="shared" si="9"/>
        <v>1</v>
      </c>
      <c r="M16" s="45">
        <f t="shared" si="10"/>
        <v>83</v>
      </c>
      <c r="N16" s="45">
        <f t="shared" si="11"/>
        <v>83</v>
      </c>
      <c r="O16" s="10" t="s">
        <v>286</v>
      </c>
    </row>
    <row r="17" spans="1:15" ht="15" customHeight="1" x14ac:dyDescent="0.25">
      <c r="A17" s="8">
        <f t="shared" si="6"/>
        <v>16</v>
      </c>
      <c r="B17" s="44">
        <v>46255</v>
      </c>
      <c r="C17" s="10" t="s">
        <v>257</v>
      </c>
      <c r="D17" s="10" t="s">
        <v>255</v>
      </c>
      <c r="E17" s="10" t="s">
        <v>255</v>
      </c>
      <c r="F17" s="10">
        <v>19</v>
      </c>
      <c r="G17" s="10" t="s">
        <v>25</v>
      </c>
      <c r="H17" s="10" t="s">
        <v>58</v>
      </c>
      <c r="I17" s="10" t="s">
        <v>14</v>
      </c>
      <c r="J17" s="8">
        <f t="shared" si="7"/>
        <v>1</v>
      </c>
      <c r="K17" s="8">
        <f t="shared" si="8"/>
        <v>0.5</v>
      </c>
      <c r="L17" s="8">
        <f t="shared" si="9"/>
        <v>1</v>
      </c>
      <c r="M17" s="45">
        <f t="shared" si="10"/>
        <v>83</v>
      </c>
      <c r="N17" s="45">
        <f t="shared" si="11"/>
        <v>49.875</v>
      </c>
      <c r="O17" s="10" t="s">
        <v>286</v>
      </c>
    </row>
    <row r="18" spans="1:15" ht="15" customHeight="1" x14ac:dyDescent="0.25">
      <c r="A18" s="8">
        <f t="shared" si="6"/>
        <v>17</v>
      </c>
      <c r="B18" s="44">
        <v>46195</v>
      </c>
      <c r="C18" s="10" t="s">
        <v>260</v>
      </c>
      <c r="D18" s="10" t="s">
        <v>263</v>
      </c>
      <c r="E18" s="10" t="s">
        <v>263</v>
      </c>
      <c r="F18" s="10">
        <v>20</v>
      </c>
      <c r="G18" s="10" t="s">
        <v>30</v>
      </c>
      <c r="H18" s="10" t="s">
        <v>283</v>
      </c>
      <c r="I18" s="10" t="s">
        <v>14</v>
      </c>
      <c r="J18" s="8">
        <f t="shared" si="7"/>
        <v>0</v>
      </c>
      <c r="K18" s="8">
        <f t="shared" si="8"/>
        <v>0</v>
      </c>
      <c r="L18" s="8">
        <f t="shared" si="9"/>
        <v>1</v>
      </c>
      <c r="M18" s="45">
        <f t="shared" si="10"/>
        <v>33</v>
      </c>
      <c r="N18" s="45">
        <f t="shared" si="11"/>
        <v>74.875</v>
      </c>
      <c r="O18" s="10" t="s">
        <v>285</v>
      </c>
    </row>
    <row r="19" spans="1:15" ht="15" customHeight="1" x14ac:dyDescent="0.25">
      <c r="A19" s="8">
        <f t="shared" si="6"/>
        <v>18</v>
      </c>
      <c r="B19" s="44">
        <v>46226</v>
      </c>
      <c r="C19" s="10" t="s">
        <v>22</v>
      </c>
      <c r="D19" s="10" t="s">
        <v>249</v>
      </c>
      <c r="E19" s="10" t="s">
        <v>249</v>
      </c>
      <c r="F19" s="10">
        <v>21</v>
      </c>
      <c r="G19" s="10" t="s">
        <v>30</v>
      </c>
      <c r="H19" s="10" t="s">
        <v>283</v>
      </c>
      <c r="I19" s="10" t="s">
        <v>52</v>
      </c>
      <c r="J19" s="8">
        <f t="shared" si="7"/>
        <v>0</v>
      </c>
      <c r="K19" s="8">
        <f t="shared" si="8"/>
        <v>0</v>
      </c>
      <c r="L19" s="8">
        <f t="shared" si="9"/>
        <v>0</v>
      </c>
      <c r="M19" s="45">
        <f t="shared" si="10"/>
        <v>0</v>
      </c>
      <c r="N19" s="45">
        <f t="shared" si="11"/>
        <v>45.75</v>
      </c>
      <c r="O19" s="10" t="s">
        <v>285</v>
      </c>
    </row>
    <row r="20" spans="1:15" ht="15" customHeight="1" x14ac:dyDescent="0.25">
      <c r="A20" s="8">
        <f t="shared" si="6"/>
        <v>19</v>
      </c>
      <c r="B20" s="44">
        <v>46258</v>
      </c>
      <c r="C20" s="10" t="s">
        <v>248</v>
      </c>
      <c r="D20" s="10" t="s">
        <v>261</v>
      </c>
      <c r="E20" s="10" t="s">
        <v>261</v>
      </c>
      <c r="F20" s="10">
        <v>22</v>
      </c>
      <c r="G20" s="10" t="s">
        <v>25</v>
      </c>
      <c r="H20" s="10" t="s">
        <v>58</v>
      </c>
      <c r="I20" s="10" t="s">
        <v>14</v>
      </c>
      <c r="J20" s="8">
        <f t="shared" si="7"/>
        <v>1</v>
      </c>
      <c r="K20" s="8">
        <f t="shared" si="8"/>
        <v>0.5</v>
      </c>
      <c r="L20" s="8">
        <f t="shared" si="9"/>
        <v>1</v>
      </c>
      <c r="M20" s="45">
        <f t="shared" si="10"/>
        <v>83</v>
      </c>
      <c r="N20" s="45">
        <f t="shared" si="11"/>
        <v>74.75</v>
      </c>
      <c r="O20" s="10" t="s">
        <v>286</v>
      </c>
    </row>
    <row r="21" spans="1:15" ht="15" customHeight="1" x14ac:dyDescent="0.25">
      <c r="A21" s="8">
        <f t="shared" si="6"/>
        <v>20</v>
      </c>
      <c r="B21" s="44">
        <v>46180</v>
      </c>
      <c r="C21" s="10" t="s">
        <v>251</v>
      </c>
      <c r="D21" s="10" t="s">
        <v>265</v>
      </c>
      <c r="E21" s="10" t="s">
        <v>265</v>
      </c>
      <c r="F21" s="10">
        <v>23</v>
      </c>
      <c r="G21" s="10" t="s">
        <v>25</v>
      </c>
      <c r="H21" s="10" t="s">
        <v>284</v>
      </c>
      <c r="I21" s="10" t="s">
        <v>14</v>
      </c>
      <c r="J21" s="8">
        <f t="shared" si="7"/>
        <v>1</v>
      </c>
      <c r="K21" s="8">
        <f t="shared" si="8"/>
        <v>1</v>
      </c>
      <c r="L21" s="8">
        <f t="shared" si="9"/>
        <v>1</v>
      </c>
      <c r="M21" s="45">
        <f t="shared" si="10"/>
        <v>100</v>
      </c>
      <c r="N21" s="45">
        <f t="shared" si="11"/>
        <v>48.222222222222221</v>
      </c>
      <c r="O21" s="10" t="s">
        <v>286</v>
      </c>
    </row>
    <row r="22" spans="1:15" ht="15" customHeight="1" x14ac:dyDescent="0.25">
      <c r="A22" s="8">
        <f t="shared" si="6"/>
        <v>21</v>
      </c>
      <c r="B22" s="44">
        <v>46211</v>
      </c>
      <c r="C22" s="10" t="s">
        <v>254</v>
      </c>
      <c r="D22" s="10" t="s">
        <v>255</v>
      </c>
      <c r="E22" s="10" t="s">
        <v>255</v>
      </c>
      <c r="F22" s="10">
        <v>24</v>
      </c>
      <c r="G22" s="10" t="s">
        <v>25</v>
      </c>
      <c r="H22" s="10" t="s">
        <v>58</v>
      </c>
      <c r="I22" s="10" t="s">
        <v>14</v>
      </c>
      <c r="J22" s="8">
        <f t="shared" si="7"/>
        <v>1</v>
      </c>
      <c r="K22" s="8">
        <f t="shared" si="8"/>
        <v>0.5</v>
      </c>
      <c r="L22" s="8">
        <f t="shared" si="9"/>
        <v>1</v>
      </c>
      <c r="M22" s="45">
        <f t="shared" si="10"/>
        <v>83</v>
      </c>
      <c r="N22" s="45">
        <f t="shared" si="11"/>
        <v>83</v>
      </c>
      <c r="O22" s="10" t="s">
        <v>286</v>
      </c>
    </row>
    <row r="23" spans="1:15" ht="15" customHeight="1" x14ac:dyDescent="0.25">
      <c r="A23" s="8">
        <f t="shared" si="6"/>
        <v>22</v>
      </c>
      <c r="B23" s="44">
        <v>46243</v>
      </c>
      <c r="C23" s="10" t="s">
        <v>257</v>
      </c>
      <c r="D23" s="10" t="s">
        <v>263</v>
      </c>
      <c r="E23" s="10" t="s">
        <v>263</v>
      </c>
      <c r="F23" s="10">
        <v>25</v>
      </c>
      <c r="G23" s="10" t="s">
        <v>25</v>
      </c>
      <c r="H23" s="10" t="s">
        <v>58</v>
      </c>
      <c r="I23" s="10" t="s">
        <v>52</v>
      </c>
      <c r="J23" s="8">
        <f t="shared" si="7"/>
        <v>1</v>
      </c>
      <c r="K23" s="8">
        <f t="shared" si="8"/>
        <v>0.5</v>
      </c>
      <c r="L23" s="8">
        <f t="shared" si="9"/>
        <v>0</v>
      </c>
      <c r="M23" s="45">
        <f t="shared" si="10"/>
        <v>50</v>
      </c>
      <c r="N23" s="45">
        <f t="shared" si="11"/>
        <v>49.875</v>
      </c>
      <c r="O23" s="10" t="s">
        <v>287</v>
      </c>
    </row>
    <row r="24" spans="1:15" ht="15" customHeight="1" x14ac:dyDescent="0.25">
      <c r="A24" s="8">
        <f t="shared" si="6"/>
        <v>23</v>
      </c>
      <c r="B24" s="44">
        <v>46183</v>
      </c>
      <c r="C24" s="10" t="s">
        <v>260</v>
      </c>
      <c r="D24" s="10" t="s">
        <v>249</v>
      </c>
      <c r="E24" s="10" t="s">
        <v>249</v>
      </c>
      <c r="F24" s="10">
        <v>5</v>
      </c>
      <c r="G24" s="10" t="s">
        <v>25</v>
      </c>
      <c r="H24" s="10" t="s">
        <v>284</v>
      </c>
      <c r="I24" s="10" t="s">
        <v>14</v>
      </c>
      <c r="J24" s="8">
        <f t="shared" si="7"/>
        <v>1</v>
      </c>
      <c r="K24" s="8">
        <f t="shared" si="8"/>
        <v>1</v>
      </c>
      <c r="L24" s="8">
        <f t="shared" si="9"/>
        <v>1</v>
      </c>
      <c r="M24" s="45">
        <f t="shared" si="10"/>
        <v>100</v>
      </c>
      <c r="N24" s="45">
        <f t="shared" si="11"/>
        <v>74.875</v>
      </c>
      <c r="O24" s="10" t="s">
        <v>286</v>
      </c>
    </row>
    <row r="25" spans="1:15" ht="15" customHeight="1" x14ac:dyDescent="0.25">
      <c r="A25" s="8">
        <f t="shared" si="6"/>
        <v>24</v>
      </c>
      <c r="B25" s="44">
        <v>46214</v>
      </c>
      <c r="C25" s="10" t="s">
        <v>22</v>
      </c>
      <c r="D25" s="10" t="s">
        <v>261</v>
      </c>
      <c r="E25" s="10" t="s">
        <v>261</v>
      </c>
      <c r="F25" s="10">
        <v>6</v>
      </c>
      <c r="G25" s="10" t="s">
        <v>25</v>
      </c>
      <c r="H25" s="10" t="s">
        <v>58</v>
      </c>
      <c r="I25" s="10" t="s">
        <v>26</v>
      </c>
      <c r="J25" s="8">
        <f t="shared" si="7"/>
        <v>1</v>
      </c>
      <c r="K25" s="8">
        <f t="shared" si="8"/>
        <v>0.5</v>
      </c>
      <c r="L25" s="8">
        <f t="shared" si="9"/>
        <v>-1</v>
      </c>
      <c r="M25" s="45">
        <f t="shared" si="10"/>
        <v>17</v>
      </c>
      <c r="N25" s="45">
        <f t="shared" si="11"/>
        <v>45.75</v>
      </c>
      <c r="O25" s="10" t="s">
        <v>287</v>
      </c>
    </row>
    <row r="26" spans="1:15" ht="15" customHeight="1" x14ac:dyDescent="0.25">
      <c r="A26" s="8">
        <f t="shared" si="6"/>
        <v>25</v>
      </c>
      <c r="B26" s="44">
        <v>46246</v>
      </c>
      <c r="C26" s="10" t="s">
        <v>248</v>
      </c>
      <c r="D26" s="10" t="s">
        <v>265</v>
      </c>
      <c r="E26" s="10" t="s">
        <v>265</v>
      </c>
      <c r="F26" s="10">
        <v>7</v>
      </c>
      <c r="G26" s="10" t="s">
        <v>25</v>
      </c>
      <c r="H26" s="10" t="s">
        <v>58</v>
      </c>
      <c r="I26" s="10" t="s">
        <v>14</v>
      </c>
      <c r="J26" s="8">
        <f t="shared" si="7"/>
        <v>1</v>
      </c>
      <c r="K26" s="8">
        <f t="shared" si="8"/>
        <v>0.5</v>
      </c>
      <c r="L26" s="8">
        <f t="shared" si="9"/>
        <v>1</v>
      </c>
      <c r="M26" s="45">
        <f t="shared" si="10"/>
        <v>83</v>
      </c>
      <c r="N26" s="45">
        <f t="shared" si="11"/>
        <v>74.75</v>
      </c>
      <c r="O26" s="10" t="s">
        <v>286</v>
      </c>
    </row>
    <row r="27" spans="1:15" ht="15" customHeight="1" x14ac:dyDescent="0.25">
      <c r="A27" s="8">
        <f t="shared" si="6"/>
        <v>26</v>
      </c>
      <c r="B27" s="44">
        <v>46186</v>
      </c>
      <c r="C27" s="10" t="s">
        <v>251</v>
      </c>
      <c r="D27" s="10" t="s">
        <v>255</v>
      </c>
      <c r="E27" s="10" t="s">
        <v>255</v>
      </c>
      <c r="F27" s="10">
        <v>8</v>
      </c>
      <c r="G27" s="10" t="s">
        <v>30</v>
      </c>
      <c r="H27" s="10" t="s">
        <v>283</v>
      </c>
      <c r="I27" s="10" t="s">
        <v>52</v>
      </c>
      <c r="J27" s="8">
        <f t="shared" si="7"/>
        <v>0</v>
      </c>
      <c r="K27" s="8">
        <f t="shared" si="8"/>
        <v>0</v>
      </c>
      <c r="L27" s="8">
        <f t="shared" si="9"/>
        <v>0</v>
      </c>
      <c r="M27" s="45">
        <f t="shared" si="10"/>
        <v>0</v>
      </c>
      <c r="N27" s="45">
        <f t="shared" si="11"/>
        <v>48.222222222222221</v>
      </c>
      <c r="O27" s="10" t="s">
        <v>285</v>
      </c>
    </row>
    <row r="28" spans="1:15" ht="15" customHeight="1" x14ac:dyDescent="0.25">
      <c r="A28" s="8">
        <f t="shared" si="6"/>
        <v>27</v>
      </c>
      <c r="B28" s="44">
        <v>46217</v>
      </c>
      <c r="C28" s="10" t="s">
        <v>254</v>
      </c>
      <c r="D28" s="10" t="s">
        <v>263</v>
      </c>
      <c r="E28" s="10" t="s">
        <v>263</v>
      </c>
      <c r="F28" s="10">
        <v>9</v>
      </c>
      <c r="G28" s="10" t="s">
        <v>25</v>
      </c>
      <c r="H28" s="10" t="s">
        <v>58</v>
      </c>
      <c r="I28" s="10" t="s">
        <v>14</v>
      </c>
      <c r="J28" s="8">
        <f t="shared" si="7"/>
        <v>1</v>
      </c>
      <c r="K28" s="8">
        <f t="shared" si="8"/>
        <v>0.5</v>
      </c>
      <c r="L28" s="8">
        <f t="shared" si="9"/>
        <v>1</v>
      </c>
      <c r="M28" s="45">
        <f t="shared" si="10"/>
        <v>83</v>
      </c>
      <c r="N28" s="45">
        <f t="shared" si="11"/>
        <v>83</v>
      </c>
      <c r="O28" s="10" t="s">
        <v>286</v>
      </c>
    </row>
    <row r="29" spans="1:15" ht="15" customHeight="1" x14ac:dyDescent="0.25">
      <c r="A29" s="8">
        <f t="shared" si="6"/>
        <v>28</v>
      </c>
      <c r="B29" s="44">
        <v>46249</v>
      </c>
      <c r="C29" s="10" t="s">
        <v>257</v>
      </c>
      <c r="D29" s="10" t="s">
        <v>249</v>
      </c>
      <c r="E29" s="10" t="s">
        <v>249</v>
      </c>
      <c r="F29" s="10">
        <v>10</v>
      </c>
      <c r="G29" s="10" t="s">
        <v>25</v>
      </c>
      <c r="H29" s="10" t="s">
        <v>58</v>
      </c>
      <c r="I29" s="10" t="s">
        <v>14</v>
      </c>
      <c r="J29" s="8">
        <f t="shared" si="7"/>
        <v>1</v>
      </c>
      <c r="K29" s="8">
        <f t="shared" si="8"/>
        <v>0.5</v>
      </c>
      <c r="L29" s="8">
        <f t="shared" si="9"/>
        <v>1</v>
      </c>
      <c r="M29" s="45">
        <f t="shared" si="10"/>
        <v>83</v>
      </c>
      <c r="N29" s="45">
        <f t="shared" si="11"/>
        <v>49.875</v>
      </c>
      <c r="O29" s="10" t="s">
        <v>286</v>
      </c>
    </row>
    <row r="30" spans="1:15" ht="15" customHeight="1" x14ac:dyDescent="0.25">
      <c r="A30" s="8">
        <f t="shared" si="6"/>
        <v>29</v>
      </c>
      <c r="B30" s="44">
        <v>46189</v>
      </c>
      <c r="C30" s="10" t="s">
        <v>260</v>
      </c>
      <c r="D30" s="10" t="s">
        <v>261</v>
      </c>
      <c r="E30" s="10" t="s">
        <v>261</v>
      </c>
      <c r="F30" s="10">
        <v>11</v>
      </c>
      <c r="G30" s="10" t="s">
        <v>25</v>
      </c>
      <c r="H30" s="10" t="s">
        <v>284</v>
      </c>
      <c r="I30" s="10" t="s">
        <v>14</v>
      </c>
      <c r="J30" s="8">
        <f t="shared" si="7"/>
        <v>1</v>
      </c>
      <c r="K30" s="8">
        <f t="shared" si="8"/>
        <v>1</v>
      </c>
      <c r="L30" s="8">
        <f t="shared" si="9"/>
        <v>1</v>
      </c>
      <c r="M30" s="45">
        <f t="shared" si="10"/>
        <v>100</v>
      </c>
      <c r="N30" s="45">
        <f t="shared" si="11"/>
        <v>74.875</v>
      </c>
      <c r="O30" s="10" t="s">
        <v>286</v>
      </c>
    </row>
    <row r="31" spans="1:15" ht="15" customHeight="1" x14ac:dyDescent="0.25">
      <c r="A31" s="8">
        <f t="shared" si="6"/>
        <v>30</v>
      </c>
      <c r="B31" s="44">
        <v>46220</v>
      </c>
      <c r="C31" s="10" t="s">
        <v>22</v>
      </c>
      <c r="D31" s="10" t="s">
        <v>265</v>
      </c>
      <c r="E31" s="10" t="s">
        <v>265</v>
      </c>
      <c r="F31" s="10">
        <v>12</v>
      </c>
      <c r="G31" s="10" t="s">
        <v>25</v>
      </c>
      <c r="H31" s="10" t="s">
        <v>58</v>
      </c>
      <c r="I31" s="10" t="s">
        <v>52</v>
      </c>
      <c r="J31" s="8">
        <f t="shared" si="7"/>
        <v>1</v>
      </c>
      <c r="K31" s="8">
        <f t="shared" si="8"/>
        <v>0.5</v>
      </c>
      <c r="L31" s="8">
        <f t="shared" si="9"/>
        <v>0</v>
      </c>
      <c r="M31" s="45">
        <f t="shared" si="10"/>
        <v>50</v>
      </c>
      <c r="N31" s="45">
        <f t="shared" si="11"/>
        <v>45.75</v>
      </c>
      <c r="O31" s="10" t="s">
        <v>287</v>
      </c>
    </row>
    <row r="32" spans="1:15" ht="15" customHeight="1" x14ac:dyDescent="0.25">
      <c r="A32" s="8">
        <f t="shared" si="6"/>
        <v>31</v>
      </c>
      <c r="B32" s="44">
        <v>46252</v>
      </c>
      <c r="C32" s="10" t="s">
        <v>248</v>
      </c>
      <c r="D32" s="10" t="s">
        <v>255</v>
      </c>
      <c r="E32" s="10" t="s">
        <v>255</v>
      </c>
      <c r="F32" s="10">
        <v>13</v>
      </c>
      <c r="G32" s="10" t="s">
        <v>25</v>
      </c>
      <c r="H32" s="10" t="s">
        <v>58</v>
      </c>
      <c r="I32" s="10" t="s">
        <v>14</v>
      </c>
      <c r="J32" s="8">
        <f t="shared" si="7"/>
        <v>1</v>
      </c>
      <c r="K32" s="8">
        <f t="shared" si="8"/>
        <v>0.5</v>
      </c>
      <c r="L32" s="8">
        <f t="shared" si="9"/>
        <v>1</v>
      </c>
      <c r="M32" s="45">
        <f t="shared" si="10"/>
        <v>83</v>
      </c>
      <c r="N32" s="45">
        <f t="shared" si="11"/>
        <v>74.75</v>
      </c>
      <c r="O32" s="10" t="s">
        <v>286</v>
      </c>
    </row>
    <row r="33" spans="1:15" ht="15" customHeight="1" x14ac:dyDescent="0.25">
      <c r="A33" s="8">
        <f t="shared" si="6"/>
        <v>32</v>
      </c>
      <c r="B33" s="44">
        <v>46192</v>
      </c>
      <c r="C33" s="10" t="s">
        <v>251</v>
      </c>
      <c r="D33" s="10" t="s">
        <v>263</v>
      </c>
      <c r="E33" s="10" t="s">
        <v>263</v>
      </c>
      <c r="F33" s="10">
        <v>14</v>
      </c>
      <c r="G33" s="10" t="s">
        <v>30</v>
      </c>
      <c r="H33" s="10" t="s">
        <v>283</v>
      </c>
      <c r="I33" s="10" t="s">
        <v>14</v>
      </c>
      <c r="J33" s="8">
        <f t="shared" si="7"/>
        <v>0</v>
      </c>
      <c r="K33" s="8">
        <f t="shared" si="8"/>
        <v>0</v>
      </c>
      <c r="L33" s="8">
        <f t="shared" si="9"/>
        <v>1</v>
      </c>
      <c r="M33" s="45">
        <f t="shared" si="10"/>
        <v>33</v>
      </c>
      <c r="N33" s="45">
        <f t="shared" si="11"/>
        <v>48.222222222222221</v>
      </c>
      <c r="O33" s="10" t="s">
        <v>285</v>
      </c>
    </row>
    <row r="34" spans="1:15" ht="15" customHeight="1" x14ac:dyDescent="0.25">
      <c r="A34" s="8">
        <f t="shared" si="6"/>
        <v>33</v>
      </c>
      <c r="B34" s="44">
        <v>46223</v>
      </c>
      <c r="C34" s="10" t="s">
        <v>254</v>
      </c>
      <c r="D34" s="10" t="s">
        <v>249</v>
      </c>
      <c r="E34" s="10" t="s">
        <v>249</v>
      </c>
      <c r="F34" s="10">
        <v>15</v>
      </c>
      <c r="G34" s="10" t="s">
        <v>25</v>
      </c>
      <c r="H34" s="10" t="s">
        <v>58</v>
      </c>
      <c r="I34" s="10" t="s">
        <v>14</v>
      </c>
      <c r="J34" s="8">
        <f t="shared" si="7"/>
        <v>1</v>
      </c>
      <c r="K34" s="8">
        <f t="shared" si="8"/>
        <v>0.5</v>
      </c>
      <c r="L34" s="8">
        <f t="shared" si="9"/>
        <v>1</v>
      </c>
      <c r="M34" s="45">
        <f t="shared" si="10"/>
        <v>83</v>
      </c>
      <c r="N34" s="45">
        <f t="shared" si="11"/>
        <v>83</v>
      </c>
      <c r="O34" s="10" t="s">
        <v>286</v>
      </c>
    </row>
    <row r="35" spans="1:15" ht="15" customHeight="1" x14ac:dyDescent="0.25">
      <c r="A35" s="8">
        <f t="shared" si="6"/>
        <v>34</v>
      </c>
      <c r="B35" s="44">
        <v>46255</v>
      </c>
      <c r="C35" s="10" t="s">
        <v>257</v>
      </c>
      <c r="D35" s="10" t="s">
        <v>261</v>
      </c>
      <c r="E35" s="10" t="s">
        <v>261</v>
      </c>
      <c r="F35" s="10">
        <v>16</v>
      </c>
      <c r="G35" s="10" t="s">
        <v>30</v>
      </c>
      <c r="H35" s="10" t="s">
        <v>283</v>
      </c>
      <c r="I35" s="10" t="s">
        <v>52</v>
      </c>
      <c r="J35" s="8">
        <f t="shared" si="7"/>
        <v>0</v>
      </c>
      <c r="K35" s="8">
        <f t="shared" si="8"/>
        <v>0</v>
      </c>
      <c r="L35" s="8">
        <f t="shared" si="9"/>
        <v>0</v>
      </c>
      <c r="M35" s="45">
        <f t="shared" si="10"/>
        <v>0</v>
      </c>
      <c r="N35" s="45">
        <f t="shared" si="11"/>
        <v>49.875</v>
      </c>
      <c r="O35" s="10" t="s">
        <v>285</v>
      </c>
    </row>
    <row r="36" spans="1:15" ht="15" customHeight="1" x14ac:dyDescent="0.25">
      <c r="A36" s="8">
        <f t="shared" si="6"/>
        <v>35</v>
      </c>
      <c r="B36" s="44">
        <v>46195</v>
      </c>
      <c r="C36" s="10" t="s">
        <v>260</v>
      </c>
      <c r="D36" s="10" t="s">
        <v>265</v>
      </c>
      <c r="E36" s="10" t="s">
        <v>265</v>
      </c>
      <c r="F36" s="10">
        <v>17</v>
      </c>
      <c r="G36" s="10" t="s">
        <v>25</v>
      </c>
      <c r="H36" s="10" t="s">
        <v>284</v>
      </c>
      <c r="I36" s="10" t="s">
        <v>26</v>
      </c>
      <c r="J36" s="8">
        <f t="shared" si="7"/>
        <v>1</v>
      </c>
      <c r="K36" s="8">
        <f t="shared" si="8"/>
        <v>1</v>
      </c>
      <c r="L36" s="8">
        <f t="shared" si="9"/>
        <v>-1</v>
      </c>
      <c r="M36" s="45">
        <f t="shared" si="10"/>
        <v>33</v>
      </c>
      <c r="N36" s="45">
        <f t="shared" si="11"/>
        <v>74.875</v>
      </c>
      <c r="O36" s="10" t="s">
        <v>287</v>
      </c>
    </row>
    <row r="37" spans="1:15" ht="15" customHeight="1" x14ac:dyDescent="0.25">
      <c r="A37" s="8">
        <f t="shared" si="6"/>
        <v>36</v>
      </c>
      <c r="B37" s="44">
        <v>46226</v>
      </c>
      <c r="C37" s="10" t="s">
        <v>22</v>
      </c>
      <c r="D37" s="10" t="s">
        <v>255</v>
      </c>
      <c r="E37" s="10" t="s">
        <v>255</v>
      </c>
      <c r="F37" s="10">
        <v>18</v>
      </c>
      <c r="G37" s="10" t="s">
        <v>25</v>
      </c>
      <c r="H37" s="10" t="s">
        <v>58</v>
      </c>
      <c r="I37" s="10" t="s">
        <v>14</v>
      </c>
      <c r="J37" s="8">
        <f t="shared" si="7"/>
        <v>1</v>
      </c>
      <c r="K37" s="8">
        <f t="shared" si="8"/>
        <v>0.5</v>
      </c>
      <c r="L37" s="8">
        <f t="shared" si="9"/>
        <v>1</v>
      </c>
      <c r="M37" s="45">
        <f t="shared" si="10"/>
        <v>83</v>
      </c>
      <c r="N37" s="45">
        <f t="shared" si="11"/>
        <v>45.75</v>
      </c>
      <c r="O37" s="10" t="s">
        <v>286</v>
      </c>
    </row>
    <row r="38" spans="1:15" ht="15" customHeight="1" x14ac:dyDescent="0.25">
      <c r="A38" s="8">
        <f t="shared" si="6"/>
        <v>37</v>
      </c>
      <c r="B38" s="44">
        <v>46258</v>
      </c>
      <c r="C38" s="10" t="s">
        <v>248</v>
      </c>
      <c r="D38" s="10" t="s">
        <v>263</v>
      </c>
      <c r="E38" s="10" t="s">
        <v>263</v>
      </c>
      <c r="F38" s="10">
        <v>19</v>
      </c>
      <c r="G38" s="10" t="s">
        <v>25</v>
      </c>
      <c r="H38" s="10" t="s">
        <v>58</v>
      </c>
      <c r="I38" s="10" t="s">
        <v>14</v>
      </c>
      <c r="J38" s="8">
        <f t="shared" si="7"/>
        <v>1</v>
      </c>
      <c r="K38" s="8">
        <f t="shared" si="8"/>
        <v>0.5</v>
      </c>
      <c r="L38" s="8">
        <f t="shared" si="9"/>
        <v>1</v>
      </c>
      <c r="M38" s="45">
        <f t="shared" si="10"/>
        <v>83</v>
      </c>
      <c r="N38" s="45">
        <f t="shared" si="11"/>
        <v>74.75</v>
      </c>
      <c r="O38" s="10" t="s">
        <v>286</v>
      </c>
    </row>
    <row r="39" spans="1:15" ht="15" customHeight="1" x14ac:dyDescent="0.25">
      <c r="A39" s="8">
        <f t="shared" si="6"/>
        <v>38</v>
      </c>
      <c r="B39" s="44">
        <v>46180</v>
      </c>
      <c r="C39" s="10" t="s">
        <v>251</v>
      </c>
      <c r="D39" s="10" t="s">
        <v>249</v>
      </c>
      <c r="E39" s="10" t="s">
        <v>249</v>
      </c>
      <c r="F39" s="10">
        <v>20</v>
      </c>
      <c r="G39" s="10" t="s">
        <v>25</v>
      </c>
      <c r="H39" s="10" t="s">
        <v>284</v>
      </c>
      <c r="I39" s="10" t="s">
        <v>52</v>
      </c>
      <c r="J39" s="8">
        <f t="shared" si="7"/>
        <v>1</v>
      </c>
      <c r="K39" s="8">
        <f t="shared" si="8"/>
        <v>1</v>
      </c>
      <c r="L39" s="8">
        <f t="shared" si="9"/>
        <v>0</v>
      </c>
      <c r="M39" s="45">
        <f t="shared" si="10"/>
        <v>67</v>
      </c>
      <c r="N39" s="45">
        <f t="shared" si="11"/>
        <v>48.222222222222221</v>
      </c>
      <c r="O39" s="10" t="s">
        <v>287</v>
      </c>
    </row>
    <row r="40" spans="1:15" ht="15" customHeight="1" x14ac:dyDescent="0.25">
      <c r="A40" s="8">
        <f t="shared" si="6"/>
        <v>39</v>
      </c>
      <c r="B40" s="44">
        <v>46211</v>
      </c>
      <c r="C40" s="10" t="s">
        <v>254</v>
      </c>
      <c r="D40" s="10" t="s">
        <v>261</v>
      </c>
      <c r="E40" s="10" t="s">
        <v>261</v>
      </c>
      <c r="F40" s="10">
        <v>21</v>
      </c>
      <c r="G40" s="10" t="s">
        <v>25</v>
      </c>
      <c r="H40" s="10" t="s">
        <v>58</v>
      </c>
      <c r="I40" s="10" t="s">
        <v>14</v>
      </c>
      <c r="J40" s="8">
        <f t="shared" si="7"/>
        <v>1</v>
      </c>
      <c r="K40" s="8">
        <f t="shared" si="8"/>
        <v>0.5</v>
      </c>
      <c r="L40" s="8">
        <f t="shared" si="9"/>
        <v>1</v>
      </c>
      <c r="M40" s="45">
        <f t="shared" si="10"/>
        <v>83</v>
      </c>
      <c r="N40" s="45">
        <f t="shared" si="11"/>
        <v>83</v>
      </c>
      <c r="O40" s="10" t="s">
        <v>286</v>
      </c>
    </row>
    <row r="41" spans="1:15" ht="15" customHeight="1" x14ac:dyDescent="0.25">
      <c r="A41" s="8">
        <f t="shared" si="6"/>
        <v>40</v>
      </c>
      <c r="B41" s="44">
        <v>46243</v>
      </c>
      <c r="C41" s="10" t="s">
        <v>257</v>
      </c>
      <c r="D41" s="10" t="s">
        <v>265</v>
      </c>
      <c r="E41" s="10" t="s">
        <v>265</v>
      </c>
      <c r="F41" s="10">
        <v>22</v>
      </c>
      <c r="G41" s="10" t="s">
        <v>25</v>
      </c>
      <c r="H41" s="10" t="s">
        <v>58</v>
      </c>
      <c r="I41" s="10" t="s">
        <v>14</v>
      </c>
      <c r="J41" s="8">
        <f t="shared" si="7"/>
        <v>1</v>
      </c>
      <c r="K41" s="8">
        <f t="shared" si="8"/>
        <v>0.5</v>
      </c>
      <c r="L41" s="8">
        <f t="shared" si="9"/>
        <v>1</v>
      </c>
      <c r="M41" s="45">
        <f t="shared" si="10"/>
        <v>83</v>
      </c>
      <c r="N41" s="45">
        <f t="shared" si="11"/>
        <v>49.875</v>
      </c>
      <c r="O41" s="10" t="s">
        <v>286</v>
      </c>
    </row>
    <row r="42" spans="1:15" ht="15" customHeight="1" x14ac:dyDescent="0.25">
      <c r="A42" s="8">
        <f t="shared" si="6"/>
        <v>41</v>
      </c>
      <c r="B42" s="44">
        <v>46183</v>
      </c>
      <c r="C42" s="10" t="s">
        <v>260</v>
      </c>
      <c r="D42" s="10" t="s">
        <v>255</v>
      </c>
      <c r="E42" s="10" t="s">
        <v>255</v>
      </c>
      <c r="F42" s="10">
        <v>23</v>
      </c>
      <c r="G42" s="10" t="s">
        <v>25</v>
      </c>
      <c r="H42" s="10" t="s">
        <v>284</v>
      </c>
      <c r="I42" s="10" t="s">
        <v>14</v>
      </c>
      <c r="J42" s="8">
        <f t="shared" si="7"/>
        <v>1</v>
      </c>
      <c r="K42" s="8">
        <f t="shared" si="8"/>
        <v>1</v>
      </c>
      <c r="L42" s="8">
        <f t="shared" si="9"/>
        <v>1</v>
      </c>
      <c r="M42" s="45">
        <f t="shared" si="10"/>
        <v>100</v>
      </c>
      <c r="N42" s="45">
        <f t="shared" si="11"/>
        <v>74.875</v>
      </c>
      <c r="O42" s="10" t="s">
        <v>286</v>
      </c>
    </row>
    <row r="43" spans="1:15" ht="15" customHeight="1" x14ac:dyDescent="0.25">
      <c r="A43" s="8">
        <f t="shared" si="6"/>
        <v>42</v>
      </c>
      <c r="B43" s="44">
        <v>46214</v>
      </c>
      <c r="C43" s="10" t="s">
        <v>22</v>
      </c>
      <c r="D43" s="10" t="s">
        <v>263</v>
      </c>
      <c r="E43" s="10" t="s">
        <v>263</v>
      </c>
      <c r="F43" s="10">
        <v>24</v>
      </c>
      <c r="G43" s="10" t="s">
        <v>30</v>
      </c>
      <c r="H43" s="10" t="s">
        <v>283</v>
      </c>
      <c r="I43" s="10" t="s">
        <v>52</v>
      </c>
      <c r="J43" s="8">
        <f t="shared" si="7"/>
        <v>0</v>
      </c>
      <c r="K43" s="8">
        <f t="shared" si="8"/>
        <v>0</v>
      </c>
      <c r="L43" s="8">
        <f t="shared" si="9"/>
        <v>0</v>
      </c>
      <c r="M43" s="45">
        <f t="shared" si="10"/>
        <v>0</v>
      </c>
      <c r="N43" s="45">
        <f t="shared" si="11"/>
        <v>45.75</v>
      </c>
      <c r="O43" s="10" t="s">
        <v>285</v>
      </c>
    </row>
    <row r="44" spans="1:15" ht="15" customHeight="1" x14ac:dyDescent="0.25">
      <c r="A44" s="8">
        <f t="shared" si="6"/>
        <v>43</v>
      </c>
      <c r="B44" s="44">
        <v>46246</v>
      </c>
      <c r="C44" s="10" t="s">
        <v>248</v>
      </c>
      <c r="D44" s="10" t="s">
        <v>249</v>
      </c>
      <c r="E44" s="10" t="s">
        <v>249</v>
      </c>
      <c r="F44" s="10">
        <v>25</v>
      </c>
      <c r="G44" s="10" t="s">
        <v>25</v>
      </c>
      <c r="H44" s="10" t="s">
        <v>58</v>
      </c>
      <c r="I44" s="10" t="s">
        <v>14</v>
      </c>
      <c r="J44" s="8">
        <f t="shared" si="7"/>
        <v>1</v>
      </c>
      <c r="K44" s="8">
        <f t="shared" si="8"/>
        <v>0.5</v>
      </c>
      <c r="L44" s="8">
        <f t="shared" si="9"/>
        <v>1</v>
      </c>
      <c r="M44" s="45">
        <f t="shared" si="10"/>
        <v>83</v>
      </c>
      <c r="N44" s="45">
        <f t="shared" si="11"/>
        <v>74.75</v>
      </c>
      <c r="O44" s="10" t="s">
        <v>286</v>
      </c>
    </row>
    <row r="45" spans="1:15" ht="15" customHeight="1" x14ac:dyDescent="0.25">
      <c r="A45" s="8">
        <f t="shared" si="6"/>
        <v>44</v>
      </c>
      <c r="B45" s="44">
        <v>46186</v>
      </c>
      <c r="C45" s="10" t="s">
        <v>251</v>
      </c>
      <c r="D45" s="10" t="s">
        <v>261</v>
      </c>
      <c r="E45" s="10" t="s">
        <v>261</v>
      </c>
      <c r="F45" s="10">
        <v>5</v>
      </c>
      <c r="G45" s="10" t="s">
        <v>25</v>
      </c>
      <c r="H45" s="10" t="s">
        <v>284</v>
      </c>
      <c r="I45" s="10" t="s">
        <v>14</v>
      </c>
      <c r="J45" s="8">
        <f t="shared" si="7"/>
        <v>1</v>
      </c>
      <c r="K45" s="8">
        <f t="shared" si="8"/>
        <v>1</v>
      </c>
      <c r="L45" s="8">
        <f t="shared" si="9"/>
        <v>1</v>
      </c>
      <c r="M45" s="45">
        <f t="shared" si="10"/>
        <v>100</v>
      </c>
      <c r="N45" s="45">
        <f t="shared" si="11"/>
        <v>48.222222222222221</v>
      </c>
      <c r="O45" s="10" t="s">
        <v>286</v>
      </c>
    </row>
    <row r="46" spans="1:15" ht="15" customHeight="1" x14ac:dyDescent="0.25">
      <c r="A46" s="8">
        <f t="shared" si="6"/>
        <v>45</v>
      </c>
      <c r="B46" s="44">
        <v>46217</v>
      </c>
      <c r="C46" s="10" t="s">
        <v>254</v>
      </c>
      <c r="D46" s="10" t="s">
        <v>265</v>
      </c>
      <c r="E46" s="10" t="s">
        <v>265</v>
      </c>
      <c r="F46" s="10">
        <v>6</v>
      </c>
      <c r="G46" s="10" t="s">
        <v>25</v>
      </c>
      <c r="H46" s="10" t="s">
        <v>58</v>
      </c>
      <c r="I46" s="10" t="s">
        <v>14</v>
      </c>
      <c r="J46" s="8">
        <f t="shared" si="7"/>
        <v>1</v>
      </c>
      <c r="K46" s="8">
        <f t="shared" si="8"/>
        <v>0.5</v>
      </c>
      <c r="L46" s="8">
        <f t="shared" si="9"/>
        <v>1</v>
      </c>
      <c r="M46" s="45">
        <f t="shared" si="10"/>
        <v>83</v>
      </c>
      <c r="N46" s="45">
        <f t="shared" si="11"/>
        <v>83</v>
      </c>
      <c r="O46" s="10" t="s">
        <v>286</v>
      </c>
    </row>
    <row r="47" spans="1:15" ht="15" customHeight="1" x14ac:dyDescent="0.25">
      <c r="A47" s="8">
        <f t="shared" si="6"/>
        <v>46</v>
      </c>
      <c r="B47" s="44">
        <v>46249</v>
      </c>
      <c r="C47" s="10" t="s">
        <v>257</v>
      </c>
      <c r="D47" s="10" t="s">
        <v>255</v>
      </c>
      <c r="E47" s="10" t="s">
        <v>255</v>
      </c>
      <c r="F47" s="10">
        <v>7</v>
      </c>
      <c r="G47" s="10" t="s">
        <v>25</v>
      </c>
      <c r="H47" s="10" t="s">
        <v>58</v>
      </c>
      <c r="I47" s="10" t="s">
        <v>26</v>
      </c>
      <c r="J47" s="8">
        <f t="shared" si="7"/>
        <v>1</v>
      </c>
      <c r="K47" s="8">
        <f t="shared" si="8"/>
        <v>0.5</v>
      </c>
      <c r="L47" s="8">
        <f t="shared" si="9"/>
        <v>-1</v>
      </c>
      <c r="M47" s="45">
        <f t="shared" si="10"/>
        <v>17</v>
      </c>
      <c r="N47" s="45">
        <f t="shared" si="11"/>
        <v>49.875</v>
      </c>
      <c r="O47" s="10" t="s">
        <v>287</v>
      </c>
    </row>
    <row r="48" spans="1:15" ht="15" customHeight="1" x14ac:dyDescent="0.25">
      <c r="A48" s="8">
        <f t="shared" si="6"/>
        <v>47</v>
      </c>
      <c r="B48" s="44">
        <v>46189</v>
      </c>
      <c r="C48" s="10" t="s">
        <v>260</v>
      </c>
      <c r="D48" s="10" t="s">
        <v>263</v>
      </c>
      <c r="E48" s="10" t="s">
        <v>263</v>
      </c>
      <c r="F48" s="10">
        <v>8</v>
      </c>
      <c r="G48" s="10" t="s">
        <v>30</v>
      </c>
      <c r="H48" s="10" t="s">
        <v>283</v>
      </c>
      <c r="I48" s="10" t="s">
        <v>14</v>
      </c>
      <c r="J48" s="8">
        <f t="shared" si="7"/>
        <v>0</v>
      </c>
      <c r="K48" s="8">
        <f t="shared" si="8"/>
        <v>0</v>
      </c>
      <c r="L48" s="8">
        <f t="shared" si="9"/>
        <v>1</v>
      </c>
      <c r="M48" s="45">
        <f t="shared" si="10"/>
        <v>33</v>
      </c>
      <c r="N48" s="45">
        <f t="shared" si="11"/>
        <v>74.875</v>
      </c>
      <c r="O48" s="10" t="s">
        <v>285</v>
      </c>
    </row>
    <row r="49" spans="1:15" ht="15" customHeight="1" x14ac:dyDescent="0.25">
      <c r="A49" s="8">
        <f t="shared" si="6"/>
        <v>48</v>
      </c>
      <c r="B49" s="44">
        <v>46220</v>
      </c>
      <c r="C49" s="10" t="s">
        <v>22</v>
      </c>
      <c r="D49" s="10" t="s">
        <v>249</v>
      </c>
      <c r="E49" s="10" t="s">
        <v>249</v>
      </c>
      <c r="F49" s="10">
        <v>9</v>
      </c>
      <c r="G49" s="10" t="s">
        <v>25</v>
      </c>
      <c r="H49" s="10" t="s">
        <v>58</v>
      </c>
      <c r="I49" s="10" t="s">
        <v>14</v>
      </c>
      <c r="J49" s="8">
        <f t="shared" si="7"/>
        <v>1</v>
      </c>
      <c r="K49" s="8">
        <f t="shared" si="8"/>
        <v>0.5</v>
      </c>
      <c r="L49" s="8">
        <f t="shared" si="9"/>
        <v>1</v>
      </c>
      <c r="M49" s="45">
        <f t="shared" si="10"/>
        <v>83</v>
      </c>
      <c r="N49" s="45">
        <f t="shared" si="11"/>
        <v>45.75</v>
      </c>
      <c r="O49" s="10" t="s">
        <v>286</v>
      </c>
    </row>
    <row r="50" spans="1:15" ht="15" customHeight="1" x14ac:dyDescent="0.25">
      <c r="A50" s="8">
        <f t="shared" si="6"/>
        <v>49</v>
      </c>
      <c r="B50" s="44">
        <v>46252</v>
      </c>
      <c r="C50" s="10" t="s">
        <v>248</v>
      </c>
      <c r="D50" s="10" t="s">
        <v>261</v>
      </c>
      <c r="E50" s="10" t="s">
        <v>261</v>
      </c>
      <c r="F50" s="10">
        <v>10</v>
      </c>
      <c r="G50" s="10" t="s">
        <v>25</v>
      </c>
      <c r="H50" s="10" t="s">
        <v>58</v>
      </c>
      <c r="I50" s="10" t="s">
        <v>14</v>
      </c>
      <c r="J50" s="8">
        <f t="shared" si="7"/>
        <v>1</v>
      </c>
      <c r="K50" s="8">
        <f t="shared" si="8"/>
        <v>0.5</v>
      </c>
      <c r="L50" s="8">
        <f t="shared" si="9"/>
        <v>1</v>
      </c>
      <c r="M50" s="45">
        <f t="shared" si="10"/>
        <v>83</v>
      </c>
      <c r="N50" s="45">
        <f t="shared" si="11"/>
        <v>74.75</v>
      </c>
      <c r="O50" s="10" t="s">
        <v>286</v>
      </c>
    </row>
    <row r="51" spans="1:15" ht="15" customHeight="1" x14ac:dyDescent="0.25">
      <c r="A51" s="8">
        <f t="shared" si="6"/>
        <v>50</v>
      </c>
      <c r="B51" s="44">
        <v>46192</v>
      </c>
      <c r="C51" s="10" t="s">
        <v>251</v>
      </c>
      <c r="D51" s="10" t="s">
        <v>265</v>
      </c>
      <c r="E51" s="10" t="s">
        <v>265</v>
      </c>
      <c r="F51" s="10">
        <v>11</v>
      </c>
      <c r="G51" s="10" t="s">
        <v>30</v>
      </c>
      <c r="H51" s="10" t="s">
        <v>283</v>
      </c>
      <c r="I51" s="10" t="s">
        <v>52</v>
      </c>
      <c r="J51" s="8">
        <f t="shared" si="7"/>
        <v>0</v>
      </c>
      <c r="K51" s="8">
        <f t="shared" si="8"/>
        <v>0</v>
      </c>
      <c r="L51" s="8">
        <f t="shared" si="9"/>
        <v>0</v>
      </c>
      <c r="M51" s="45">
        <f t="shared" si="10"/>
        <v>0</v>
      </c>
      <c r="N51" s="45">
        <f t="shared" si="11"/>
        <v>48.222222222222221</v>
      </c>
      <c r="O51" s="10" t="s">
        <v>285</v>
      </c>
    </row>
    <row r="52" spans="1:15" ht="15" customHeight="1" x14ac:dyDescent="0.25">
      <c r="A52" s="8">
        <f t="shared" si="6"/>
        <v>51</v>
      </c>
      <c r="B52" s="44">
        <v>46223</v>
      </c>
      <c r="C52" s="10" t="s">
        <v>254</v>
      </c>
      <c r="D52" s="10" t="s">
        <v>255</v>
      </c>
      <c r="E52" s="10" t="s">
        <v>255</v>
      </c>
      <c r="F52" s="10">
        <v>12</v>
      </c>
      <c r="G52" s="10" t="s">
        <v>25</v>
      </c>
      <c r="H52" s="10" t="s">
        <v>58</v>
      </c>
      <c r="I52" s="10" t="s">
        <v>14</v>
      </c>
      <c r="J52" s="8">
        <f t="shared" si="7"/>
        <v>1</v>
      </c>
      <c r="K52" s="8">
        <f t="shared" si="8"/>
        <v>0.5</v>
      </c>
      <c r="L52" s="8">
        <f t="shared" si="9"/>
        <v>1</v>
      </c>
      <c r="M52" s="45">
        <f t="shared" si="10"/>
        <v>83</v>
      </c>
      <c r="N52" s="45">
        <f t="shared" si="11"/>
        <v>83</v>
      </c>
      <c r="O52" s="10" t="s">
        <v>286</v>
      </c>
    </row>
    <row r="53" spans="1:15" ht="15" customHeight="1" x14ac:dyDescent="0.25">
      <c r="A53" s="8" t="str">
        <f t="shared" ref="A53:A65" si="12">IF(B53="","",ROW()-1)</f>
        <v/>
      </c>
      <c r="B53" s="11"/>
      <c r="C53" s="8"/>
      <c r="D53" s="8"/>
      <c r="E53" s="8"/>
      <c r="F53" s="8"/>
      <c r="G53" s="8"/>
      <c r="H53" s="8"/>
      <c r="I53" s="8"/>
      <c r="J53" s="8" t="str">
        <f t="shared" ref="J53:J65" si="13">IF(G53="","",IF(G53="SIM",1,0))</f>
        <v/>
      </c>
      <c r="K53" s="8" t="str">
        <f t="shared" ref="K53:K65" si="14">IF(H53="","",IF(H53="Integral",1,IF(H53="Amostral",0.5,IF(H53="Não realizada",0,""))))</f>
        <v/>
      </c>
      <c r="L53" s="8" t="str">
        <f t="shared" ref="L53:L65" si="15">IF(I53="","",IF(I53="Conformidade",1,IF(I53="Não Conformidade",0,IF(I53="Não Conformidade Grave",-1,""))))</f>
        <v/>
      </c>
      <c r="M53" s="8" t="str">
        <f t="shared" ref="M53:M65" si="16">IF(COUNTA(G53:I53)=0,"",ROUND(AVERAGE(J53:L53)*100,0))</f>
        <v/>
      </c>
      <c r="N53" s="8" t="str">
        <f t="shared" ref="N53:N65" si="17">IFERROR(AVERAGEIF(C$2:C$201,C53,M$2:M$201),"N/A")</f>
        <v>N/A</v>
      </c>
      <c r="O53" s="8"/>
    </row>
    <row r="54" spans="1:15" ht="15" customHeight="1" x14ac:dyDescent="0.25">
      <c r="A54" s="8" t="str">
        <f t="shared" si="12"/>
        <v/>
      </c>
      <c r="B54" s="11"/>
      <c r="C54" s="8"/>
      <c r="D54" s="8"/>
      <c r="E54" s="8"/>
      <c r="F54" s="8"/>
      <c r="G54" s="8"/>
      <c r="H54" s="8"/>
      <c r="I54" s="8"/>
      <c r="J54" s="8" t="str">
        <f t="shared" si="13"/>
        <v/>
      </c>
      <c r="K54" s="8" t="str">
        <f t="shared" si="14"/>
        <v/>
      </c>
      <c r="L54" s="8" t="str">
        <f t="shared" si="15"/>
        <v/>
      </c>
      <c r="M54" s="8" t="str">
        <f t="shared" si="16"/>
        <v/>
      </c>
      <c r="N54" s="8" t="str">
        <f t="shared" si="17"/>
        <v>N/A</v>
      </c>
      <c r="O54" s="8"/>
    </row>
    <row r="55" spans="1:15" ht="15" customHeight="1" x14ac:dyDescent="0.25">
      <c r="A55" s="8" t="str">
        <f t="shared" si="12"/>
        <v/>
      </c>
      <c r="B55" s="11"/>
      <c r="C55" s="8"/>
      <c r="D55" s="8"/>
      <c r="E55" s="8"/>
      <c r="F55" s="8"/>
      <c r="G55" s="8"/>
      <c r="H55" s="8"/>
      <c r="I55" s="8"/>
      <c r="J55" s="8" t="str">
        <f t="shared" si="13"/>
        <v/>
      </c>
      <c r="K55" s="8" t="str">
        <f t="shared" si="14"/>
        <v/>
      </c>
      <c r="L55" s="8" t="str">
        <f t="shared" si="15"/>
        <v/>
      </c>
      <c r="M55" s="8" t="str">
        <f t="shared" si="16"/>
        <v/>
      </c>
      <c r="N55" s="8" t="str">
        <f t="shared" si="17"/>
        <v>N/A</v>
      </c>
      <c r="O55" s="8"/>
    </row>
    <row r="56" spans="1:15" ht="15" customHeight="1" x14ac:dyDescent="0.25">
      <c r="A56" s="8" t="str">
        <f t="shared" si="12"/>
        <v/>
      </c>
      <c r="B56" s="11"/>
      <c r="C56" s="8"/>
      <c r="D56" s="8"/>
      <c r="E56" s="8"/>
      <c r="F56" s="8"/>
      <c r="G56" s="8"/>
      <c r="H56" s="8"/>
      <c r="I56" s="8"/>
      <c r="J56" s="8" t="str">
        <f t="shared" si="13"/>
        <v/>
      </c>
      <c r="K56" s="8" t="str">
        <f t="shared" si="14"/>
        <v/>
      </c>
      <c r="L56" s="8" t="str">
        <f t="shared" si="15"/>
        <v/>
      </c>
      <c r="M56" s="8" t="str">
        <f t="shared" si="16"/>
        <v/>
      </c>
      <c r="N56" s="8" t="str">
        <f t="shared" si="17"/>
        <v>N/A</v>
      </c>
      <c r="O56" s="8"/>
    </row>
    <row r="57" spans="1:15" ht="15" customHeight="1" x14ac:dyDescent="0.25">
      <c r="A57" s="8" t="str">
        <f t="shared" si="12"/>
        <v/>
      </c>
      <c r="B57" s="11"/>
      <c r="C57" s="8"/>
      <c r="D57" s="8"/>
      <c r="E57" s="8"/>
      <c r="F57" s="8"/>
      <c r="G57" s="8"/>
      <c r="H57" s="8"/>
      <c r="I57" s="8"/>
      <c r="J57" s="8" t="str">
        <f t="shared" si="13"/>
        <v/>
      </c>
      <c r="K57" s="8" t="str">
        <f t="shared" si="14"/>
        <v/>
      </c>
      <c r="L57" s="8" t="str">
        <f t="shared" si="15"/>
        <v/>
      </c>
      <c r="M57" s="8" t="str">
        <f t="shared" si="16"/>
        <v/>
      </c>
      <c r="N57" s="8" t="str">
        <f t="shared" si="17"/>
        <v>N/A</v>
      </c>
      <c r="O57" s="8"/>
    </row>
    <row r="58" spans="1:15" ht="15" customHeight="1" x14ac:dyDescent="0.25">
      <c r="A58" s="8" t="str">
        <f t="shared" si="12"/>
        <v/>
      </c>
      <c r="B58" s="11"/>
      <c r="C58" s="8"/>
      <c r="D58" s="8"/>
      <c r="E58" s="8"/>
      <c r="F58" s="8"/>
      <c r="G58" s="8"/>
      <c r="H58" s="8"/>
      <c r="I58" s="8"/>
      <c r="J58" s="8" t="str">
        <f t="shared" si="13"/>
        <v/>
      </c>
      <c r="K58" s="8" t="str">
        <f t="shared" si="14"/>
        <v/>
      </c>
      <c r="L58" s="8" t="str">
        <f t="shared" si="15"/>
        <v/>
      </c>
      <c r="M58" s="8" t="str">
        <f t="shared" si="16"/>
        <v/>
      </c>
      <c r="N58" s="8" t="str">
        <f t="shared" si="17"/>
        <v>N/A</v>
      </c>
      <c r="O58" s="8"/>
    </row>
    <row r="59" spans="1:15" ht="15" customHeight="1" x14ac:dyDescent="0.25">
      <c r="A59" s="8" t="str">
        <f t="shared" si="12"/>
        <v/>
      </c>
      <c r="B59" s="11"/>
      <c r="C59" s="8"/>
      <c r="D59" s="8"/>
      <c r="E59" s="8"/>
      <c r="F59" s="8"/>
      <c r="G59" s="8"/>
      <c r="H59" s="8"/>
      <c r="I59" s="8"/>
      <c r="J59" s="8" t="str">
        <f t="shared" si="13"/>
        <v/>
      </c>
      <c r="K59" s="8" t="str">
        <f t="shared" si="14"/>
        <v/>
      </c>
      <c r="L59" s="8" t="str">
        <f t="shared" si="15"/>
        <v/>
      </c>
      <c r="M59" s="8" t="str">
        <f t="shared" si="16"/>
        <v/>
      </c>
      <c r="N59" s="8" t="str">
        <f t="shared" si="17"/>
        <v>N/A</v>
      </c>
      <c r="O59" s="8"/>
    </row>
    <row r="60" spans="1:15" ht="15" customHeight="1" x14ac:dyDescent="0.25">
      <c r="A60" s="8" t="str">
        <f t="shared" si="12"/>
        <v/>
      </c>
      <c r="B60" s="11"/>
      <c r="C60" s="8"/>
      <c r="D60" s="8"/>
      <c r="E60" s="8"/>
      <c r="F60" s="8"/>
      <c r="G60" s="8"/>
      <c r="H60" s="8"/>
      <c r="I60" s="8"/>
      <c r="J60" s="8" t="str">
        <f t="shared" si="13"/>
        <v/>
      </c>
      <c r="K60" s="8" t="str">
        <f t="shared" si="14"/>
        <v/>
      </c>
      <c r="L60" s="8" t="str">
        <f t="shared" si="15"/>
        <v/>
      </c>
      <c r="M60" s="8" t="str">
        <f t="shared" si="16"/>
        <v/>
      </c>
      <c r="N60" s="8" t="str">
        <f t="shared" si="17"/>
        <v>N/A</v>
      </c>
      <c r="O60" s="8"/>
    </row>
    <row r="61" spans="1:15" ht="15" customHeight="1" x14ac:dyDescent="0.25">
      <c r="A61" s="8" t="str">
        <f t="shared" si="12"/>
        <v/>
      </c>
      <c r="B61" s="11"/>
      <c r="C61" s="8"/>
      <c r="D61" s="8"/>
      <c r="E61" s="8"/>
      <c r="F61" s="8"/>
      <c r="G61" s="8"/>
      <c r="H61" s="8"/>
      <c r="I61" s="8"/>
      <c r="J61" s="8" t="str">
        <f t="shared" si="13"/>
        <v/>
      </c>
      <c r="K61" s="8" t="str">
        <f t="shared" si="14"/>
        <v/>
      </c>
      <c r="L61" s="8" t="str">
        <f t="shared" si="15"/>
        <v/>
      </c>
      <c r="M61" s="8" t="str">
        <f t="shared" si="16"/>
        <v/>
      </c>
      <c r="N61" s="8" t="str">
        <f t="shared" si="17"/>
        <v>N/A</v>
      </c>
      <c r="O61" s="8"/>
    </row>
    <row r="62" spans="1:15" ht="15" customHeight="1" x14ac:dyDescent="0.25">
      <c r="A62" s="8" t="str">
        <f t="shared" si="12"/>
        <v/>
      </c>
      <c r="B62" s="11"/>
      <c r="C62" s="8"/>
      <c r="D62" s="8"/>
      <c r="E62" s="8"/>
      <c r="F62" s="8"/>
      <c r="G62" s="8"/>
      <c r="H62" s="8"/>
      <c r="I62" s="8"/>
      <c r="J62" s="8" t="str">
        <f t="shared" si="13"/>
        <v/>
      </c>
      <c r="K62" s="8" t="str">
        <f t="shared" si="14"/>
        <v/>
      </c>
      <c r="L62" s="8" t="str">
        <f t="shared" si="15"/>
        <v/>
      </c>
      <c r="M62" s="8" t="str">
        <f t="shared" si="16"/>
        <v/>
      </c>
      <c r="N62" s="8" t="str">
        <f t="shared" si="17"/>
        <v>N/A</v>
      </c>
      <c r="O62" s="8"/>
    </row>
    <row r="63" spans="1:15" ht="15" customHeight="1" x14ac:dyDescent="0.25">
      <c r="A63" s="8" t="str">
        <f t="shared" si="12"/>
        <v/>
      </c>
      <c r="B63" s="11"/>
      <c r="C63" s="8"/>
      <c r="D63" s="8"/>
      <c r="E63" s="8"/>
      <c r="F63" s="8"/>
      <c r="G63" s="8"/>
      <c r="H63" s="8"/>
      <c r="I63" s="8"/>
      <c r="J63" s="8" t="str">
        <f t="shared" si="13"/>
        <v/>
      </c>
      <c r="K63" s="8" t="str">
        <f t="shared" si="14"/>
        <v/>
      </c>
      <c r="L63" s="8" t="str">
        <f t="shared" si="15"/>
        <v/>
      </c>
      <c r="M63" s="8" t="str">
        <f t="shared" si="16"/>
        <v/>
      </c>
      <c r="N63" s="8" t="str">
        <f t="shared" si="17"/>
        <v>N/A</v>
      </c>
      <c r="O63" s="8"/>
    </row>
    <row r="64" spans="1:15" ht="15" customHeight="1" x14ac:dyDescent="0.25">
      <c r="A64" s="8" t="str">
        <f t="shared" si="12"/>
        <v/>
      </c>
      <c r="B64" s="11"/>
      <c r="C64" s="8"/>
      <c r="D64" s="8"/>
      <c r="E64" s="8"/>
      <c r="F64" s="8"/>
      <c r="G64" s="8"/>
      <c r="H64" s="8"/>
      <c r="I64" s="8"/>
      <c r="J64" s="8" t="str">
        <f t="shared" si="13"/>
        <v/>
      </c>
      <c r="K64" s="8" t="str">
        <f t="shared" si="14"/>
        <v/>
      </c>
      <c r="L64" s="8" t="str">
        <f t="shared" si="15"/>
        <v/>
      </c>
      <c r="M64" s="8" t="str">
        <f t="shared" si="16"/>
        <v/>
      </c>
      <c r="N64" s="8" t="str">
        <f t="shared" si="17"/>
        <v>N/A</v>
      </c>
      <c r="O64" s="8"/>
    </row>
    <row r="65" spans="1:15" ht="15" customHeight="1" x14ac:dyDescent="0.25">
      <c r="A65" s="8" t="str">
        <f t="shared" si="12"/>
        <v/>
      </c>
      <c r="B65" s="11"/>
      <c r="C65" s="8"/>
      <c r="D65" s="8"/>
      <c r="E65" s="8"/>
      <c r="F65" s="8"/>
      <c r="G65" s="8"/>
      <c r="H65" s="8"/>
      <c r="I65" s="8"/>
      <c r="J65" s="8" t="str">
        <f t="shared" si="13"/>
        <v/>
      </c>
      <c r="K65" s="8" t="str">
        <f t="shared" si="14"/>
        <v/>
      </c>
      <c r="L65" s="8" t="str">
        <f t="shared" si="15"/>
        <v/>
      </c>
      <c r="M65" s="8" t="str">
        <f t="shared" si="16"/>
        <v/>
      </c>
      <c r="N65" s="8" t="str">
        <f t="shared" si="17"/>
        <v>N/A</v>
      </c>
      <c r="O65" s="8"/>
    </row>
    <row r="66" spans="1:15" ht="15" customHeight="1" x14ac:dyDescent="0.25">
      <c r="A66" s="8" t="str">
        <f t="shared" ref="A66:A97" si="18">IF(B66="","",ROW()-1)</f>
        <v/>
      </c>
      <c r="B66" s="11"/>
      <c r="C66" s="8"/>
      <c r="D66" s="8"/>
      <c r="E66" s="8"/>
      <c r="F66" s="8"/>
      <c r="G66" s="8"/>
      <c r="H66" s="8"/>
      <c r="I66" s="8"/>
      <c r="J66" s="8" t="str">
        <f t="shared" ref="J66:J97" si="19">IF(G66="","",IF(G66="SIM",1,0))</f>
        <v/>
      </c>
      <c r="K66" s="8" t="str">
        <f t="shared" ref="K66:K97" si="20">IF(H66="","",IF(H66="Integral",1,IF(H66="Amostral",0.5,IF(H66="Não realizada",0,""))))</f>
        <v/>
      </c>
      <c r="L66" s="8" t="str">
        <f t="shared" ref="L66:L97" si="21">IF(I66="","",IF(I66="Conformidade",1,IF(I66="Não Conformidade",0,IF(I66="Não Conformidade Grave",-1,""))))</f>
        <v/>
      </c>
      <c r="M66" s="8" t="str">
        <f t="shared" ref="M66:M97" si="22">IF(COUNTA(G66:I66)=0,"",ROUND(AVERAGE(J66:L66)*100,0))</f>
        <v/>
      </c>
      <c r="N66" s="8" t="str">
        <f t="shared" ref="N66:N97" si="23">IFERROR(AVERAGEIF(C$2:C$201,C66,M$2:M$201),"N/A")</f>
        <v>N/A</v>
      </c>
      <c r="O66" s="8"/>
    </row>
    <row r="67" spans="1:15" ht="15" customHeight="1" x14ac:dyDescent="0.25">
      <c r="A67" s="8" t="str">
        <f t="shared" si="18"/>
        <v/>
      </c>
      <c r="B67" s="11"/>
      <c r="C67" s="8"/>
      <c r="D67" s="8"/>
      <c r="E67" s="8"/>
      <c r="F67" s="8"/>
      <c r="G67" s="8"/>
      <c r="H67" s="8"/>
      <c r="I67" s="8"/>
      <c r="J67" s="8" t="str">
        <f t="shared" si="19"/>
        <v/>
      </c>
      <c r="K67" s="8" t="str">
        <f t="shared" si="20"/>
        <v/>
      </c>
      <c r="L67" s="8" t="str">
        <f t="shared" si="21"/>
        <v/>
      </c>
      <c r="M67" s="8" t="str">
        <f t="shared" si="22"/>
        <v/>
      </c>
      <c r="N67" s="8" t="str">
        <f t="shared" si="23"/>
        <v>N/A</v>
      </c>
      <c r="O67" s="8"/>
    </row>
    <row r="68" spans="1:15" ht="15" customHeight="1" x14ac:dyDescent="0.25">
      <c r="A68" s="8" t="str">
        <f t="shared" si="18"/>
        <v/>
      </c>
      <c r="B68" s="11"/>
      <c r="C68" s="8"/>
      <c r="D68" s="8"/>
      <c r="E68" s="8"/>
      <c r="F68" s="8"/>
      <c r="G68" s="8"/>
      <c r="H68" s="8"/>
      <c r="I68" s="8"/>
      <c r="J68" s="8" t="str">
        <f t="shared" si="19"/>
        <v/>
      </c>
      <c r="K68" s="8" t="str">
        <f t="shared" si="20"/>
        <v/>
      </c>
      <c r="L68" s="8" t="str">
        <f t="shared" si="21"/>
        <v/>
      </c>
      <c r="M68" s="8" t="str">
        <f t="shared" si="22"/>
        <v/>
      </c>
      <c r="N68" s="8" t="str">
        <f t="shared" si="23"/>
        <v>N/A</v>
      </c>
      <c r="O68" s="8"/>
    </row>
    <row r="69" spans="1:15" ht="15" customHeight="1" x14ac:dyDescent="0.25">
      <c r="A69" s="8" t="str">
        <f t="shared" si="18"/>
        <v/>
      </c>
      <c r="B69" s="11"/>
      <c r="C69" s="8"/>
      <c r="D69" s="8"/>
      <c r="E69" s="8"/>
      <c r="F69" s="8"/>
      <c r="G69" s="8"/>
      <c r="H69" s="8"/>
      <c r="I69" s="8"/>
      <c r="J69" s="8" t="str">
        <f t="shared" si="19"/>
        <v/>
      </c>
      <c r="K69" s="8" t="str">
        <f t="shared" si="20"/>
        <v/>
      </c>
      <c r="L69" s="8" t="str">
        <f t="shared" si="21"/>
        <v/>
      </c>
      <c r="M69" s="8" t="str">
        <f t="shared" si="22"/>
        <v/>
      </c>
      <c r="N69" s="8" t="str">
        <f t="shared" si="23"/>
        <v>N/A</v>
      </c>
      <c r="O69" s="8"/>
    </row>
    <row r="70" spans="1:15" ht="15" customHeight="1" x14ac:dyDescent="0.25">
      <c r="A70" s="8" t="str">
        <f t="shared" si="18"/>
        <v/>
      </c>
      <c r="B70" s="11"/>
      <c r="C70" s="8"/>
      <c r="D70" s="8"/>
      <c r="E70" s="8"/>
      <c r="F70" s="8"/>
      <c r="G70" s="8"/>
      <c r="H70" s="8"/>
      <c r="I70" s="8"/>
      <c r="J70" s="8" t="str">
        <f t="shared" si="19"/>
        <v/>
      </c>
      <c r="K70" s="8" t="str">
        <f t="shared" si="20"/>
        <v/>
      </c>
      <c r="L70" s="8" t="str">
        <f t="shared" si="21"/>
        <v/>
      </c>
      <c r="M70" s="8" t="str">
        <f t="shared" si="22"/>
        <v/>
      </c>
      <c r="N70" s="8" t="str">
        <f t="shared" si="23"/>
        <v>N/A</v>
      </c>
      <c r="O70" s="8"/>
    </row>
    <row r="71" spans="1:15" ht="15" customHeight="1" x14ac:dyDescent="0.25">
      <c r="A71" s="8" t="str">
        <f t="shared" si="18"/>
        <v/>
      </c>
      <c r="B71" s="11"/>
      <c r="C71" s="8"/>
      <c r="D71" s="8"/>
      <c r="E71" s="8"/>
      <c r="F71" s="8"/>
      <c r="G71" s="8"/>
      <c r="H71" s="8"/>
      <c r="I71" s="8"/>
      <c r="J71" s="8" t="str">
        <f t="shared" si="19"/>
        <v/>
      </c>
      <c r="K71" s="8" t="str">
        <f t="shared" si="20"/>
        <v/>
      </c>
      <c r="L71" s="8" t="str">
        <f t="shared" si="21"/>
        <v/>
      </c>
      <c r="M71" s="8" t="str">
        <f t="shared" si="22"/>
        <v/>
      </c>
      <c r="N71" s="8" t="str">
        <f t="shared" si="23"/>
        <v>N/A</v>
      </c>
      <c r="O71" s="8"/>
    </row>
    <row r="72" spans="1:15" ht="15" customHeight="1" x14ac:dyDescent="0.25">
      <c r="A72" s="8" t="str">
        <f t="shared" si="18"/>
        <v/>
      </c>
      <c r="B72" s="11"/>
      <c r="C72" s="8"/>
      <c r="D72" s="8"/>
      <c r="E72" s="8"/>
      <c r="F72" s="8"/>
      <c r="G72" s="8"/>
      <c r="H72" s="8"/>
      <c r="I72" s="8"/>
      <c r="J72" s="8" t="str">
        <f t="shared" si="19"/>
        <v/>
      </c>
      <c r="K72" s="8" t="str">
        <f t="shared" si="20"/>
        <v/>
      </c>
      <c r="L72" s="8" t="str">
        <f t="shared" si="21"/>
        <v/>
      </c>
      <c r="M72" s="8" t="str">
        <f t="shared" si="22"/>
        <v/>
      </c>
      <c r="N72" s="8" t="str">
        <f t="shared" si="23"/>
        <v>N/A</v>
      </c>
      <c r="O72" s="8"/>
    </row>
    <row r="73" spans="1:15" ht="15" customHeight="1" x14ac:dyDescent="0.25">
      <c r="A73" s="8" t="str">
        <f t="shared" si="18"/>
        <v/>
      </c>
      <c r="B73" s="11"/>
      <c r="C73" s="8"/>
      <c r="D73" s="8"/>
      <c r="E73" s="8"/>
      <c r="F73" s="8"/>
      <c r="G73" s="8"/>
      <c r="H73" s="8"/>
      <c r="I73" s="8"/>
      <c r="J73" s="8" t="str">
        <f t="shared" si="19"/>
        <v/>
      </c>
      <c r="K73" s="8" t="str">
        <f t="shared" si="20"/>
        <v/>
      </c>
      <c r="L73" s="8" t="str">
        <f t="shared" si="21"/>
        <v/>
      </c>
      <c r="M73" s="8" t="str">
        <f t="shared" si="22"/>
        <v/>
      </c>
      <c r="N73" s="8" t="str">
        <f t="shared" si="23"/>
        <v>N/A</v>
      </c>
      <c r="O73" s="8"/>
    </row>
    <row r="74" spans="1:15" ht="15" customHeight="1" x14ac:dyDescent="0.25">
      <c r="A74" s="8" t="str">
        <f t="shared" si="18"/>
        <v/>
      </c>
      <c r="B74" s="11"/>
      <c r="C74" s="8"/>
      <c r="D74" s="8"/>
      <c r="E74" s="8"/>
      <c r="F74" s="8"/>
      <c r="G74" s="8"/>
      <c r="H74" s="8"/>
      <c r="I74" s="8"/>
      <c r="J74" s="8" t="str">
        <f t="shared" si="19"/>
        <v/>
      </c>
      <c r="K74" s="8" t="str">
        <f t="shared" si="20"/>
        <v/>
      </c>
      <c r="L74" s="8" t="str">
        <f t="shared" si="21"/>
        <v/>
      </c>
      <c r="M74" s="8" t="str">
        <f t="shared" si="22"/>
        <v/>
      </c>
      <c r="N74" s="8" t="str">
        <f t="shared" si="23"/>
        <v>N/A</v>
      </c>
      <c r="O74" s="8"/>
    </row>
    <row r="75" spans="1:15" ht="15" customHeight="1" x14ac:dyDescent="0.25">
      <c r="A75" s="8" t="str">
        <f t="shared" si="18"/>
        <v/>
      </c>
      <c r="B75" s="11"/>
      <c r="C75" s="8"/>
      <c r="D75" s="8"/>
      <c r="E75" s="8"/>
      <c r="F75" s="8"/>
      <c r="G75" s="8"/>
      <c r="H75" s="8"/>
      <c r="I75" s="8"/>
      <c r="J75" s="8" t="str">
        <f t="shared" si="19"/>
        <v/>
      </c>
      <c r="K75" s="8" t="str">
        <f t="shared" si="20"/>
        <v/>
      </c>
      <c r="L75" s="8" t="str">
        <f t="shared" si="21"/>
        <v/>
      </c>
      <c r="M75" s="8" t="str">
        <f t="shared" si="22"/>
        <v/>
      </c>
      <c r="N75" s="8" t="str">
        <f t="shared" si="23"/>
        <v>N/A</v>
      </c>
      <c r="O75" s="8"/>
    </row>
    <row r="76" spans="1:15" ht="15" customHeight="1" x14ac:dyDescent="0.25">
      <c r="A76" s="8" t="str">
        <f t="shared" si="18"/>
        <v/>
      </c>
      <c r="B76" s="11"/>
      <c r="C76" s="8"/>
      <c r="D76" s="8"/>
      <c r="E76" s="8"/>
      <c r="F76" s="8"/>
      <c r="G76" s="8"/>
      <c r="H76" s="8"/>
      <c r="I76" s="8"/>
      <c r="J76" s="8" t="str">
        <f t="shared" si="19"/>
        <v/>
      </c>
      <c r="K76" s="8" t="str">
        <f t="shared" si="20"/>
        <v/>
      </c>
      <c r="L76" s="8" t="str">
        <f t="shared" si="21"/>
        <v/>
      </c>
      <c r="M76" s="8" t="str">
        <f t="shared" si="22"/>
        <v/>
      </c>
      <c r="N76" s="8" t="str">
        <f t="shared" si="23"/>
        <v>N/A</v>
      </c>
      <c r="O76" s="8"/>
    </row>
    <row r="77" spans="1:15" ht="15" customHeight="1" x14ac:dyDescent="0.25">
      <c r="A77" s="8" t="str">
        <f t="shared" si="18"/>
        <v/>
      </c>
      <c r="B77" s="11"/>
      <c r="C77" s="8"/>
      <c r="D77" s="8"/>
      <c r="E77" s="8"/>
      <c r="F77" s="8"/>
      <c r="G77" s="8"/>
      <c r="H77" s="8"/>
      <c r="I77" s="8"/>
      <c r="J77" s="8" t="str">
        <f t="shared" si="19"/>
        <v/>
      </c>
      <c r="K77" s="8" t="str">
        <f t="shared" si="20"/>
        <v/>
      </c>
      <c r="L77" s="8" t="str">
        <f t="shared" si="21"/>
        <v/>
      </c>
      <c r="M77" s="8" t="str">
        <f t="shared" si="22"/>
        <v/>
      </c>
      <c r="N77" s="8" t="str">
        <f t="shared" si="23"/>
        <v>N/A</v>
      </c>
      <c r="O77" s="8"/>
    </row>
    <row r="78" spans="1:15" ht="15" customHeight="1" x14ac:dyDescent="0.25">
      <c r="A78" s="8" t="str">
        <f t="shared" si="18"/>
        <v/>
      </c>
      <c r="B78" s="11"/>
      <c r="C78" s="8"/>
      <c r="D78" s="8"/>
      <c r="E78" s="8"/>
      <c r="F78" s="8"/>
      <c r="G78" s="8"/>
      <c r="H78" s="8"/>
      <c r="I78" s="8"/>
      <c r="J78" s="8" t="str">
        <f t="shared" si="19"/>
        <v/>
      </c>
      <c r="K78" s="8" t="str">
        <f t="shared" si="20"/>
        <v/>
      </c>
      <c r="L78" s="8" t="str">
        <f t="shared" si="21"/>
        <v/>
      </c>
      <c r="M78" s="8" t="str">
        <f t="shared" si="22"/>
        <v/>
      </c>
      <c r="N78" s="8" t="str">
        <f t="shared" si="23"/>
        <v>N/A</v>
      </c>
      <c r="O78" s="8"/>
    </row>
    <row r="79" spans="1:15" ht="15" customHeight="1" x14ac:dyDescent="0.25">
      <c r="A79" s="8" t="str">
        <f t="shared" si="18"/>
        <v/>
      </c>
      <c r="B79" s="11"/>
      <c r="C79" s="8"/>
      <c r="D79" s="8"/>
      <c r="E79" s="8"/>
      <c r="F79" s="8"/>
      <c r="G79" s="8"/>
      <c r="H79" s="8"/>
      <c r="I79" s="8"/>
      <c r="J79" s="8" t="str">
        <f t="shared" si="19"/>
        <v/>
      </c>
      <c r="K79" s="8" t="str">
        <f t="shared" si="20"/>
        <v/>
      </c>
      <c r="L79" s="8" t="str">
        <f t="shared" si="21"/>
        <v/>
      </c>
      <c r="M79" s="8" t="str">
        <f t="shared" si="22"/>
        <v/>
      </c>
      <c r="N79" s="8" t="str">
        <f t="shared" si="23"/>
        <v>N/A</v>
      </c>
      <c r="O79" s="8"/>
    </row>
    <row r="80" spans="1:15" ht="15" customHeight="1" x14ac:dyDescent="0.25">
      <c r="A80" s="8" t="str">
        <f t="shared" si="18"/>
        <v/>
      </c>
      <c r="B80" s="11"/>
      <c r="C80" s="8"/>
      <c r="D80" s="8"/>
      <c r="E80" s="8"/>
      <c r="F80" s="8"/>
      <c r="G80" s="8"/>
      <c r="H80" s="8"/>
      <c r="I80" s="8"/>
      <c r="J80" s="8" t="str">
        <f t="shared" si="19"/>
        <v/>
      </c>
      <c r="K80" s="8" t="str">
        <f t="shared" si="20"/>
        <v/>
      </c>
      <c r="L80" s="8" t="str">
        <f t="shared" si="21"/>
        <v/>
      </c>
      <c r="M80" s="8" t="str">
        <f t="shared" si="22"/>
        <v/>
      </c>
      <c r="N80" s="8" t="str">
        <f t="shared" si="23"/>
        <v>N/A</v>
      </c>
      <c r="O80" s="8"/>
    </row>
    <row r="81" spans="1:15" ht="15" customHeight="1" x14ac:dyDescent="0.25">
      <c r="A81" s="8" t="str">
        <f t="shared" si="18"/>
        <v/>
      </c>
      <c r="B81" s="11"/>
      <c r="C81" s="8"/>
      <c r="D81" s="8"/>
      <c r="E81" s="8"/>
      <c r="F81" s="8"/>
      <c r="G81" s="8"/>
      <c r="H81" s="8"/>
      <c r="I81" s="8"/>
      <c r="J81" s="8" t="str">
        <f t="shared" si="19"/>
        <v/>
      </c>
      <c r="K81" s="8" t="str">
        <f t="shared" si="20"/>
        <v/>
      </c>
      <c r="L81" s="8" t="str">
        <f t="shared" si="21"/>
        <v/>
      </c>
      <c r="M81" s="8" t="str">
        <f t="shared" si="22"/>
        <v/>
      </c>
      <c r="N81" s="8" t="str">
        <f t="shared" si="23"/>
        <v>N/A</v>
      </c>
      <c r="O81" s="8"/>
    </row>
    <row r="82" spans="1:15" ht="15" customHeight="1" x14ac:dyDescent="0.25">
      <c r="A82" s="8" t="str">
        <f t="shared" si="18"/>
        <v/>
      </c>
      <c r="B82" s="11"/>
      <c r="C82" s="8"/>
      <c r="D82" s="8"/>
      <c r="E82" s="8"/>
      <c r="F82" s="8"/>
      <c r="G82" s="8"/>
      <c r="H82" s="8"/>
      <c r="I82" s="8"/>
      <c r="J82" s="8" t="str">
        <f t="shared" si="19"/>
        <v/>
      </c>
      <c r="K82" s="8" t="str">
        <f t="shared" si="20"/>
        <v/>
      </c>
      <c r="L82" s="8" t="str">
        <f t="shared" si="21"/>
        <v/>
      </c>
      <c r="M82" s="8" t="str">
        <f t="shared" si="22"/>
        <v/>
      </c>
      <c r="N82" s="8" t="str">
        <f t="shared" si="23"/>
        <v>N/A</v>
      </c>
      <c r="O82" s="8"/>
    </row>
    <row r="83" spans="1:15" ht="15" customHeight="1" x14ac:dyDescent="0.25">
      <c r="A83" s="8" t="str">
        <f t="shared" si="18"/>
        <v/>
      </c>
      <c r="B83" s="11"/>
      <c r="C83" s="8"/>
      <c r="D83" s="8"/>
      <c r="E83" s="8"/>
      <c r="F83" s="8"/>
      <c r="G83" s="8"/>
      <c r="H83" s="8"/>
      <c r="I83" s="8"/>
      <c r="J83" s="8" t="str">
        <f t="shared" si="19"/>
        <v/>
      </c>
      <c r="K83" s="8" t="str">
        <f t="shared" si="20"/>
        <v/>
      </c>
      <c r="L83" s="8" t="str">
        <f t="shared" si="21"/>
        <v/>
      </c>
      <c r="M83" s="8" t="str">
        <f t="shared" si="22"/>
        <v/>
      </c>
      <c r="N83" s="8" t="str">
        <f t="shared" si="23"/>
        <v>N/A</v>
      </c>
      <c r="O83" s="8"/>
    </row>
    <row r="84" spans="1:15" ht="15" customHeight="1" x14ac:dyDescent="0.25">
      <c r="A84" s="8" t="str">
        <f t="shared" si="18"/>
        <v/>
      </c>
      <c r="B84" s="11"/>
      <c r="C84" s="8"/>
      <c r="D84" s="8"/>
      <c r="E84" s="8"/>
      <c r="F84" s="8"/>
      <c r="G84" s="8"/>
      <c r="H84" s="8"/>
      <c r="I84" s="8"/>
      <c r="J84" s="8" t="str">
        <f t="shared" si="19"/>
        <v/>
      </c>
      <c r="K84" s="8" t="str">
        <f t="shared" si="20"/>
        <v/>
      </c>
      <c r="L84" s="8" t="str">
        <f t="shared" si="21"/>
        <v/>
      </c>
      <c r="M84" s="8" t="str">
        <f t="shared" si="22"/>
        <v/>
      </c>
      <c r="N84" s="8" t="str">
        <f t="shared" si="23"/>
        <v>N/A</v>
      </c>
      <c r="O84" s="8"/>
    </row>
    <row r="85" spans="1:15" ht="15" customHeight="1" x14ac:dyDescent="0.25">
      <c r="A85" s="8" t="str">
        <f t="shared" si="18"/>
        <v/>
      </c>
      <c r="B85" s="11"/>
      <c r="C85" s="8"/>
      <c r="D85" s="8"/>
      <c r="E85" s="8"/>
      <c r="F85" s="8"/>
      <c r="G85" s="8"/>
      <c r="H85" s="8"/>
      <c r="I85" s="8"/>
      <c r="J85" s="8" t="str">
        <f t="shared" si="19"/>
        <v/>
      </c>
      <c r="K85" s="8" t="str">
        <f t="shared" si="20"/>
        <v/>
      </c>
      <c r="L85" s="8" t="str">
        <f t="shared" si="21"/>
        <v/>
      </c>
      <c r="M85" s="8" t="str">
        <f t="shared" si="22"/>
        <v/>
      </c>
      <c r="N85" s="8" t="str">
        <f t="shared" si="23"/>
        <v>N/A</v>
      </c>
      <c r="O85" s="8"/>
    </row>
    <row r="86" spans="1:15" ht="15" customHeight="1" x14ac:dyDescent="0.25">
      <c r="A86" s="8" t="str">
        <f t="shared" si="18"/>
        <v/>
      </c>
      <c r="B86" s="11"/>
      <c r="C86" s="8"/>
      <c r="D86" s="8"/>
      <c r="E86" s="8"/>
      <c r="F86" s="8"/>
      <c r="G86" s="8"/>
      <c r="H86" s="8"/>
      <c r="I86" s="8"/>
      <c r="J86" s="8" t="str">
        <f t="shared" si="19"/>
        <v/>
      </c>
      <c r="K86" s="8" t="str">
        <f t="shared" si="20"/>
        <v/>
      </c>
      <c r="L86" s="8" t="str">
        <f t="shared" si="21"/>
        <v/>
      </c>
      <c r="M86" s="8" t="str">
        <f t="shared" si="22"/>
        <v/>
      </c>
      <c r="N86" s="8" t="str">
        <f t="shared" si="23"/>
        <v>N/A</v>
      </c>
      <c r="O86" s="8"/>
    </row>
    <row r="87" spans="1:15" ht="15" customHeight="1" x14ac:dyDescent="0.25">
      <c r="A87" s="8" t="str">
        <f t="shared" si="18"/>
        <v/>
      </c>
      <c r="B87" s="11"/>
      <c r="C87" s="8"/>
      <c r="D87" s="8"/>
      <c r="E87" s="8"/>
      <c r="F87" s="8"/>
      <c r="G87" s="8"/>
      <c r="H87" s="8"/>
      <c r="I87" s="8"/>
      <c r="J87" s="8" t="str">
        <f t="shared" si="19"/>
        <v/>
      </c>
      <c r="K87" s="8" t="str">
        <f t="shared" si="20"/>
        <v/>
      </c>
      <c r="L87" s="8" t="str">
        <f t="shared" si="21"/>
        <v/>
      </c>
      <c r="M87" s="8" t="str">
        <f t="shared" si="22"/>
        <v/>
      </c>
      <c r="N87" s="8" t="str">
        <f t="shared" si="23"/>
        <v>N/A</v>
      </c>
      <c r="O87" s="8"/>
    </row>
    <row r="88" spans="1:15" ht="15" customHeight="1" x14ac:dyDescent="0.25">
      <c r="A88" s="8" t="str">
        <f t="shared" si="18"/>
        <v/>
      </c>
      <c r="B88" s="11"/>
      <c r="C88" s="8"/>
      <c r="D88" s="8"/>
      <c r="E88" s="8"/>
      <c r="F88" s="8"/>
      <c r="G88" s="8"/>
      <c r="H88" s="8"/>
      <c r="I88" s="8"/>
      <c r="J88" s="8" t="str">
        <f t="shared" si="19"/>
        <v/>
      </c>
      <c r="K88" s="8" t="str">
        <f t="shared" si="20"/>
        <v/>
      </c>
      <c r="L88" s="8" t="str">
        <f t="shared" si="21"/>
        <v/>
      </c>
      <c r="M88" s="8" t="str">
        <f t="shared" si="22"/>
        <v/>
      </c>
      <c r="N88" s="8" t="str">
        <f t="shared" si="23"/>
        <v>N/A</v>
      </c>
      <c r="O88" s="8"/>
    </row>
    <row r="89" spans="1:15" ht="15" customHeight="1" x14ac:dyDescent="0.25">
      <c r="A89" s="8" t="str">
        <f t="shared" si="18"/>
        <v/>
      </c>
      <c r="B89" s="11"/>
      <c r="C89" s="8"/>
      <c r="D89" s="8"/>
      <c r="E89" s="8"/>
      <c r="F89" s="8"/>
      <c r="G89" s="8"/>
      <c r="H89" s="8"/>
      <c r="I89" s="8"/>
      <c r="J89" s="8" t="str">
        <f t="shared" si="19"/>
        <v/>
      </c>
      <c r="K89" s="8" t="str">
        <f t="shared" si="20"/>
        <v/>
      </c>
      <c r="L89" s="8" t="str">
        <f t="shared" si="21"/>
        <v/>
      </c>
      <c r="M89" s="8" t="str">
        <f t="shared" si="22"/>
        <v/>
      </c>
      <c r="N89" s="8" t="str">
        <f t="shared" si="23"/>
        <v>N/A</v>
      </c>
      <c r="O89" s="8"/>
    </row>
    <row r="90" spans="1:15" ht="15" customHeight="1" x14ac:dyDescent="0.25">
      <c r="A90" s="8" t="str">
        <f t="shared" si="18"/>
        <v/>
      </c>
      <c r="B90" s="11"/>
      <c r="C90" s="8"/>
      <c r="D90" s="8"/>
      <c r="E90" s="8"/>
      <c r="F90" s="8"/>
      <c r="G90" s="8"/>
      <c r="H90" s="8"/>
      <c r="I90" s="8"/>
      <c r="J90" s="8" t="str">
        <f t="shared" si="19"/>
        <v/>
      </c>
      <c r="K90" s="8" t="str">
        <f t="shared" si="20"/>
        <v/>
      </c>
      <c r="L90" s="8" t="str">
        <f t="shared" si="21"/>
        <v/>
      </c>
      <c r="M90" s="8" t="str">
        <f t="shared" si="22"/>
        <v/>
      </c>
      <c r="N90" s="8" t="str">
        <f t="shared" si="23"/>
        <v>N/A</v>
      </c>
      <c r="O90" s="8"/>
    </row>
    <row r="91" spans="1:15" ht="15" customHeight="1" x14ac:dyDescent="0.25">
      <c r="A91" s="8" t="str">
        <f t="shared" si="18"/>
        <v/>
      </c>
      <c r="B91" s="11"/>
      <c r="C91" s="8"/>
      <c r="D91" s="8"/>
      <c r="E91" s="8"/>
      <c r="F91" s="8"/>
      <c r="G91" s="8"/>
      <c r="H91" s="8"/>
      <c r="I91" s="8"/>
      <c r="J91" s="8" t="str">
        <f t="shared" si="19"/>
        <v/>
      </c>
      <c r="K91" s="8" t="str">
        <f t="shared" si="20"/>
        <v/>
      </c>
      <c r="L91" s="8" t="str">
        <f t="shared" si="21"/>
        <v/>
      </c>
      <c r="M91" s="8" t="str">
        <f t="shared" si="22"/>
        <v/>
      </c>
      <c r="N91" s="8" t="str">
        <f t="shared" si="23"/>
        <v>N/A</v>
      </c>
      <c r="O91" s="8"/>
    </row>
    <row r="92" spans="1:15" ht="15" customHeight="1" x14ac:dyDescent="0.25">
      <c r="A92" s="8" t="str">
        <f t="shared" si="18"/>
        <v/>
      </c>
      <c r="B92" s="11"/>
      <c r="C92" s="8"/>
      <c r="D92" s="8"/>
      <c r="E92" s="8"/>
      <c r="F92" s="8"/>
      <c r="G92" s="8"/>
      <c r="H92" s="8"/>
      <c r="I92" s="8"/>
      <c r="J92" s="8" t="str">
        <f t="shared" si="19"/>
        <v/>
      </c>
      <c r="K92" s="8" t="str">
        <f t="shared" si="20"/>
        <v/>
      </c>
      <c r="L92" s="8" t="str">
        <f t="shared" si="21"/>
        <v/>
      </c>
      <c r="M92" s="8" t="str">
        <f t="shared" si="22"/>
        <v/>
      </c>
      <c r="N92" s="8" t="str">
        <f t="shared" si="23"/>
        <v>N/A</v>
      </c>
      <c r="O92" s="8"/>
    </row>
    <row r="93" spans="1:15" ht="15" customHeight="1" x14ac:dyDescent="0.25">
      <c r="A93" s="8" t="str">
        <f t="shared" si="18"/>
        <v/>
      </c>
      <c r="B93" s="11"/>
      <c r="C93" s="8"/>
      <c r="D93" s="8"/>
      <c r="E93" s="8"/>
      <c r="F93" s="8"/>
      <c r="G93" s="8"/>
      <c r="H93" s="8"/>
      <c r="I93" s="8"/>
      <c r="J93" s="8" t="str">
        <f t="shared" si="19"/>
        <v/>
      </c>
      <c r="K93" s="8" t="str">
        <f t="shared" si="20"/>
        <v/>
      </c>
      <c r="L93" s="8" t="str">
        <f t="shared" si="21"/>
        <v/>
      </c>
      <c r="M93" s="8" t="str">
        <f t="shared" si="22"/>
        <v/>
      </c>
      <c r="N93" s="8" t="str">
        <f t="shared" si="23"/>
        <v>N/A</v>
      </c>
      <c r="O93" s="8"/>
    </row>
    <row r="94" spans="1:15" ht="15" customHeight="1" x14ac:dyDescent="0.25">
      <c r="A94" s="8" t="str">
        <f t="shared" si="18"/>
        <v/>
      </c>
      <c r="B94" s="11"/>
      <c r="C94" s="8"/>
      <c r="D94" s="8"/>
      <c r="E94" s="8"/>
      <c r="F94" s="8"/>
      <c r="G94" s="8"/>
      <c r="H94" s="8"/>
      <c r="I94" s="8"/>
      <c r="J94" s="8" t="str">
        <f t="shared" si="19"/>
        <v/>
      </c>
      <c r="K94" s="8" t="str">
        <f t="shared" si="20"/>
        <v/>
      </c>
      <c r="L94" s="8" t="str">
        <f t="shared" si="21"/>
        <v/>
      </c>
      <c r="M94" s="8" t="str">
        <f t="shared" si="22"/>
        <v/>
      </c>
      <c r="N94" s="8" t="str">
        <f t="shared" si="23"/>
        <v>N/A</v>
      </c>
      <c r="O94" s="8"/>
    </row>
    <row r="95" spans="1:15" ht="15" customHeight="1" x14ac:dyDescent="0.25">
      <c r="A95" s="8" t="str">
        <f t="shared" si="18"/>
        <v/>
      </c>
      <c r="B95" s="11"/>
      <c r="C95" s="8"/>
      <c r="D95" s="8"/>
      <c r="E95" s="8"/>
      <c r="F95" s="8"/>
      <c r="G95" s="8"/>
      <c r="H95" s="8"/>
      <c r="I95" s="8"/>
      <c r="J95" s="8" t="str">
        <f t="shared" si="19"/>
        <v/>
      </c>
      <c r="K95" s="8" t="str">
        <f t="shared" si="20"/>
        <v/>
      </c>
      <c r="L95" s="8" t="str">
        <f t="shared" si="21"/>
        <v/>
      </c>
      <c r="M95" s="8" t="str">
        <f t="shared" si="22"/>
        <v/>
      </c>
      <c r="N95" s="8" t="str">
        <f t="shared" si="23"/>
        <v>N/A</v>
      </c>
      <c r="O95" s="8"/>
    </row>
    <row r="96" spans="1:15" ht="15" customHeight="1" x14ac:dyDescent="0.25">
      <c r="A96" s="8" t="str">
        <f t="shared" si="18"/>
        <v/>
      </c>
      <c r="B96" s="11"/>
      <c r="C96" s="8"/>
      <c r="D96" s="8"/>
      <c r="E96" s="8"/>
      <c r="F96" s="8"/>
      <c r="G96" s="8"/>
      <c r="H96" s="8"/>
      <c r="I96" s="8"/>
      <c r="J96" s="8" t="str">
        <f t="shared" si="19"/>
        <v/>
      </c>
      <c r="K96" s="8" t="str">
        <f t="shared" si="20"/>
        <v/>
      </c>
      <c r="L96" s="8" t="str">
        <f t="shared" si="21"/>
        <v/>
      </c>
      <c r="M96" s="8" t="str">
        <f t="shared" si="22"/>
        <v/>
      </c>
      <c r="N96" s="8" t="str">
        <f t="shared" si="23"/>
        <v>N/A</v>
      </c>
      <c r="O96" s="8"/>
    </row>
    <row r="97" spans="1:15" ht="15" customHeight="1" x14ac:dyDescent="0.25">
      <c r="A97" s="8" t="str">
        <f t="shared" si="18"/>
        <v/>
      </c>
      <c r="B97" s="11"/>
      <c r="C97" s="8"/>
      <c r="D97" s="8"/>
      <c r="E97" s="8"/>
      <c r="F97" s="8"/>
      <c r="G97" s="8"/>
      <c r="H97" s="8"/>
      <c r="I97" s="8"/>
      <c r="J97" s="8" t="str">
        <f t="shared" si="19"/>
        <v/>
      </c>
      <c r="K97" s="8" t="str">
        <f t="shared" si="20"/>
        <v/>
      </c>
      <c r="L97" s="8" t="str">
        <f t="shared" si="21"/>
        <v/>
      </c>
      <c r="M97" s="8" t="str">
        <f t="shared" si="22"/>
        <v/>
      </c>
      <c r="N97" s="8" t="str">
        <f t="shared" si="23"/>
        <v>N/A</v>
      </c>
      <c r="O97" s="8"/>
    </row>
    <row r="98" spans="1:15" ht="15" customHeight="1" x14ac:dyDescent="0.25">
      <c r="A98" s="8" t="str">
        <f t="shared" ref="A98:A129" si="24">IF(B98="","",ROW()-1)</f>
        <v/>
      </c>
      <c r="B98" s="11"/>
      <c r="C98" s="8"/>
      <c r="D98" s="8"/>
      <c r="E98" s="8"/>
      <c r="F98" s="8"/>
      <c r="G98" s="8"/>
      <c r="H98" s="8"/>
      <c r="I98" s="8"/>
      <c r="J98" s="8" t="str">
        <f t="shared" ref="J98:J129" si="25">IF(G98="","",IF(G98="SIM",1,0))</f>
        <v/>
      </c>
      <c r="K98" s="8" t="str">
        <f t="shared" ref="K98:K129" si="26">IF(H98="","",IF(H98="Integral",1,IF(H98="Amostral",0.5,IF(H98="Não realizada",0,""))))</f>
        <v/>
      </c>
      <c r="L98" s="8" t="str">
        <f t="shared" ref="L98:L129" si="27">IF(I98="","",IF(I98="Conformidade",1,IF(I98="Não Conformidade",0,IF(I98="Não Conformidade Grave",-1,""))))</f>
        <v/>
      </c>
      <c r="M98" s="8" t="str">
        <f t="shared" ref="M98:M129" si="28">IF(COUNTA(G98:I98)=0,"",ROUND(AVERAGE(J98:L98)*100,0))</f>
        <v/>
      </c>
      <c r="N98" s="8" t="str">
        <f t="shared" ref="N98:N129" si="29">IFERROR(AVERAGEIF(C$2:C$201,C98,M$2:M$201),"N/A")</f>
        <v>N/A</v>
      </c>
      <c r="O98" s="8"/>
    </row>
    <row r="99" spans="1:15" ht="15" customHeight="1" x14ac:dyDescent="0.25">
      <c r="A99" s="8" t="str">
        <f t="shared" si="24"/>
        <v/>
      </c>
      <c r="B99" s="11"/>
      <c r="C99" s="8"/>
      <c r="D99" s="8"/>
      <c r="E99" s="8"/>
      <c r="F99" s="8"/>
      <c r="G99" s="8"/>
      <c r="H99" s="8"/>
      <c r="I99" s="8"/>
      <c r="J99" s="8" t="str">
        <f t="shared" si="25"/>
        <v/>
      </c>
      <c r="K99" s="8" t="str">
        <f t="shared" si="26"/>
        <v/>
      </c>
      <c r="L99" s="8" t="str">
        <f t="shared" si="27"/>
        <v/>
      </c>
      <c r="M99" s="8" t="str">
        <f t="shared" si="28"/>
        <v/>
      </c>
      <c r="N99" s="8" t="str">
        <f t="shared" si="29"/>
        <v>N/A</v>
      </c>
      <c r="O99" s="8"/>
    </row>
    <row r="100" spans="1:15" ht="15" customHeight="1" x14ac:dyDescent="0.25">
      <c r="A100" s="8" t="str">
        <f t="shared" si="24"/>
        <v/>
      </c>
      <c r="B100" s="11"/>
      <c r="C100" s="8"/>
      <c r="D100" s="8"/>
      <c r="E100" s="8"/>
      <c r="F100" s="8"/>
      <c r="G100" s="8"/>
      <c r="H100" s="8"/>
      <c r="I100" s="8"/>
      <c r="J100" s="8" t="str">
        <f t="shared" si="25"/>
        <v/>
      </c>
      <c r="K100" s="8" t="str">
        <f t="shared" si="26"/>
        <v/>
      </c>
      <c r="L100" s="8" t="str">
        <f t="shared" si="27"/>
        <v/>
      </c>
      <c r="M100" s="8" t="str">
        <f t="shared" si="28"/>
        <v/>
      </c>
      <c r="N100" s="8" t="str">
        <f t="shared" si="29"/>
        <v>N/A</v>
      </c>
      <c r="O100" s="8"/>
    </row>
    <row r="101" spans="1:15" ht="15" customHeight="1" x14ac:dyDescent="0.25">
      <c r="A101" s="8" t="str">
        <f t="shared" si="24"/>
        <v/>
      </c>
      <c r="B101" s="11"/>
      <c r="C101" s="8"/>
      <c r="D101" s="8"/>
      <c r="E101" s="8"/>
      <c r="F101" s="8"/>
      <c r="G101" s="8"/>
      <c r="H101" s="8"/>
      <c r="I101" s="8"/>
      <c r="J101" s="8" t="str">
        <f t="shared" si="25"/>
        <v/>
      </c>
      <c r="K101" s="8" t="str">
        <f t="shared" si="26"/>
        <v/>
      </c>
      <c r="L101" s="8" t="str">
        <f t="shared" si="27"/>
        <v/>
      </c>
      <c r="M101" s="8" t="str">
        <f t="shared" si="28"/>
        <v/>
      </c>
      <c r="N101" s="8" t="str">
        <f t="shared" si="29"/>
        <v>N/A</v>
      </c>
      <c r="O101" s="8"/>
    </row>
    <row r="102" spans="1:15" ht="15" customHeight="1" x14ac:dyDescent="0.25">
      <c r="A102" s="8" t="str">
        <f t="shared" si="24"/>
        <v/>
      </c>
      <c r="B102" s="11"/>
      <c r="C102" s="8"/>
      <c r="D102" s="8"/>
      <c r="E102" s="8"/>
      <c r="F102" s="8"/>
      <c r="G102" s="8"/>
      <c r="H102" s="8"/>
      <c r="I102" s="8"/>
      <c r="J102" s="8" t="str">
        <f t="shared" si="25"/>
        <v/>
      </c>
      <c r="K102" s="8" t="str">
        <f t="shared" si="26"/>
        <v/>
      </c>
      <c r="L102" s="8" t="str">
        <f t="shared" si="27"/>
        <v/>
      </c>
      <c r="M102" s="8" t="str">
        <f t="shared" si="28"/>
        <v/>
      </c>
      <c r="N102" s="8" t="str">
        <f t="shared" si="29"/>
        <v>N/A</v>
      </c>
      <c r="O102" s="8"/>
    </row>
    <row r="103" spans="1:15" ht="15" customHeight="1" x14ac:dyDescent="0.25">
      <c r="A103" s="8" t="str">
        <f t="shared" si="24"/>
        <v/>
      </c>
      <c r="B103" s="11"/>
      <c r="C103" s="8"/>
      <c r="D103" s="8"/>
      <c r="E103" s="8"/>
      <c r="F103" s="8"/>
      <c r="G103" s="8"/>
      <c r="H103" s="8"/>
      <c r="I103" s="8"/>
      <c r="J103" s="8" t="str">
        <f t="shared" si="25"/>
        <v/>
      </c>
      <c r="K103" s="8" t="str">
        <f t="shared" si="26"/>
        <v/>
      </c>
      <c r="L103" s="8" t="str">
        <f t="shared" si="27"/>
        <v/>
      </c>
      <c r="M103" s="8" t="str">
        <f t="shared" si="28"/>
        <v/>
      </c>
      <c r="N103" s="8" t="str">
        <f t="shared" si="29"/>
        <v>N/A</v>
      </c>
      <c r="O103" s="8"/>
    </row>
    <row r="104" spans="1:15" ht="15" customHeight="1" x14ac:dyDescent="0.25">
      <c r="A104" s="8" t="str">
        <f t="shared" si="24"/>
        <v/>
      </c>
      <c r="B104" s="11"/>
      <c r="C104" s="8"/>
      <c r="D104" s="8"/>
      <c r="E104" s="8"/>
      <c r="F104" s="8"/>
      <c r="G104" s="8"/>
      <c r="H104" s="8"/>
      <c r="I104" s="8"/>
      <c r="J104" s="8" t="str">
        <f t="shared" si="25"/>
        <v/>
      </c>
      <c r="K104" s="8" t="str">
        <f t="shared" si="26"/>
        <v/>
      </c>
      <c r="L104" s="8" t="str">
        <f t="shared" si="27"/>
        <v/>
      </c>
      <c r="M104" s="8" t="str">
        <f t="shared" si="28"/>
        <v/>
      </c>
      <c r="N104" s="8" t="str">
        <f t="shared" si="29"/>
        <v>N/A</v>
      </c>
      <c r="O104" s="8"/>
    </row>
    <row r="105" spans="1:15" ht="15" customHeight="1" x14ac:dyDescent="0.25">
      <c r="A105" s="8" t="str">
        <f t="shared" si="24"/>
        <v/>
      </c>
      <c r="B105" s="11"/>
      <c r="C105" s="8"/>
      <c r="D105" s="8"/>
      <c r="E105" s="8"/>
      <c r="F105" s="8"/>
      <c r="G105" s="8"/>
      <c r="H105" s="8"/>
      <c r="I105" s="8"/>
      <c r="J105" s="8" t="str">
        <f t="shared" si="25"/>
        <v/>
      </c>
      <c r="K105" s="8" t="str">
        <f t="shared" si="26"/>
        <v/>
      </c>
      <c r="L105" s="8" t="str">
        <f t="shared" si="27"/>
        <v/>
      </c>
      <c r="M105" s="8" t="str">
        <f t="shared" si="28"/>
        <v/>
      </c>
      <c r="N105" s="8" t="str">
        <f t="shared" si="29"/>
        <v>N/A</v>
      </c>
      <c r="O105" s="8"/>
    </row>
    <row r="106" spans="1:15" ht="15" customHeight="1" x14ac:dyDescent="0.25">
      <c r="A106" s="8" t="str">
        <f t="shared" si="24"/>
        <v/>
      </c>
      <c r="B106" s="11"/>
      <c r="C106" s="8"/>
      <c r="D106" s="8"/>
      <c r="E106" s="8"/>
      <c r="F106" s="8"/>
      <c r="G106" s="8"/>
      <c r="H106" s="8"/>
      <c r="I106" s="8"/>
      <c r="J106" s="8" t="str">
        <f t="shared" si="25"/>
        <v/>
      </c>
      <c r="K106" s="8" t="str">
        <f t="shared" si="26"/>
        <v/>
      </c>
      <c r="L106" s="8" t="str">
        <f t="shared" si="27"/>
        <v/>
      </c>
      <c r="M106" s="8" t="str">
        <f t="shared" si="28"/>
        <v/>
      </c>
      <c r="N106" s="8" t="str">
        <f t="shared" si="29"/>
        <v>N/A</v>
      </c>
      <c r="O106" s="8"/>
    </row>
    <row r="107" spans="1:15" ht="15" customHeight="1" x14ac:dyDescent="0.25">
      <c r="A107" s="8" t="str">
        <f t="shared" si="24"/>
        <v/>
      </c>
      <c r="B107" s="11"/>
      <c r="C107" s="8"/>
      <c r="D107" s="8"/>
      <c r="E107" s="8"/>
      <c r="F107" s="8"/>
      <c r="G107" s="8"/>
      <c r="H107" s="8"/>
      <c r="I107" s="8"/>
      <c r="J107" s="8" t="str">
        <f t="shared" si="25"/>
        <v/>
      </c>
      <c r="K107" s="8" t="str">
        <f t="shared" si="26"/>
        <v/>
      </c>
      <c r="L107" s="8" t="str">
        <f t="shared" si="27"/>
        <v/>
      </c>
      <c r="M107" s="8" t="str">
        <f t="shared" si="28"/>
        <v/>
      </c>
      <c r="N107" s="8" t="str">
        <f t="shared" si="29"/>
        <v>N/A</v>
      </c>
      <c r="O107" s="8"/>
    </row>
    <row r="108" spans="1:15" ht="15" customHeight="1" x14ac:dyDescent="0.25">
      <c r="A108" s="8" t="str">
        <f t="shared" si="24"/>
        <v/>
      </c>
      <c r="B108" s="11"/>
      <c r="C108" s="8"/>
      <c r="D108" s="8"/>
      <c r="E108" s="8"/>
      <c r="F108" s="8"/>
      <c r="G108" s="8"/>
      <c r="H108" s="8"/>
      <c r="I108" s="8"/>
      <c r="J108" s="8" t="str">
        <f t="shared" si="25"/>
        <v/>
      </c>
      <c r="K108" s="8" t="str">
        <f t="shared" si="26"/>
        <v/>
      </c>
      <c r="L108" s="8" t="str">
        <f t="shared" si="27"/>
        <v/>
      </c>
      <c r="M108" s="8" t="str">
        <f t="shared" si="28"/>
        <v/>
      </c>
      <c r="N108" s="8" t="str">
        <f t="shared" si="29"/>
        <v>N/A</v>
      </c>
      <c r="O108" s="8"/>
    </row>
    <row r="109" spans="1:15" ht="15" customHeight="1" x14ac:dyDescent="0.25">
      <c r="A109" s="8" t="str">
        <f t="shared" si="24"/>
        <v/>
      </c>
      <c r="B109" s="11"/>
      <c r="C109" s="8"/>
      <c r="D109" s="8"/>
      <c r="E109" s="8"/>
      <c r="F109" s="8"/>
      <c r="G109" s="8"/>
      <c r="H109" s="8"/>
      <c r="I109" s="8"/>
      <c r="J109" s="8" t="str">
        <f t="shared" si="25"/>
        <v/>
      </c>
      <c r="K109" s="8" t="str">
        <f t="shared" si="26"/>
        <v/>
      </c>
      <c r="L109" s="8" t="str">
        <f t="shared" si="27"/>
        <v/>
      </c>
      <c r="M109" s="8" t="str">
        <f t="shared" si="28"/>
        <v/>
      </c>
      <c r="N109" s="8" t="str">
        <f t="shared" si="29"/>
        <v>N/A</v>
      </c>
      <c r="O109" s="8"/>
    </row>
    <row r="110" spans="1:15" ht="15" customHeight="1" x14ac:dyDescent="0.25">
      <c r="A110" s="8" t="str">
        <f t="shared" si="24"/>
        <v/>
      </c>
      <c r="B110" s="11"/>
      <c r="C110" s="8"/>
      <c r="D110" s="8"/>
      <c r="E110" s="8"/>
      <c r="F110" s="8"/>
      <c r="G110" s="8"/>
      <c r="H110" s="8"/>
      <c r="I110" s="8"/>
      <c r="J110" s="8" t="str">
        <f t="shared" si="25"/>
        <v/>
      </c>
      <c r="K110" s="8" t="str">
        <f t="shared" si="26"/>
        <v/>
      </c>
      <c r="L110" s="8" t="str">
        <f t="shared" si="27"/>
        <v/>
      </c>
      <c r="M110" s="8" t="str">
        <f t="shared" si="28"/>
        <v/>
      </c>
      <c r="N110" s="8" t="str">
        <f t="shared" si="29"/>
        <v>N/A</v>
      </c>
      <c r="O110" s="8"/>
    </row>
    <row r="111" spans="1:15" ht="15" customHeight="1" x14ac:dyDescent="0.25">
      <c r="A111" s="8" t="str">
        <f t="shared" si="24"/>
        <v/>
      </c>
      <c r="B111" s="11"/>
      <c r="C111" s="8"/>
      <c r="D111" s="8"/>
      <c r="E111" s="8"/>
      <c r="F111" s="8"/>
      <c r="G111" s="8"/>
      <c r="H111" s="8"/>
      <c r="I111" s="8"/>
      <c r="J111" s="8" t="str">
        <f t="shared" si="25"/>
        <v/>
      </c>
      <c r="K111" s="8" t="str">
        <f t="shared" si="26"/>
        <v/>
      </c>
      <c r="L111" s="8" t="str">
        <f t="shared" si="27"/>
        <v/>
      </c>
      <c r="M111" s="8" t="str">
        <f t="shared" si="28"/>
        <v/>
      </c>
      <c r="N111" s="8" t="str">
        <f t="shared" si="29"/>
        <v>N/A</v>
      </c>
      <c r="O111" s="8"/>
    </row>
    <row r="112" spans="1:15" ht="15" customHeight="1" x14ac:dyDescent="0.25">
      <c r="A112" s="8" t="str">
        <f t="shared" si="24"/>
        <v/>
      </c>
      <c r="B112" s="11"/>
      <c r="C112" s="8"/>
      <c r="D112" s="8"/>
      <c r="E112" s="8"/>
      <c r="F112" s="8"/>
      <c r="G112" s="8"/>
      <c r="H112" s="8"/>
      <c r="I112" s="8"/>
      <c r="J112" s="8" t="str">
        <f t="shared" si="25"/>
        <v/>
      </c>
      <c r="K112" s="8" t="str">
        <f t="shared" si="26"/>
        <v/>
      </c>
      <c r="L112" s="8" t="str">
        <f t="shared" si="27"/>
        <v/>
      </c>
      <c r="M112" s="8" t="str">
        <f t="shared" si="28"/>
        <v/>
      </c>
      <c r="N112" s="8" t="str">
        <f t="shared" si="29"/>
        <v>N/A</v>
      </c>
      <c r="O112" s="8"/>
    </row>
    <row r="113" spans="1:15" ht="15" customHeight="1" x14ac:dyDescent="0.25">
      <c r="A113" s="8" t="str">
        <f t="shared" si="24"/>
        <v/>
      </c>
      <c r="B113" s="11"/>
      <c r="C113" s="8"/>
      <c r="D113" s="8"/>
      <c r="E113" s="8"/>
      <c r="F113" s="8"/>
      <c r="G113" s="8"/>
      <c r="H113" s="8"/>
      <c r="I113" s="8"/>
      <c r="J113" s="8" t="str">
        <f t="shared" si="25"/>
        <v/>
      </c>
      <c r="K113" s="8" t="str">
        <f t="shared" si="26"/>
        <v/>
      </c>
      <c r="L113" s="8" t="str">
        <f t="shared" si="27"/>
        <v/>
      </c>
      <c r="M113" s="8" t="str">
        <f t="shared" si="28"/>
        <v/>
      </c>
      <c r="N113" s="8" t="str">
        <f t="shared" si="29"/>
        <v>N/A</v>
      </c>
      <c r="O113" s="8"/>
    </row>
    <row r="114" spans="1:15" ht="15" customHeight="1" x14ac:dyDescent="0.25">
      <c r="A114" s="8" t="str">
        <f t="shared" si="24"/>
        <v/>
      </c>
      <c r="B114" s="11"/>
      <c r="C114" s="8"/>
      <c r="D114" s="8"/>
      <c r="E114" s="8"/>
      <c r="F114" s="8"/>
      <c r="G114" s="8"/>
      <c r="H114" s="8"/>
      <c r="I114" s="8"/>
      <c r="J114" s="8" t="str">
        <f t="shared" si="25"/>
        <v/>
      </c>
      <c r="K114" s="8" t="str">
        <f t="shared" si="26"/>
        <v/>
      </c>
      <c r="L114" s="8" t="str">
        <f t="shared" si="27"/>
        <v/>
      </c>
      <c r="M114" s="8" t="str">
        <f t="shared" si="28"/>
        <v/>
      </c>
      <c r="N114" s="8" t="str">
        <f t="shared" si="29"/>
        <v>N/A</v>
      </c>
      <c r="O114" s="8"/>
    </row>
    <row r="115" spans="1:15" ht="15" customHeight="1" x14ac:dyDescent="0.25">
      <c r="A115" s="8" t="str">
        <f t="shared" si="24"/>
        <v/>
      </c>
      <c r="B115" s="11"/>
      <c r="C115" s="8"/>
      <c r="D115" s="8"/>
      <c r="E115" s="8"/>
      <c r="F115" s="8"/>
      <c r="G115" s="8"/>
      <c r="H115" s="8"/>
      <c r="I115" s="8"/>
      <c r="J115" s="8" t="str">
        <f t="shared" si="25"/>
        <v/>
      </c>
      <c r="K115" s="8" t="str">
        <f t="shared" si="26"/>
        <v/>
      </c>
      <c r="L115" s="8" t="str">
        <f t="shared" si="27"/>
        <v/>
      </c>
      <c r="M115" s="8" t="str">
        <f t="shared" si="28"/>
        <v/>
      </c>
      <c r="N115" s="8" t="str">
        <f t="shared" si="29"/>
        <v>N/A</v>
      </c>
      <c r="O115" s="8"/>
    </row>
    <row r="116" spans="1:15" ht="15" customHeight="1" x14ac:dyDescent="0.25">
      <c r="A116" s="8" t="str">
        <f t="shared" si="24"/>
        <v/>
      </c>
      <c r="B116" s="11"/>
      <c r="C116" s="8"/>
      <c r="D116" s="8"/>
      <c r="E116" s="8"/>
      <c r="F116" s="8"/>
      <c r="G116" s="8"/>
      <c r="H116" s="8"/>
      <c r="I116" s="8"/>
      <c r="J116" s="8" t="str">
        <f t="shared" si="25"/>
        <v/>
      </c>
      <c r="K116" s="8" t="str">
        <f t="shared" si="26"/>
        <v/>
      </c>
      <c r="L116" s="8" t="str">
        <f t="shared" si="27"/>
        <v/>
      </c>
      <c r="M116" s="8" t="str">
        <f t="shared" si="28"/>
        <v/>
      </c>
      <c r="N116" s="8" t="str">
        <f t="shared" si="29"/>
        <v>N/A</v>
      </c>
      <c r="O116" s="8"/>
    </row>
    <row r="117" spans="1:15" ht="15" customHeight="1" x14ac:dyDescent="0.25">
      <c r="A117" s="8" t="str">
        <f t="shared" si="24"/>
        <v/>
      </c>
      <c r="B117" s="11"/>
      <c r="C117" s="8"/>
      <c r="D117" s="8"/>
      <c r="E117" s="8"/>
      <c r="F117" s="8"/>
      <c r="G117" s="8"/>
      <c r="H117" s="8"/>
      <c r="I117" s="8"/>
      <c r="J117" s="8" t="str">
        <f t="shared" si="25"/>
        <v/>
      </c>
      <c r="K117" s="8" t="str">
        <f t="shared" si="26"/>
        <v/>
      </c>
      <c r="L117" s="8" t="str">
        <f t="shared" si="27"/>
        <v/>
      </c>
      <c r="M117" s="8" t="str">
        <f t="shared" si="28"/>
        <v/>
      </c>
      <c r="N117" s="8" t="str">
        <f t="shared" si="29"/>
        <v>N/A</v>
      </c>
      <c r="O117" s="8"/>
    </row>
    <row r="118" spans="1:15" ht="15" customHeight="1" x14ac:dyDescent="0.25">
      <c r="A118" s="8" t="str">
        <f t="shared" si="24"/>
        <v/>
      </c>
      <c r="B118" s="11"/>
      <c r="C118" s="8"/>
      <c r="D118" s="8"/>
      <c r="E118" s="8"/>
      <c r="F118" s="8"/>
      <c r="G118" s="8"/>
      <c r="H118" s="8"/>
      <c r="I118" s="8"/>
      <c r="J118" s="8" t="str">
        <f t="shared" si="25"/>
        <v/>
      </c>
      <c r="K118" s="8" t="str">
        <f t="shared" si="26"/>
        <v/>
      </c>
      <c r="L118" s="8" t="str">
        <f t="shared" si="27"/>
        <v/>
      </c>
      <c r="M118" s="8" t="str">
        <f t="shared" si="28"/>
        <v/>
      </c>
      <c r="N118" s="8" t="str">
        <f t="shared" si="29"/>
        <v>N/A</v>
      </c>
      <c r="O118" s="8"/>
    </row>
    <row r="119" spans="1:15" ht="15" customHeight="1" x14ac:dyDescent="0.25">
      <c r="A119" s="8" t="str">
        <f t="shared" si="24"/>
        <v/>
      </c>
      <c r="B119" s="11"/>
      <c r="C119" s="8"/>
      <c r="D119" s="8"/>
      <c r="E119" s="8"/>
      <c r="F119" s="8"/>
      <c r="G119" s="8"/>
      <c r="H119" s="8"/>
      <c r="I119" s="8"/>
      <c r="J119" s="8" t="str">
        <f t="shared" si="25"/>
        <v/>
      </c>
      <c r="K119" s="8" t="str">
        <f t="shared" si="26"/>
        <v/>
      </c>
      <c r="L119" s="8" t="str">
        <f t="shared" si="27"/>
        <v/>
      </c>
      <c r="M119" s="8" t="str">
        <f t="shared" si="28"/>
        <v/>
      </c>
      <c r="N119" s="8" t="str">
        <f t="shared" si="29"/>
        <v>N/A</v>
      </c>
      <c r="O119" s="8"/>
    </row>
    <row r="120" spans="1:15" ht="15" customHeight="1" x14ac:dyDescent="0.25">
      <c r="A120" s="8" t="str">
        <f t="shared" si="24"/>
        <v/>
      </c>
      <c r="B120" s="11"/>
      <c r="C120" s="8"/>
      <c r="D120" s="8"/>
      <c r="E120" s="8"/>
      <c r="F120" s="8"/>
      <c r="G120" s="8"/>
      <c r="H120" s="8"/>
      <c r="I120" s="8"/>
      <c r="J120" s="8" t="str">
        <f t="shared" si="25"/>
        <v/>
      </c>
      <c r="K120" s="8" t="str">
        <f t="shared" si="26"/>
        <v/>
      </c>
      <c r="L120" s="8" t="str">
        <f t="shared" si="27"/>
        <v/>
      </c>
      <c r="M120" s="8" t="str">
        <f t="shared" si="28"/>
        <v/>
      </c>
      <c r="N120" s="8" t="str">
        <f t="shared" si="29"/>
        <v>N/A</v>
      </c>
      <c r="O120" s="8"/>
    </row>
    <row r="121" spans="1:15" ht="15" customHeight="1" x14ac:dyDescent="0.25">
      <c r="A121" s="8" t="str">
        <f t="shared" si="24"/>
        <v/>
      </c>
      <c r="B121" s="11"/>
      <c r="C121" s="8"/>
      <c r="D121" s="8"/>
      <c r="E121" s="8"/>
      <c r="F121" s="8"/>
      <c r="G121" s="8"/>
      <c r="H121" s="8"/>
      <c r="I121" s="8"/>
      <c r="J121" s="8" t="str">
        <f t="shared" si="25"/>
        <v/>
      </c>
      <c r="K121" s="8" t="str">
        <f t="shared" si="26"/>
        <v/>
      </c>
      <c r="L121" s="8" t="str">
        <f t="shared" si="27"/>
        <v/>
      </c>
      <c r="M121" s="8" t="str">
        <f t="shared" si="28"/>
        <v/>
      </c>
      <c r="N121" s="8" t="str">
        <f t="shared" si="29"/>
        <v>N/A</v>
      </c>
      <c r="O121" s="8"/>
    </row>
    <row r="122" spans="1:15" ht="15" customHeight="1" x14ac:dyDescent="0.25">
      <c r="A122" s="8" t="str">
        <f t="shared" si="24"/>
        <v/>
      </c>
      <c r="B122" s="11"/>
      <c r="C122" s="8"/>
      <c r="D122" s="8"/>
      <c r="E122" s="8"/>
      <c r="F122" s="8"/>
      <c r="G122" s="8"/>
      <c r="H122" s="8"/>
      <c r="I122" s="8"/>
      <c r="J122" s="8" t="str">
        <f t="shared" si="25"/>
        <v/>
      </c>
      <c r="K122" s="8" t="str">
        <f t="shared" si="26"/>
        <v/>
      </c>
      <c r="L122" s="8" t="str">
        <f t="shared" si="27"/>
        <v/>
      </c>
      <c r="M122" s="8" t="str">
        <f t="shared" si="28"/>
        <v/>
      </c>
      <c r="N122" s="8" t="str">
        <f t="shared" si="29"/>
        <v>N/A</v>
      </c>
      <c r="O122" s="8"/>
    </row>
    <row r="123" spans="1:15" ht="15" customHeight="1" x14ac:dyDescent="0.25">
      <c r="A123" s="8" t="str">
        <f t="shared" si="24"/>
        <v/>
      </c>
      <c r="B123" s="11"/>
      <c r="C123" s="8"/>
      <c r="D123" s="8"/>
      <c r="E123" s="8"/>
      <c r="F123" s="8"/>
      <c r="G123" s="8"/>
      <c r="H123" s="8"/>
      <c r="I123" s="8"/>
      <c r="J123" s="8" t="str">
        <f t="shared" si="25"/>
        <v/>
      </c>
      <c r="K123" s="8" t="str">
        <f t="shared" si="26"/>
        <v/>
      </c>
      <c r="L123" s="8" t="str">
        <f t="shared" si="27"/>
        <v/>
      </c>
      <c r="M123" s="8" t="str">
        <f t="shared" si="28"/>
        <v/>
      </c>
      <c r="N123" s="8" t="str">
        <f t="shared" si="29"/>
        <v>N/A</v>
      </c>
      <c r="O123" s="8"/>
    </row>
    <row r="124" spans="1:15" ht="15" customHeight="1" x14ac:dyDescent="0.25">
      <c r="A124" s="8" t="str">
        <f t="shared" si="24"/>
        <v/>
      </c>
      <c r="B124" s="11"/>
      <c r="C124" s="8"/>
      <c r="D124" s="8"/>
      <c r="E124" s="8"/>
      <c r="F124" s="8"/>
      <c r="G124" s="8"/>
      <c r="H124" s="8"/>
      <c r="I124" s="8"/>
      <c r="J124" s="8" t="str">
        <f t="shared" si="25"/>
        <v/>
      </c>
      <c r="K124" s="8" t="str">
        <f t="shared" si="26"/>
        <v/>
      </c>
      <c r="L124" s="8" t="str">
        <f t="shared" si="27"/>
        <v/>
      </c>
      <c r="M124" s="8" t="str">
        <f t="shared" si="28"/>
        <v/>
      </c>
      <c r="N124" s="8" t="str">
        <f t="shared" si="29"/>
        <v>N/A</v>
      </c>
      <c r="O124" s="8"/>
    </row>
    <row r="125" spans="1:15" ht="15" customHeight="1" x14ac:dyDescent="0.25">
      <c r="A125" s="8" t="str">
        <f t="shared" si="24"/>
        <v/>
      </c>
      <c r="B125" s="11"/>
      <c r="C125" s="8"/>
      <c r="D125" s="8"/>
      <c r="E125" s="8"/>
      <c r="F125" s="8"/>
      <c r="G125" s="8"/>
      <c r="H125" s="8"/>
      <c r="I125" s="8"/>
      <c r="J125" s="8" t="str">
        <f t="shared" si="25"/>
        <v/>
      </c>
      <c r="K125" s="8" t="str">
        <f t="shared" si="26"/>
        <v/>
      </c>
      <c r="L125" s="8" t="str">
        <f t="shared" si="27"/>
        <v/>
      </c>
      <c r="M125" s="8" t="str">
        <f t="shared" si="28"/>
        <v/>
      </c>
      <c r="N125" s="8" t="str">
        <f t="shared" si="29"/>
        <v>N/A</v>
      </c>
      <c r="O125" s="8"/>
    </row>
    <row r="126" spans="1:15" ht="15" customHeight="1" x14ac:dyDescent="0.25">
      <c r="A126" s="8" t="str">
        <f t="shared" si="24"/>
        <v/>
      </c>
      <c r="B126" s="11"/>
      <c r="C126" s="8"/>
      <c r="D126" s="8"/>
      <c r="E126" s="8"/>
      <c r="F126" s="8"/>
      <c r="G126" s="8"/>
      <c r="H126" s="8"/>
      <c r="I126" s="8"/>
      <c r="J126" s="8" t="str">
        <f t="shared" si="25"/>
        <v/>
      </c>
      <c r="K126" s="8" t="str">
        <f t="shared" si="26"/>
        <v/>
      </c>
      <c r="L126" s="8" t="str">
        <f t="shared" si="27"/>
        <v/>
      </c>
      <c r="M126" s="8" t="str">
        <f t="shared" si="28"/>
        <v/>
      </c>
      <c r="N126" s="8" t="str">
        <f t="shared" si="29"/>
        <v>N/A</v>
      </c>
      <c r="O126" s="8"/>
    </row>
    <row r="127" spans="1:15" ht="15" customHeight="1" x14ac:dyDescent="0.25">
      <c r="A127" s="8" t="str">
        <f t="shared" si="24"/>
        <v/>
      </c>
      <c r="B127" s="11"/>
      <c r="C127" s="8"/>
      <c r="D127" s="8"/>
      <c r="E127" s="8"/>
      <c r="F127" s="8"/>
      <c r="G127" s="8"/>
      <c r="H127" s="8"/>
      <c r="I127" s="8"/>
      <c r="J127" s="8" t="str">
        <f t="shared" si="25"/>
        <v/>
      </c>
      <c r="K127" s="8" t="str">
        <f t="shared" si="26"/>
        <v/>
      </c>
      <c r="L127" s="8" t="str">
        <f t="shared" si="27"/>
        <v/>
      </c>
      <c r="M127" s="8" t="str">
        <f t="shared" si="28"/>
        <v/>
      </c>
      <c r="N127" s="8" t="str">
        <f t="shared" si="29"/>
        <v>N/A</v>
      </c>
      <c r="O127" s="8"/>
    </row>
    <row r="128" spans="1:15" ht="15" customHeight="1" x14ac:dyDescent="0.25">
      <c r="A128" s="8" t="str">
        <f t="shared" si="24"/>
        <v/>
      </c>
      <c r="B128" s="11"/>
      <c r="C128" s="8"/>
      <c r="D128" s="8"/>
      <c r="E128" s="8"/>
      <c r="F128" s="8"/>
      <c r="G128" s="8"/>
      <c r="H128" s="8"/>
      <c r="I128" s="8"/>
      <c r="J128" s="8" t="str">
        <f t="shared" si="25"/>
        <v/>
      </c>
      <c r="K128" s="8" t="str">
        <f t="shared" si="26"/>
        <v/>
      </c>
      <c r="L128" s="8" t="str">
        <f t="shared" si="27"/>
        <v/>
      </c>
      <c r="M128" s="8" t="str">
        <f t="shared" si="28"/>
        <v/>
      </c>
      <c r="N128" s="8" t="str">
        <f t="shared" si="29"/>
        <v>N/A</v>
      </c>
      <c r="O128" s="8"/>
    </row>
    <row r="129" spans="1:15" ht="15" customHeight="1" x14ac:dyDescent="0.25">
      <c r="A129" s="8" t="str">
        <f t="shared" si="24"/>
        <v/>
      </c>
      <c r="B129" s="11"/>
      <c r="C129" s="8"/>
      <c r="D129" s="8"/>
      <c r="E129" s="8"/>
      <c r="F129" s="8"/>
      <c r="G129" s="8"/>
      <c r="H129" s="8"/>
      <c r="I129" s="8"/>
      <c r="J129" s="8" t="str">
        <f t="shared" si="25"/>
        <v/>
      </c>
      <c r="K129" s="8" t="str">
        <f t="shared" si="26"/>
        <v/>
      </c>
      <c r="L129" s="8" t="str">
        <f t="shared" si="27"/>
        <v/>
      </c>
      <c r="M129" s="8" t="str">
        <f t="shared" si="28"/>
        <v/>
      </c>
      <c r="N129" s="8" t="str">
        <f t="shared" si="29"/>
        <v>N/A</v>
      </c>
      <c r="O129" s="8"/>
    </row>
    <row r="130" spans="1:15" ht="15" customHeight="1" x14ac:dyDescent="0.25">
      <c r="A130" s="8" t="str">
        <f t="shared" ref="A130:A161" si="30">IF(B130="","",ROW()-1)</f>
        <v/>
      </c>
      <c r="B130" s="11"/>
      <c r="C130" s="8"/>
      <c r="D130" s="8"/>
      <c r="E130" s="8"/>
      <c r="F130" s="8"/>
      <c r="G130" s="8"/>
      <c r="H130" s="8"/>
      <c r="I130" s="8"/>
      <c r="J130" s="8" t="str">
        <f t="shared" ref="J130:J161" si="31">IF(G130="","",IF(G130="SIM",1,0))</f>
        <v/>
      </c>
      <c r="K130" s="8" t="str">
        <f t="shared" ref="K130:K161" si="32">IF(H130="","",IF(H130="Integral",1,IF(H130="Amostral",0.5,IF(H130="Não realizada",0,""))))</f>
        <v/>
      </c>
      <c r="L130" s="8" t="str">
        <f t="shared" ref="L130:L161" si="33">IF(I130="","",IF(I130="Conformidade",1,IF(I130="Não Conformidade",0,IF(I130="Não Conformidade Grave",-1,""))))</f>
        <v/>
      </c>
      <c r="M130" s="8" t="str">
        <f t="shared" ref="M130:M161" si="34">IF(COUNTA(G130:I130)=0,"",ROUND(AVERAGE(J130:L130)*100,0))</f>
        <v/>
      </c>
      <c r="N130" s="8" t="str">
        <f t="shared" ref="N130:N161" si="35">IFERROR(AVERAGEIF(C$2:C$201,C130,M$2:M$201),"N/A")</f>
        <v>N/A</v>
      </c>
      <c r="O130" s="8"/>
    </row>
    <row r="131" spans="1:15" ht="15" customHeight="1" x14ac:dyDescent="0.25">
      <c r="A131" s="8" t="str">
        <f t="shared" si="30"/>
        <v/>
      </c>
      <c r="B131" s="11"/>
      <c r="C131" s="8"/>
      <c r="D131" s="8"/>
      <c r="E131" s="8"/>
      <c r="F131" s="8"/>
      <c r="G131" s="8"/>
      <c r="H131" s="8"/>
      <c r="I131" s="8"/>
      <c r="J131" s="8" t="str">
        <f t="shared" si="31"/>
        <v/>
      </c>
      <c r="K131" s="8" t="str">
        <f t="shared" si="32"/>
        <v/>
      </c>
      <c r="L131" s="8" t="str">
        <f t="shared" si="33"/>
        <v/>
      </c>
      <c r="M131" s="8" t="str">
        <f t="shared" si="34"/>
        <v/>
      </c>
      <c r="N131" s="8" t="str">
        <f t="shared" si="35"/>
        <v>N/A</v>
      </c>
      <c r="O131" s="8"/>
    </row>
    <row r="132" spans="1:15" ht="15" customHeight="1" x14ac:dyDescent="0.25">
      <c r="A132" s="8" t="str">
        <f t="shared" si="30"/>
        <v/>
      </c>
      <c r="B132" s="11"/>
      <c r="C132" s="8"/>
      <c r="D132" s="8"/>
      <c r="E132" s="8"/>
      <c r="F132" s="8"/>
      <c r="G132" s="8"/>
      <c r="H132" s="8"/>
      <c r="I132" s="8"/>
      <c r="J132" s="8" t="str">
        <f t="shared" si="31"/>
        <v/>
      </c>
      <c r="K132" s="8" t="str">
        <f t="shared" si="32"/>
        <v/>
      </c>
      <c r="L132" s="8" t="str">
        <f t="shared" si="33"/>
        <v/>
      </c>
      <c r="M132" s="8" t="str">
        <f t="shared" si="34"/>
        <v/>
      </c>
      <c r="N132" s="8" t="str">
        <f t="shared" si="35"/>
        <v>N/A</v>
      </c>
      <c r="O132" s="8"/>
    </row>
    <row r="133" spans="1:15" ht="15" customHeight="1" x14ac:dyDescent="0.25">
      <c r="A133" s="8" t="str">
        <f t="shared" si="30"/>
        <v/>
      </c>
      <c r="B133" s="11"/>
      <c r="C133" s="8"/>
      <c r="D133" s="8"/>
      <c r="E133" s="8"/>
      <c r="F133" s="8"/>
      <c r="G133" s="8"/>
      <c r="H133" s="8"/>
      <c r="I133" s="8"/>
      <c r="J133" s="8" t="str">
        <f t="shared" si="31"/>
        <v/>
      </c>
      <c r="K133" s="8" t="str">
        <f t="shared" si="32"/>
        <v/>
      </c>
      <c r="L133" s="8" t="str">
        <f t="shared" si="33"/>
        <v/>
      </c>
      <c r="M133" s="8" t="str">
        <f t="shared" si="34"/>
        <v/>
      </c>
      <c r="N133" s="8" t="str">
        <f t="shared" si="35"/>
        <v>N/A</v>
      </c>
      <c r="O133" s="8"/>
    </row>
    <row r="134" spans="1:15" ht="15" customHeight="1" x14ac:dyDescent="0.25">
      <c r="A134" s="8" t="str">
        <f t="shared" si="30"/>
        <v/>
      </c>
      <c r="B134" s="11"/>
      <c r="C134" s="8"/>
      <c r="D134" s="8"/>
      <c r="E134" s="8"/>
      <c r="F134" s="8"/>
      <c r="G134" s="8"/>
      <c r="H134" s="8"/>
      <c r="I134" s="8"/>
      <c r="J134" s="8" t="str">
        <f t="shared" si="31"/>
        <v/>
      </c>
      <c r="K134" s="8" t="str">
        <f t="shared" si="32"/>
        <v/>
      </c>
      <c r="L134" s="8" t="str">
        <f t="shared" si="33"/>
        <v/>
      </c>
      <c r="M134" s="8" t="str">
        <f t="shared" si="34"/>
        <v/>
      </c>
      <c r="N134" s="8" t="str">
        <f t="shared" si="35"/>
        <v>N/A</v>
      </c>
      <c r="O134" s="8"/>
    </row>
    <row r="135" spans="1:15" ht="15" customHeight="1" x14ac:dyDescent="0.25">
      <c r="A135" s="8" t="str">
        <f t="shared" si="30"/>
        <v/>
      </c>
      <c r="B135" s="11"/>
      <c r="C135" s="8"/>
      <c r="D135" s="8"/>
      <c r="E135" s="8"/>
      <c r="F135" s="8"/>
      <c r="G135" s="8"/>
      <c r="H135" s="8"/>
      <c r="I135" s="8"/>
      <c r="J135" s="8" t="str">
        <f t="shared" si="31"/>
        <v/>
      </c>
      <c r="K135" s="8" t="str">
        <f t="shared" si="32"/>
        <v/>
      </c>
      <c r="L135" s="8" t="str">
        <f t="shared" si="33"/>
        <v/>
      </c>
      <c r="M135" s="8" t="str">
        <f t="shared" si="34"/>
        <v/>
      </c>
      <c r="N135" s="8" t="str">
        <f t="shared" si="35"/>
        <v>N/A</v>
      </c>
      <c r="O135" s="8"/>
    </row>
    <row r="136" spans="1:15" ht="15" customHeight="1" x14ac:dyDescent="0.25">
      <c r="A136" s="8" t="str">
        <f t="shared" si="30"/>
        <v/>
      </c>
      <c r="B136" s="11"/>
      <c r="C136" s="8"/>
      <c r="D136" s="8"/>
      <c r="E136" s="8"/>
      <c r="F136" s="8"/>
      <c r="G136" s="8"/>
      <c r="H136" s="8"/>
      <c r="I136" s="8"/>
      <c r="J136" s="8" t="str">
        <f t="shared" si="31"/>
        <v/>
      </c>
      <c r="K136" s="8" t="str">
        <f t="shared" si="32"/>
        <v/>
      </c>
      <c r="L136" s="8" t="str">
        <f t="shared" si="33"/>
        <v/>
      </c>
      <c r="M136" s="8" t="str">
        <f t="shared" si="34"/>
        <v/>
      </c>
      <c r="N136" s="8" t="str">
        <f t="shared" si="35"/>
        <v>N/A</v>
      </c>
      <c r="O136" s="8"/>
    </row>
    <row r="137" spans="1:15" ht="15" customHeight="1" x14ac:dyDescent="0.25">
      <c r="A137" s="8" t="str">
        <f t="shared" si="30"/>
        <v/>
      </c>
      <c r="B137" s="11"/>
      <c r="C137" s="8"/>
      <c r="D137" s="8"/>
      <c r="E137" s="8"/>
      <c r="F137" s="8"/>
      <c r="G137" s="8"/>
      <c r="H137" s="8"/>
      <c r="I137" s="8"/>
      <c r="J137" s="8" t="str">
        <f t="shared" si="31"/>
        <v/>
      </c>
      <c r="K137" s="8" t="str">
        <f t="shared" si="32"/>
        <v/>
      </c>
      <c r="L137" s="8" t="str">
        <f t="shared" si="33"/>
        <v/>
      </c>
      <c r="M137" s="8" t="str">
        <f t="shared" si="34"/>
        <v/>
      </c>
      <c r="N137" s="8" t="str">
        <f t="shared" si="35"/>
        <v>N/A</v>
      </c>
      <c r="O137" s="8"/>
    </row>
    <row r="138" spans="1:15" ht="15" customHeight="1" x14ac:dyDescent="0.25">
      <c r="A138" s="8" t="str">
        <f t="shared" si="30"/>
        <v/>
      </c>
      <c r="B138" s="11"/>
      <c r="C138" s="8"/>
      <c r="D138" s="8"/>
      <c r="E138" s="8"/>
      <c r="F138" s="8"/>
      <c r="G138" s="8"/>
      <c r="H138" s="8"/>
      <c r="I138" s="8"/>
      <c r="J138" s="8" t="str">
        <f t="shared" si="31"/>
        <v/>
      </c>
      <c r="K138" s="8" t="str">
        <f t="shared" si="32"/>
        <v/>
      </c>
      <c r="L138" s="8" t="str">
        <f t="shared" si="33"/>
        <v/>
      </c>
      <c r="M138" s="8" t="str">
        <f t="shared" si="34"/>
        <v/>
      </c>
      <c r="N138" s="8" t="str">
        <f t="shared" si="35"/>
        <v>N/A</v>
      </c>
      <c r="O138" s="8"/>
    </row>
    <row r="139" spans="1:15" ht="15" customHeight="1" x14ac:dyDescent="0.25">
      <c r="A139" s="8" t="str">
        <f t="shared" si="30"/>
        <v/>
      </c>
      <c r="B139" s="11"/>
      <c r="C139" s="8"/>
      <c r="D139" s="8"/>
      <c r="E139" s="8"/>
      <c r="F139" s="8"/>
      <c r="G139" s="8"/>
      <c r="H139" s="8"/>
      <c r="I139" s="8"/>
      <c r="J139" s="8" t="str">
        <f t="shared" si="31"/>
        <v/>
      </c>
      <c r="K139" s="8" t="str">
        <f t="shared" si="32"/>
        <v/>
      </c>
      <c r="L139" s="8" t="str">
        <f t="shared" si="33"/>
        <v/>
      </c>
      <c r="M139" s="8" t="str">
        <f t="shared" si="34"/>
        <v/>
      </c>
      <c r="N139" s="8" t="str">
        <f t="shared" si="35"/>
        <v>N/A</v>
      </c>
      <c r="O139" s="8"/>
    </row>
    <row r="140" spans="1:15" ht="15" customHeight="1" x14ac:dyDescent="0.25">
      <c r="A140" s="8" t="str">
        <f t="shared" si="30"/>
        <v/>
      </c>
      <c r="B140" s="11"/>
      <c r="C140" s="8"/>
      <c r="D140" s="8"/>
      <c r="E140" s="8"/>
      <c r="F140" s="8"/>
      <c r="G140" s="8"/>
      <c r="H140" s="8"/>
      <c r="I140" s="8"/>
      <c r="J140" s="8" t="str">
        <f t="shared" si="31"/>
        <v/>
      </c>
      <c r="K140" s="8" t="str">
        <f t="shared" si="32"/>
        <v/>
      </c>
      <c r="L140" s="8" t="str">
        <f t="shared" si="33"/>
        <v/>
      </c>
      <c r="M140" s="8" t="str">
        <f t="shared" si="34"/>
        <v/>
      </c>
      <c r="N140" s="8" t="str">
        <f t="shared" si="35"/>
        <v>N/A</v>
      </c>
      <c r="O140" s="8"/>
    </row>
    <row r="141" spans="1:15" ht="15" customHeight="1" x14ac:dyDescent="0.25">
      <c r="A141" s="8" t="str">
        <f t="shared" si="30"/>
        <v/>
      </c>
      <c r="B141" s="11"/>
      <c r="C141" s="8"/>
      <c r="D141" s="8"/>
      <c r="E141" s="8"/>
      <c r="F141" s="8"/>
      <c r="G141" s="8"/>
      <c r="H141" s="8"/>
      <c r="I141" s="8"/>
      <c r="J141" s="8" t="str">
        <f t="shared" si="31"/>
        <v/>
      </c>
      <c r="K141" s="8" t="str">
        <f t="shared" si="32"/>
        <v/>
      </c>
      <c r="L141" s="8" t="str">
        <f t="shared" si="33"/>
        <v/>
      </c>
      <c r="M141" s="8" t="str">
        <f t="shared" si="34"/>
        <v/>
      </c>
      <c r="N141" s="8" t="str">
        <f t="shared" si="35"/>
        <v>N/A</v>
      </c>
      <c r="O141" s="8"/>
    </row>
    <row r="142" spans="1:15" ht="15" customHeight="1" x14ac:dyDescent="0.25">
      <c r="A142" s="8" t="str">
        <f t="shared" si="30"/>
        <v/>
      </c>
      <c r="B142" s="11"/>
      <c r="C142" s="8"/>
      <c r="D142" s="8"/>
      <c r="E142" s="8"/>
      <c r="F142" s="8"/>
      <c r="G142" s="8"/>
      <c r="H142" s="8"/>
      <c r="I142" s="8"/>
      <c r="J142" s="8" t="str">
        <f t="shared" si="31"/>
        <v/>
      </c>
      <c r="K142" s="8" t="str">
        <f t="shared" si="32"/>
        <v/>
      </c>
      <c r="L142" s="8" t="str">
        <f t="shared" si="33"/>
        <v/>
      </c>
      <c r="M142" s="8" t="str">
        <f t="shared" si="34"/>
        <v/>
      </c>
      <c r="N142" s="8" t="str">
        <f t="shared" si="35"/>
        <v>N/A</v>
      </c>
      <c r="O142" s="8"/>
    </row>
    <row r="143" spans="1:15" ht="15" customHeight="1" x14ac:dyDescent="0.25">
      <c r="A143" s="8" t="str">
        <f t="shared" si="30"/>
        <v/>
      </c>
      <c r="B143" s="11"/>
      <c r="C143" s="8"/>
      <c r="D143" s="8"/>
      <c r="E143" s="8"/>
      <c r="F143" s="8"/>
      <c r="G143" s="8"/>
      <c r="H143" s="8"/>
      <c r="I143" s="8"/>
      <c r="J143" s="8" t="str">
        <f t="shared" si="31"/>
        <v/>
      </c>
      <c r="K143" s="8" t="str">
        <f t="shared" si="32"/>
        <v/>
      </c>
      <c r="L143" s="8" t="str">
        <f t="shared" si="33"/>
        <v/>
      </c>
      <c r="M143" s="8" t="str">
        <f t="shared" si="34"/>
        <v/>
      </c>
      <c r="N143" s="8" t="str">
        <f t="shared" si="35"/>
        <v>N/A</v>
      </c>
      <c r="O143" s="8"/>
    </row>
    <row r="144" spans="1:15" ht="15" customHeight="1" x14ac:dyDescent="0.25">
      <c r="A144" s="8" t="str">
        <f t="shared" si="30"/>
        <v/>
      </c>
      <c r="B144" s="11"/>
      <c r="C144" s="8"/>
      <c r="D144" s="8"/>
      <c r="E144" s="8"/>
      <c r="F144" s="8"/>
      <c r="G144" s="8"/>
      <c r="H144" s="8"/>
      <c r="I144" s="8"/>
      <c r="J144" s="8" t="str">
        <f t="shared" si="31"/>
        <v/>
      </c>
      <c r="K144" s="8" t="str">
        <f t="shared" si="32"/>
        <v/>
      </c>
      <c r="L144" s="8" t="str">
        <f t="shared" si="33"/>
        <v/>
      </c>
      <c r="M144" s="8" t="str">
        <f t="shared" si="34"/>
        <v/>
      </c>
      <c r="N144" s="8" t="str">
        <f t="shared" si="35"/>
        <v>N/A</v>
      </c>
      <c r="O144" s="8"/>
    </row>
    <row r="145" spans="1:15" ht="15" customHeight="1" x14ac:dyDescent="0.25">
      <c r="A145" s="8" t="str">
        <f t="shared" si="30"/>
        <v/>
      </c>
      <c r="B145" s="11"/>
      <c r="C145" s="8"/>
      <c r="D145" s="8"/>
      <c r="E145" s="8"/>
      <c r="F145" s="8"/>
      <c r="G145" s="8"/>
      <c r="H145" s="8"/>
      <c r="I145" s="8"/>
      <c r="J145" s="8" t="str">
        <f t="shared" si="31"/>
        <v/>
      </c>
      <c r="K145" s="8" t="str">
        <f t="shared" si="32"/>
        <v/>
      </c>
      <c r="L145" s="8" t="str">
        <f t="shared" si="33"/>
        <v/>
      </c>
      <c r="M145" s="8" t="str">
        <f t="shared" si="34"/>
        <v/>
      </c>
      <c r="N145" s="8" t="str">
        <f t="shared" si="35"/>
        <v>N/A</v>
      </c>
      <c r="O145" s="8"/>
    </row>
    <row r="146" spans="1:15" ht="15" customHeight="1" x14ac:dyDescent="0.25">
      <c r="A146" s="8" t="str">
        <f t="shared" si="30"/>
        <v/>
      </c>
      <c r="B146" s="11"/>
      <c r="C146" s="8"/>
      <c r="D146" s="8"/>
      <c r="E146" s="8"/>
      <c r="F146" s="8"/>
      <c r="G146" s="8"/>
      <c r="H146" s="8"/>
      <c r="I146" s="8"/>
      <c r="J146" s="8" t="str">
        <f t="shared" si="31"/>
        <v/>
      </c>
      <c r="K146" s="8" t="str">
        <f t="shared" si="32"/>
        <v/>
      </c>
      <c r="L146" s="8" t="str">
        <f t="shared" si="33"/>
        <v/>
      </c>
      <c r="M146" s="8" t="str">
        <f t="shared" si="34"/>
        <v/>
      </c>
      <c r="N146" s="8" t="str">
        <f t="shared" si="35"/>
        <v>N/A</v>
      </c>
      <c r="O146" s="8"/>
    </row>
    <row r="147" spans="1:15" ht="15" customHeight="1" x14ac:dyDescent="0.25">
      <c r="A147" s="8" t="str">
        <f t="shared" si="30"/>
        <v/>
      </c>
      <c r="B147" s="11"/>
      <c r="C147" s="8"/>
      <c r="D147" s="8"/>
      <c r="E147" s="8"/>
      <c r="F147" s="8"/>
      <c r="G147" s="8"/>
      <c r="H147" s="8"/>
      <c r="I147" s="8"/>
      <c r="J147" s="8" t="str">
        <f t="shared" si="31"/>
        <v/>
      </c>
      <c r="K147" s="8" t="str">
        <f t="shared" si="32"/>
        <v/>
      </c>
      <c r="L147" s="8" t="str">
        <f t="shared" si="33"/>
        <v/>
      </c>
      <c r="M147" s="8" t="str">
        <f t="shared" si="34"/>
        <v/>
      </c>
      <c r="N147" s="8" t="str">
        <f t="shared" si="35"/>
        <v>N/A</v>
      </c>
      <c r="O147" s="8"/>
    </row>
    <row r="148" spans="1:15" ht="15" customHeight="1" x14ac:dyDescent="0.25">
      <c r="A148" s="8" t="str">
        <f t="shared" si="30"/>
        <v/>
      </c>
      <c r="B148" s="11"/>
      <c r="C148" s="8"/>
      <c r="D148" s="8"/>
      <c r="E148" s="8"/>
      <c r="F148" s="8"/>
      <c r="G148" s="8"/>
      <c r="H148" s="8"/>
      <c r="I148" s="8"/>
      <c r="J148" s="8" t="str">
        <f t="shared" si="31"/>
        <v/>
      </c>
      <c r="K148" s="8" t="str">
        <f t="shared" si="32"/>
        <v/>
      </c>
      <c r="L148" s="8" t="str">
        <f t="shared" si="33"/>
        <v/>
      </c>
      <c r="M148" s="8" t="str">
        <f t="shared" si="34"/>
        <v/>
      </c>
      <c r="N148" s="8" t="str">
        <f t="shared" si="35"/>
        <v>N/A</v>
      </c>
      <c r="O148" s="8"/>
    </row>
    <row r="149" spans="1:15" ht="15" customHeight="1" x14ac:dyDescent="0.25">
      <c r="A149" s="8" t="str">
        <f t="shared" si="30"/>
        <v/>
      </c>
      <c r="B149" s="11"/>
      <c r="C149" s="8"/>
      <c r="D149" s="8"/>
      <c r="E149" s="8"/>
      <c r="F149" s="8"/>
      <c r="G149" s="8"/>
      <c r="H149" s="8"/>
      <c r="I149" s="8"/>
      <c r="J149" s="8" t="str">
        <f t="shared" si="31"/>
        <v/>
      </c>
      <c r="K149" s="8" t="str">
        <f t="shared" si="32"/>
        <v/>
      </c>
      <c r="L149" s="8" t="str">
        <f t="shared" si="33"/>
        <v/>
      </c>
      <c r="M149" s="8" t="str">
        <f t="shared" si="34"/>
        <v/>
      </c>
      <c r="N149" s="8" t="str">
        <f t="shared" si="35"/>
        <v>N/A</v>
      </c>
      <c r="O149" s="8"/>
    </row>
    <row r="150" spans="1:15" ht="15" customHeight="1" x14ac:dyDescent="0.25">
      <c r="A150" s="8" t="str">
        <f t="shared" si="30"/>
        <v/>
      </c>
      <c r="B150" s="11"/>
      <c r="C150" s="8"/>
      <c r="D150" s="8"/>
      <c r="E150" s="8"/>
      <c r="F150" s="8"/>
      <c r="G150" s="8"/>
      <c r="H150" s="8"/>
      <c r="I150" s="8"/>
      <c r="J150" s="8" t="str">
        <f t="shared" si="31"/>
        <v/>
      </c>
      <c r="K150" s="8" t="str">
        <f t="shared" si="32"/>
        <v/>
      </c>
      <c r="L150" s="8" t="str">
        <f t="shared" si="33"/>
        <v/>
      </c>
      <c r="M150" s="8" t="str">
        <f t="shared" si="34"/>
        <v/>
      </c>
      <c r="N150" s="8" t="str">
        <f t="shared" si="35"/>
        <v>N/A</v>
      </c>
      <c r="O150" s="8"/>
    </row>
    <row r="151" spans="1:15" ht="15" customHeight="1" x14ac:dyDescent="0.25">
      <c r="A151" s="8" t="str">
        <f t="shared" si="30"/>
        <v/>
      </c>
      <c r="B151" s="11"/>
      <c r="C151" s="8"/>
      <c r="D151" s="8"/>
      <c r="E151" s="8"/>
      <c r="F151" s="8"/>
      <c r="G151" s="8"/>
      <c r="H151" s="8"/>
      <c r="I151" s="8"/>
      <c r="J151" s="8" t="str">
        <f t="shared" si="31"/>
        <v/>
      </c>
      <c r="K151" s="8" t="str">
        <f t="shared" si="32"/>
        <v/>
      </c>
      <c r="L151" s="8" t="str">
        <f t="shared" si="33"/>
        <v/>
      </c>
      <c r="M151" s="8" t="str">
        <f t="shared" si="34"/>
        <v/>
      </c>
      <c r="N151" s="8" t="str">
        <f t="shared" si="35"/>
        <v>N/A</v>
      </c>
      <c r="O151" s="8"/>
    </row>
    <row r="152" spans="1:15" ht="15" customHeight="1" x14ac:dyDescent="0.25">
      <c r="A152" s="8" t="str">
        <f t="shared" si="30"/>
        <v/>
      </c>
      <c r="B152" s="11"/>
      <c r="C152" s="8"/>
      <c r="D152" s="8"/>
      <c r="E152" s="8"/>
      <c r="F152" s="8"/>
      <c r="G152" s="8"/>
      <c r="H152" s="8"/>
      <c r="I152" s="8"/>
      <c r="J152" s="8" t="str">
        <f t="shared" si="31"/>
        <v/>
      </c>
      <c r="K152" s="8" t="str">
        <f t="shared" si="32"/>
        <v/>
      </c>
      <c r="L152" s="8" t="str">
        <f t="shared" si="33"/>
        <v/>
      </c>
      <c r="M152" s="8" t="str">
        <f t="shared" si="34"/>
        <v/>
      </c>
      <c r="N152" s="8" t="str">
        <f t="shared" si="35"/>
        <v>N/A</v>
      </c>
      <c r="O152" s="8"/>
    </row>
    <row r="153" spans="1:15" ht="15" customHeight="1" x14ac:dyDescent="0.25">
      <c r="A153" s="8" t="str">
        <f t="shared" si="30"/>
        <v/>
      </c>
      <c r="B153" s="11"/>
      <c r="C153" s="8"/>
      <c r="D153" s="8"/>
      <c r="E153" s="8"/>
      <c r="F153" s="8"/>
      <c r="G153" s="8"/>
      <c r="H153" s="8"/>
      <c r="I153" s="8"/>
      <c r="J153" s="8" t="str">
        <f t="shared" si="31"/>
        <v/>
      </c>
      <c r="K153" s="8" t="str">
        <f t="shared" si="32"/>
        <v/>
      </c>
      <c r="L153" s="8" t="str">
        <f t="shared" si="33"/>
        <v/>
      </c>
      <c r="M153" s="8" t="str">
        <f t="shared" si="34"/>
        <v/>
      </c>
      <c r="N153" s="8" t="str">
        <f t="shared" si="35"/>
        <v>N/A</v>
      </c>
      <c r="O153" s="8"/>
    </row>
    <row r="154" spans="1:15" ht="15" customHeight="1" x14ac:dyDescent="0.25">
      <c r="A154" s="8" t="str">
        <f t="shared" si="30"/>
        <v/>
      </c>
      <c r="B154" s="11"/>
      <c r="C154" s="8"/>
      <c r="D154" s="8"/>
      <c r="E154" s="8"/>
      <c r="F154" s="8"/>
      <c r="G154" s="8"/>
      <c r="H154" s="8"/>
      <c r="I154" s="8"/>
      <c r="J154" s="8" t="str">
        <f t="shared" si="31"/>
        <v/>
      </c>
      <c r="K154" s="8" t="str">
        <f t="shared" si="32"/>
        <v/>
      </c>
      <c r="L154" s="8" t="str">
        <f t="shared" si="33"/>
        <v/>
      </c>
      <c r="M154" s="8" t="str">
        <f t="shared" si="34"/>
        <v/>
      </c>
      <c r="N154" s="8" t="str">
        <f t="shared" si="35"/>
        <v>N/A</v>
      </c>
      <c r="O154" s="8"/>
    </row>
    <row r="155" spans="1:15" ht="15" customHeight="1" x14ac:dyDescent="0.25">
      <c r="A155" s="8" t="str">
        <f t="shared" si="30"/>
        <v/>
      </c>
      <c r="B155" s="11"/>
      <c r="C155" s="8"/>
      <c r="D155" s="8"/>
      <c r="E155" s="8"/>
      <c r="F155" s="8"/>
      <c r="G155" s="8"/>
      <c r="H155" s="8"/>
      <c r="I155" s="8"/>
      <c r="J155" s="8" t="str">
        <f t="shared" si="31"/>
        <v/>
      </c>
      <c r="K155" s="8" t="str">
        <f t="shared" si="32"/>
        <v/>
      </c>
      <c r="L155" s="8" t="str">
        <f t="shared" si="33"/>
        <v/>
      </c>
      <c r="M155" s="8" t="str">
        <f t="shared" si="34"/>
        <v/>
      </c>
      <c r="N155" s="8" t="str">
        <f t="shared" si="35"/>
        <v>N/A</v>
      </c>
      <c r="O155" s="8"/>
    </row>
    <row r="156" spans="1:15" ht="15" customHeight="1" x14ac:dyDescent="0.25">
      <c r="A156" s="8" t="str">
        <f t="shared" si="30"/>
        <v/>
      </c>
      <c r="B156" s="11"/>
      <c r="C156" s="8"/>
      <c r="D156" s="8"/>
      <c r="E156" s="8"/>
      <c r="F156" s="8"/>
      <c r="G156" s="8"/>
      <c r="H156" s="8"/>
      <c r="I156" s="8"/>
      <c r="J156" s="8" t="str">
        <f t="shared" si="31"/>
        <v/>
      </c>
      <c r="K156" s="8" t="str">
        <f t="shared" si="32"/>
        <v/>
      </c>
      <c r="L156" s="8" t="str">
        <f t="shared" si="33"/>
        <v/>
      </c>
      <c r="M156" s="8" t="str">
        <f t="shared" si="34"/>
        <v/>
      </c>
      <c r="N156" s="8" t="str">
        <f t="shared" si="35"/>
        <v>N/A</v>
      </c>
      <c r="O156" s="8"/>
    </row>
    <row r="157" spans="1:15" ht="15" customHeight="1" x14ac:dyDescent="0.25">
      <c r="A157" s="8" t="str">
        <f t="shared" si="30"/>
        <v/>
      </c>
      <c r="B157" s="11"/>
      <c r="C157" s="8"/>
      <c r="D157" s="8"/>
      <c r="E157" s="8"/>
      <c r="F157" s="8"/>
      <c r="G157" s="8"/>
      <c r="H157" s="8"/>
      <c r="I157" s="8"/>
      <c r="J157" s="8" t="str">
        <f t="shared" si="31"/>
        <v/>
      </c>
      <c r="K157" s="8" t="str">
        <f t="shared" si="32"/>
        <v/>
      </c>
      <c r="L157" s="8" t="str">
        <f t="shared" si="33"/>
        <v/>
      </c>
      <c r="M157" s="8" t="str">
        <f t="shared" si="34"/>
        <v/>
      </c>
      <c r="N157" s="8" t="str">
        <f t="shared" si="35"/>
        <v>N/A</v>
      </c>
      <c r="O157" s="8"/>
    </row>
    <row r="158" spans="1:15" ht="15" customHeight="1" x14ac:dyDescent="0.25">
      <c r="A158" s="8" t="str">
        <f t="shared" si="30"/>
        <v/>
      </c>
      <c r="B158" s="11"/>
      <c r="C158" s="8"/>
      <c r="D158" s="8"/>
      <c r="E158" s="8"/>
      <c r="F158" s="8"/>
      <c r="G158" s="8"/>
      <c r="H158" s="8"/>
      <c r="I158" s="8"/>
      <c r="J158" s="8" t="str">
        <f t="shared" si="31"/>
        <v/>
      </c>
      <c r="K158" s="8" t="str">
        <f t="shared" si="32"/>
        <v/>
      </c>
      <c r="L158" s="8" t="str">
        <f t="shared" si="33"/>
        <v/>
      </c>
      <c r="M158" s="8" t="str">
        <f t="shared" si="34"/>
        <v/>
      </c>
      <c r="N158" s="8" t="str">
        <f t="shared" si="35"/>
        <v>N/A</v>
      </c>
      <c r="O158" s="8"/>
    </row>
    <row r="159" spans="1:15" ht="15" customHeight="1" x14ac:dyDescent="0.25">
      <c r="A159" s="8" t="str">
        <f t="shared" si="30"/>
        <v/>
      </c>
      <c r="B159" s="11"/>
      <c r="C159" s="8"/>
      <c r="D159" s="8"/>
      <c r="E159" s="8"/>
      <c r="F159" s="8"/>
      <c r="G159" s="8"/>
      <c r="H159" s="8"/>
      <c r="I159" s="8"/>
      <c r="J159" s="8" t="str">
        <f t="shared" si="31"/>
        <v/>
      </c>
      <c r="K159" s="8" t="str">
        <f t="shared" si="32"/>
        <v/>
      </c>
      <c r="L159" s="8" t="str">
        <f t="shared" si="33"/>
        <v/>
      </c>
      <c r="M159" s="8" t="str">
        <f t="shared" si="34"/>
        <v/>
      </c>
      <c r="N159" s="8" t="str">
        <f t="shared" si="35"/>
        <v>N/A</v>
      </c>
      <c r="O159" s="8"/>
    </row>
    <row r="160" spans="1:15" ht="15" customHeight="1" x14ac:dyDescent="0.25">
      <c r="A160" s="8" t="str">
        <f t="shared" si="30"/>
        <v/>
      </c>
      <c r="B160" s="11"/>
      <c r="C160" s="8"/>
      <c r="D160" s="8"/>
      <c r="E160" s="8"/>
      <c r="F160" s="8"/>
      <c r="G160" s="8"/>
      <c r="H160" s="8"/>
      <c r="I160" s="8"/>
      <c r="J160" s="8" t="str">
        <f t="shared" si="31"/>
        <v/>
      </c>
      <c r="K160" s="8" t="str">
        <f t="shared" si="32"/>
        <v/>
      </c>
      <c r="L160" s="8" t="str">
        <f t="shared" si="33"/>
        <v/>
      </c>
      <c r="M160" s="8" t="str">
        <f t="shared" si="34"/>
        <v/>
      </c>
      <c r="N160" s="8" t="str">
        <f t="shared" si="35"/>
        <v>N/A</v>
      </c>
      <c r="O160" s="8"/>
    </row>
    <row r="161" spans="1:15" ht="15" customHeight="1" x14ac:dyDescent="0.25">
      <c r="A161" s="8" t="str">
        <f t="shared" si="30"/>
        <v/>
      </c>
      <c r="B161" s="11"/>
      <c r="C161" s="8"/>
      <c r="D161" s="8"/>
      <c r="E161" s="8"/>
      <c r="F161" s="8"/>
      <c r="G161" s="8"/>
      <c r="H161" s="8"/>
      <c r="I161" s="8"/>
      <c r="J161" s="8" t="str">
        <f t="shared" si="31"/>
        <v/>
      </c>
      <c r="K161" s="8" t="str">
        <f t="shared" si="32"/>
        <v/>
      </c>
      <c r="L161" s="8" t="str">
        <f t="shared" si="33"/>
        <v/>
      </c>
      <c r="M161" s="8" t="str">
        <f t="shared" si="34"/>
        <v/>
      </c>
      <c r="N161" s="8" t="str">
        <f t="shared" si="35"/>
        <v>N/A</v>
      </c>
      <c r="O161" s="8"/>
    </row>
    <row r="162" spans="1:15" ht="15" customHeight="1" x14ac:dyDescent="0.25">
      <c r="A162" s="8" t="str">
        <f t="shared" ref="A162:A193" si="36">IF(B162="","",ROW()-1)</f>
        <v/>
      </c>
      <c r="B162" s="11"/>
      <c r="C162" s="8"/>
      <c r="D162" s="8"/>
      <c r="E162" s="8"/>
      <c r="F162" s="8"/>
      <c r="G162" s="8"/>
      <c r="H162" s="8"/>
      <c r="I162" s="8"/>
      <c r="J162" s="8" t="str">
        <f t="shared" ref="J162:J193" si="37">IF(G162="","",IF(G162="SIM",1,0))</f>
        <v/>
      </c>
      <c r="K162" s="8" t="str">
        <f t="shared" ref="K162:K193" si="38">IF(H162="","",IF(H162="Integral",1,IF(H162="Amostral",0.5,IF(H162="Não realizada",0,""))))</f>
        <v/>
      </c>
      <c r="L162" s="8" t="str">
        <f t="shared" ref="L162:L193" si="39">IF(I162="","",IF(I162="Conformidade",1,IF(I162="Não Conformidade",0,IF(I162="Não Conformidade Grave",-1,""))))</f>
        <v/>
      </c>
      <c r="M162" s="8" t="str">
        <f t="shared" ref="M162:M193" si="40">IF(COUNTA(G162:I162)=0,"",ROUND(AVERAGE(J162:L162)*100,0))</f>
        <v/>
      </c>
      <c r="N162" s="8" t="str">
        <f t="shared" ref="N162:N193" si="41">IFERROR(AVERAGEIF(C$2:C$201,C162,M$2:M$201),"N/A")</f>
        <v>N/A</v>
      </c>
      <c r="O162" s="8"/>
    </row>
    <row r="163" spans="1:15" ht="15" customHeight="1" x14ac:dyDescent="0.25">
      <c r="A163" s="8" t="str">
        <f t="shared" si="36"/>
        <v/>
      </c>
      <c r="B163" s="11"/>
      <c r="C163" s="8"/>
      <c r="D163" s="8"/>
      <c r="E163" s="8"/>
      <c r="F163" s="8"/>
      <c r="G163" s="8"/>
      <c r="H163" s="8"/>
      <c r="I163" s="8"/>
      <c r="J163" s="8" t="str">
        <f t="shared" si="37"/>
        <v/>
      </c>
      <c r="K163" s="8" t="str">
        <f t="shared" si="38"/>
        <v/>
      </c>
      <c r="L163" s="8" t="str">
        <f t="shared" si="39"/>
        <v/>
      </c>
      <c r="M163" s="8" t="str">
        <f t="shared" si="40"/>
        <v/>
      </c>
      <c r="N163" s="8" t="str">
        <f t="shared" si="41"/>
        <v>N/A</v>
      </c>
      <c r="O163" s="8"/>
    </row>
    <row r="164" spans="1:15" ht="15" customHeight="1" x14ac:dyDescent="0.25">
      <c r="A164" s="8" t="str">
        <f t="shared" si="36"/>
        <v/>
      </c>
      <c r="B164" s="11"/>
      <c r="C164" s="8"/>
      <c r="D164" s="8"/>
      <c r="E164" s="8"/>
      <c r="F164" s="8"/>
      <c r="G164" s="8"/>
      <c r="H164" s="8"/>
      <c r="I164" s="8"/>
      <c r="J164" s="8" t="str">
        <f t="shared" si="37"/>
        <v/>
      </c>
      <c r="K164" s="8" t="str">
        <f t="shared" si="38"/>
        <v/>
      </c>
      <c r="L164" s="8" t="str">
        <f t="shared" si="39"/>
        <v/>
      </c>
      <c r="M164" s="8" t="str">
        <f t="shared" si="40"/>
        <v/>
      </c>
      <c r="N164" s="8" t="str">
        <f t="shared" si="41"/>
        <v>N/A</v>
      </c>
      <c r="O164" s="8"/>
    </row>
    <row r="165" spans="1:15" ht="15" customHeight="1" x14ac:dyDescent="0.25">
      <c r="A165" s="8" t="str">
        <f t="shared" si="36"/>
        <v/>
      </c>
      <c r="B165" s="11"/>
      <c r="C165" s="8"/>
      <c r="D165" s="8"/>
      <c r="E165" s="8"/>
      <c r="F165" s="8"/>
      <c r="G165" s="8"/>
      <c r="H165" s="8"/>
      <c r="I165" s="8"/>
      <c r="J165" s="8" t="str">
        <f t="shared" si="37"/>
        <v/>
      </c>
      <c r="K165" s="8" t="str">
        <f t="shared" si="38"/>
        <v/>
      </c>
      <c r="L165" s="8" t="str">
        <f t="shared" si="39"/>
        <v/>
      </c>
      <c r="M165" s="8" t="str">
        <f t="shared" si="40"/>
        <v/>
      </c>
      <c r="N165" s="8" t="str">
        <f t="shared" si="41"/>
        <v>N/A</v>
      </c>
      <c r="O165" s="8"/>
    </row>
    <row r="166" spans="1:15" ht="15" customHeight="1" x14ac:dyDescent="0.25">
      <c r="A166" s="8" t="str">
        <f t="shared" si="36"/>
        <v/>
      </c>
      <c r="B166" s="11"/>
      <c r="C166" s="8"/>
      <c r="D166" s="8"/>
      <c r="E166" s="8"/>
      <c r="F166" s="8"/>
      <c r="G166" s="8"/>
      <c r="H166" s="8"/>
      <c r="I166" s="8"/>
      <c r="J166" s="8" t="str">
        <f t="shared" si="37"/>
        <v/>
      </c>
      <c r="K166" s="8" t="str">
        <f t="shared" si="38"/>
        <v/>
      </c>
      <c r="L166" s="8" t="str">
        <f t="shared" si="39"/>
        <v/>
      </c>
      <c r="M166" s="8" t="str">
        <f t="shared" si="40"/>
        <v/>
      </c>
      <c r="N166" s="8" t="str">
        <f t="shared" si="41"/>
        <v>N/A</v>
      </c>
      <c r="O166" s="8"/>
    </row>
    <row r="167" spans="1:15" ht="15" customHeight="1" x14ac:dyDescent="0.25">
      <c r="A167" s="8" t="str">
        <f t="shared" si="36"/>
        <v/>
      </c>
      <c r="B167" s="11"/>
      <c r="C167" s="8"/>
      <c r="D167" s="8"/>
      <c r="E167" s="8"/>
      <c r="F167" s="8"/>
      <c r="G167" s="8"/>
      <c r="H167" s="8"/>
      <c r="I167" s="8"/>
      <c r="J167" s="8" t="str">
        <f t="shared" si="37"/>
        <v/>
      </c>
      <c r="K167" s="8" t="str">
        <f t="shared" si="38"/>
        <v/>
      </c>
      <c r="L167" s="8" t="str">
        <f t="shared" si="39"/>
        <v/>
      </c>
      <c r="M167" s="8" t="str">
        <f t="shared" si="40"/>
        <v/>
      </c>
      <c r="N167" s="8" t="str">
        <f t="shared" si="41"/>
        <v>N/A</v>
      </c>
      <c r="O167" s="8"/>
    </row>
    <row r="168" spans="1:15" ht="15" customHeight="1" x14ac:dyDescent="0.25">
      <c r="A168" s="8" t="str">
        <f t="shared" si="36"/>
        <v/>
      </c>
      <c r="B168" s="11"/>
      <c r="C168" s="8"/>
      <c r="D168" s="8"/>
      <c r="E168" s="8"/>
      <c r="F168" s="8"/>
      <c r="G168" s="8"/>
      <c r="H168" s="8"/>
      <c r="I168" s="8"/>
      <c r="J168" s="8" t="str">
        <f t="shared" si="37"/>
        <v/>
      </c>
      <c r="K168" s="8" t="str">
        <f t="shared" si="38"/>
        <v/>
      </c>
      <c r="L168" s="8" t="str">
        <f t="shared" si="39"/>
        <v/>
      </c>
      <c r="M168" s="8" t="str">
        <f t="shared" si="40"/>
        <v/>
      </c>
      <c r="N168" s="8" t="str">
        <f t="shared" si="41"/>
        <v>N/A</v>
      </c>
      <c r="O168" s="8"/>
    </row>
    <row r="169" spans="1:15" ht="15" customHeight="1" x14ac:dyDescent="0.25">
      <c r="A169" s="8" t="str">
        <f t="shared" si="36"/>
        <v/>
      </c>
      <c r="B169" s="11"/>
      <c r="C169" s="8"/>
      <c r="D169" s="8"/>
      <c r="E169" s="8"/>
      <c r="F169" s="8"/>
      <c r="G169" s="8"/>
      <c r="H169" s="8"/>
      <c r="I169" s="8"/>
      <c r="J169" s="8" t="str">
        <f t="shared" si="37"/>
        <v/>
      </c>
      <c r="K169" s="8" t="str">
        <f t="shared" si="38"/>
        <v/>
      </c>
      <c r="L169" s="8" t="str">
        <f t="shared" si="39"/>
        <v/>
      </c>
      <c r="M169" s="8" t="str">
        <f t="shared" si="40"/>
        <v/>
      </c>
      <c r="N169" s="8" t="str">
        <f t="shared" si="41"/>
        <v>N/A</v>
      </c>
      <c r="O169" s="8"/>
    </row>
    <row r="170" spans="1:15" ht="15" customHeight="1" x14ac:dyDescent="0.25">
      <c r="A170" s="8" t="str">
        <f t="shared" si="36"/>
        <v/>
      </c>
      <c r="B170" s="11"/>
      <c r="C170" s="8"/>
      <c r="D170" s="8"/>
      <c r="E170" s="8"/>
      <c r="F170" s="8"/>
      <c r="G170" s="8"/>
      <c r="H170" s="8"/>
      <c r="I170" s="8"/>
      <c r="J170" s="8" t="str">
        <f t="shared" si="37"/>
        <v/>
      </c>
      <c r="K170" s="8" t="str">
        <f t="shared" si="38"/>
        <v/>
      </c>
      <c r="L170" s="8" t="str">
        <f t="shared" si="39"/>
        <v/>
      </c>
      <c r="M170" s="8" t="str">
        <f t="shared" si="40"/>
        <v/>
      </c>
      <c r="N170" s="8" t="str">
        <f t="shared" si="41"/>
        <v>N/A</v>
      </c>
      <c r="O170" s="8"/>
    </row>
    <row r="171" spans="1:15" ht="15" customHeight="1" x14ac:dyDescent="0.25">
      <c r="A171" s="8" t="str">
        <f t="shared" si="36"/>
        <v/>
      </c>
      <c r="B171" s="11"/>
      <c r="C171" s="8"/>
      <c r="D171" s="8"/>
      <c r="E171" s="8"/>
      <c r="F171" s="8"/>
      <c r="G171" s="8"/>
      <c r="H171" s="8"/>
      <c r="I171" s="8"/>
      <c r="J171" s="8" t="str">
        <f t="shared" si="37"/>
        <v/>
      </c>
      <c r="K171" s="8" t="str">
        <f t="shared" si="38"/>
        <v/>
      </c>
      <c r="L171" s="8" t="str">
        <f t="shared" si="39"/>
        <v/>
      </c>
      <c r="M171" s="8" t="str">
        <f t="shared" si="40"/>
        <v/>
      </c>
      <c r="N171" s="8" t="str">
        <f t="shared" si="41"/>
        <v>N/A</v>
      </c>
      <c r="O171" s="8"/>
    </row>
    <row r="172" spans="1:15" ht="15" customHeight="1" x14ac:dyDescent="0.25">
      <c r="A172" s="8" t="str">
        <f t="shared" si="36"/>
        <v/>
      </c>
      <c r="B172" s="11"/>
      <c r="C172" s="8"/>
      <c r="D172" s="8"/>
      <c r="E172" s="8"/>
      <c r="F172" s="8"/>
      <c r="G172" s="8"/>
      <c r="H172" s="8"/>
      <c r="I172" s="8"/>
      <c r="J172" s="8" t="str">
        <f t="shared" si="37"/>
        <v/>
      </c>
      <c r="K172" s="8" t="str">
        <f t="shared" si="38"/>
        <v/>
      </c>
      <c r="L172" s="8" t="str">
        <f t="shared" si="39"/>
        <v/>
      </c>
      <c r="M172" s="8" t="str">
        <f t="shared" si="40"/>
        <v/>
      </c>
      <c r="N172" s="8" t="str">
        <f t="shared" si="41"/>
        <v>N/A</v>
      </c>
      <c r="O172" s="8"/>
    </row>
    <row r="173" spans="1:15" ht="15" customHeight="1" x14ac:dyDescent="0.25">
      <c r="A173" s="8" t="str">
        <f t="shared" si="36"/>
        <v/>
      </c>
      <c r="B173" s="11"/>
      <c r="C173" s="8"/>
      <c r="D173" s="8"/>
      <c r="E173" s="8"/>
      <c r="F173" s="8"/>
      <c r="G173" s="8"/>
      <c r="H173" s="8"/>
      <c r="I173" s="8"/>
      <c r="J173" s="8" t="str">
        <f t="shared" si="37"/>
        <v/>
      </c>
      <c r="K173" s="8" t="str">
        <f t="shared" si="38"/>
        <v/>
      </c>
      <c r="L173" s="8" t="str">
        <f t="shared" si="39"/>
        <v/>
      </c>
      <c r="M173" s="8" t="str">
        <f t="shared" si="40"/>
        <v/>
      </c>
      <c r="N173" s="8" t="str">
        <f t="shared" si="41"/>
        <v>N/A</v>
      </c>
      <c r="O173" s="8"/>
    </row>
    <row r="174" spans="1:15" ht="15" customHeight="1" x14ac:dyDescent="0.25">
      <c r="A174" s="8" t="str">
        <f t="shared" si="36"/>
        <v/>
      </c>
      <c r="B174" s="11"/>
      <c r="C174" s="8"/>
      <c r="D174" s="8"/>
      <c r="E174" s="8"/>
      <c r="F174" s="8"/>
      <c r="G174" s="8"/>
      <c r="H174" s="8"/>
      <c r="I174" s="8"/>
      <c r="J174" s="8" t="str">
        <f t="shared" si="37"/>
        <v/>
      </c>
      <c r="K174" s="8" t="str">
        <f t="shared" si="38"/>
        <v/>
      </c>
      <c r="L174" s="8" t="str">
        <f t="shared" si="39"/>
        <v/>
      </c>
      <c r="M174" s="8" t="str">
        <f t="shared" si="40"/>
        <v/>
      </c>
      <c r="N174" s="8" t="str">
        <f t="shared" si="41"/>
        <v>N/A</v>
      </c>
      <c r="O174" s="8"/>
    </row>
    <row r="175" spans="1:15" ht="15" customHeight="1" x14ac:dyDescent="0.25">
      <c r="A175" s="8" t="str">
        <f t="shared" si="36"/>
        <v/>
      </c>
      <c r="B175" s="11"/>
      <c r="C175" s="8"/>
      <c r="D175" s="8"/>
      <c r="E175" s="8"/>
      <c r="F175" s="8"/>
      <c r="G175" s="8"/>
      <c r="H175" s="8"/>
      <c r="I175" s="8"/>
      <c r="J175" s="8" t="str">
        <f t="shared" si="37"/>
        <v/>
      </c>
      <c r="K175" s="8" t="str">
        <f t="shared" si="38"/>
        <v/>
      </c>
      <c r="L175" s="8" t="str">
        <f t="shared" si="39"/>
        <v/>
      </c>
      <c r="M175" s="8" t="str">
        <f t="shared" si="40"/>
        <v/>
      </c>
      <c r="N175" s="8" t="str">
        <f t="shared" si="41"/>
        <v>N/A</v>
      </c>
      <c r="O175" s="8"/>
    </row>
    <row r="176" spans="1:15" ht="15" customHeight="1" x14ac:dyDescent="0.25">
      <c r="A176" s="8" t="str">
        <f t="shared" si="36"/>
        <v/>
      </c>
      <c r="B176" s="11"/>
      <c r="C176" s="8"/>
      <c r="D176" s="8"/>
      <c r="E176" s="8"/>
      <c r="F176" s="8"/>
      <c r="G176" s="8"/>
      <c r="H176" s="8"/>
      <c r="I176" s="8"/>
      <c r="J176" s="8" t="str">
        <f t="shared" si="37"/>
        <v/>
      </c>
      <c r="K176" s="8" t="str">
        <f t="shared" si="38"/>
        <v/>
      </c>
      <c r="L176" s="8" t="str">
        <f t="shared" si="39"/>
        <v/>
      </c>
      <c r="M176" s="8" t="str">
        <f t="shared" si="40"/>
        <v/>
      </c>
      <c r="N176" s="8" t="str">
        <f t="shared" si="41"/>
        <v>N/A</v>
      </c>
      <c r="O176" s="8"/>
    </row>
    <row r="177" spans="1:15" ht="15" customHeight="1" x14ac:dyDescent="0.25">
      <c r="A177" s="8" t="str">
        <f t="shared" si="36"/>
        <v/>
      </c>
      <c r="B177" s="11"/>
      <c r="C177" s="8"/>
      <c r="D177" s="8"/>
      <c r="E177" s="8"/>
      <c r="F177" s="8"/>
      <c r="G177" s="8"/>
      <c r="H177" s="8"/>
      <c r="I177" s="8"/>
      <c r="J177" s="8" t="str">
        <f t="shared" si="37"/>
        <v/>
      </c>
      <c r="K177" s="8" t="str">
        <f t="shared" si="38"/>
        <v/>
      </c>
      <c r="L177" s="8" t="str">
        <f t="shared" si="39"/>
        <v/>
      </c>
      <c r="M177" s="8" t="str">
        <f t="shared" si="40"/>
        <v/>
      </c>
      <c r="N177" s="8" t="str">
        <f t="shared" si="41"/>
        <v>N/A</v>
      </c>
      <c r="O177" s="8"/>
    </row>
    <row r="178" spans="1:15" ht="15" customHeight="1" x14ac:dyDescent="0.25">
      <c r="A178" s="8" t="str">
        <f t="shared" si="36"/>
        <v/>
      </c>
      <c r="B178" s="11"/>
      <c r="C178" s="8"/>
      <c r="D178" s="8"/>
      <c r="E178" s="8"/>
      <c r="F178" s="8"/>
      <c r="G178" s="8"/>
      <c r="H178" s="8"/>
      <c r="I178" s="8"/>
      <c r="J178" s="8" t="str">
        <f t="shared" si="37"/>
        <v/>
      </c>
      <c r="K178" s="8" t="str">
        <f t="shared" si="38"/>
        <v/>
      </c>
      <c r="L178" s="8" t="str">
        <f t="shared" si="39"/>
        <v/>
      </c>
      <c r="M178" s="8" t="str">
        <f t="shared" si="40"/>
        <v/>
      </c>
      <c r="N178" s="8" t="str">
        <f t="shared" si="41"/>
        <v>N/A</v>
      </c>
      <c r="O178" s="8"/>
    </row>
    <row r="179" spans="1:15" ht="15" customHeight="1" x14ac:dyDescent="0.25">
      <c r="A179" s="8" t="str">
        <f t="shared" si="36"/>
        <v/>
      </c>
      <c r="B179" s="11"/>
      <c r="C179" s="8"/>
      <c r="D179" s="8"/>
      <c r="E179" s="8"/>
      <c r="F179" s="8"/>
      <c r="G179" s="8"/>
      <c r="H179" s="8"/>
      <c r="I179" s="8"/>
      <c r="J179" s="8" t="str">
        <f t="shared" si="37"/>
        <v/>
      </c>
      <c r="K179" s="8" t="str">
        <f t="shared" si="38"/>
        <v/>
      </c>
      <c r="L179" s="8" t="str">
        <f t="shared" si="39"/>
        <v/>
      </c>
      <c r="M179" s="8" t="str">
        <f t="shared" si="40"/>
        <v/>
      </c>
      <c r="N179" s="8" t="str">
        <f t="shared" si="41"/>
        <v>N/A</v>
      </c>
      <c r="O179" s="8"/>
    </row>
    <row r="180" spans="1:15" ht="15" customHeight="1" x14ac:dyDescent="0.25">
      <c r="A180" s="8" t="str">
        <f t="shared" si="36"/>
        <v/>
      </c>
      <c r="B180" s="11"/>
      <c r="C180" s="8"/>
      <c r="D180" s="8"/>
      <c r="E180" s="8"/>
      <c r="F180" s="8"/>
      <c r="G180" s="8"/>
      <c r="H180" s="8"/>
      <c r="I180" s="8"/>
      <c r="J180" s="8" t="str">
        <f t="shared" si="37"/>
        <v/>
      </c>
      <c r="K180" s="8" t="str">
        <f t="shared" si="38"/>
        <v/>
      </c>
      <c r="L180" s="8" t="str">
        <f t="shared" si="39"/>
        <v/>
      </c>
      <c r="M180" s="8" t="str">
        <f t="shared" si="40"/>
        <v/>
      </c>
      <c r="N180" s="8" t="str">
        <f t="shared" si="41"/>
        <v>N/A</v>
      </c>
      <c r="O180" s="8"/>
    </row>
    <row r="181" spans="1:15" ht="15" customHeight="1" x14ac:dyDescent="0.25">
      <c r="A181" s="8" t="str">
        <f t="shared" si="36"/>
        <v/>
      </c>
      <c r="B181" s="11"/>
      <c r="C181" s="8"/>
      <c r="D181" s="8"/>
      <c r="E181" s="8"/>
      <c r="F181" s="8"/>
      <c r="G181" s="8"/>
      <c r="H181" s="8"/>
      <c r="I181" s="8"/>
      <c r="J181" s="8" t="str">
        <f t="shared" si="37"/>
        <v/>
      </c>
      <c r="K181" s="8" t="str">
        <f t="shared" si="38"/>
        <v/>
      </c>
      <c r="L181" s="8" t="str">
        <f t="shared" si="39"/>
        <v/>
      </c>
      <c r="M181" s="8" t="str">
        <f t="shared" si="40"/>
        <v/>
      </c>
      <c r="N181" s="8" t="str">
        <f t="shared" si="41"/>
        <v>N/A</v>
      </c>
      <c r="O181" s="8"/>
    </row>
    <row r="182" spans="1:15" ht="15" customHeight="1" x14ac:dyDescent="0.25">
      <c r="A182" s="8" t="str">
        <f t="shared" si="36"/>
        <v/>
      </c>
      <c r="B182" s="11"/>
      <c r="C182" s="8"/>
      <c r="D182" s="8"/>
      <c r="E182" s="8"/>
      <c r="F182" s="8"/>
      <c r="G182" s="8"/>
      <c r="H182" s="8"/>
      <c r="I182" s="8"/>
      <c r="J182" s="8" t="str">
        <f t="shared" si="37"/>
        <v/>
      </c>
      <c r="K182" s="8" t="str">
        <f t="shared" si="38"/>
        <v/>
      </c>
      <c r="L182" s="8" t="str">
        <f t="shared" si="39"/>
        <v/>
      </c>
      <c r="M182" s="8" t="str">
        <f t="shared" si="40"/>
        <v/>
      </c>
      <c r="N182" s="8" t="str">
        <f t="shared" si="41"/>
        <v>N/A</v>
      </c>
      <c r="O182" s="8"/>
    </row>
    <row r="183" spans="1:15" ht="15" customHeight="1" x14ac:dyDescent="0.25">
      <c r="A183" s="8" t="str">
        <f t="shared" si="36"/>
        <v/>
      </c>
      <c r="B183" s="11"/>
      <c r="C183" s="8"/>
      <c r="D183" s="8"/>
      <c r="E183" s="8"/>
      <c r="F183" s="8"/>
      <c r="G183" s="8"/>
      <c r="H183" s="8"/>
      <c r="I183" s="8"/>
      <c r="J183" s="8" t="str">
        <f t="shared" si="37"/>
        <v/>
      </c>
      <c r="K183" s="8" t="str">
        <f t="shared" si="38"/>
        <v/>
      </c>
      <c r="L183" s="8" t="str">
        <f t="shared" si="39"/>
        <v/>
      </c>
      <c r="M183" s="8" t="str">
        <f t="shared" si="40"/>
        <v/>
      </c>
      <c r="N183" s="8" t="str">
        <f t="shared" si="41"/>
        <v>N/A</v>
      </c>
      <c r="O183" s="8"/>
    </row>
    <row r="184" spans="1:15" ht="15" customHeight="1" x14ac:dyDescent="0.25">
      <c r="A184" s="8" t="str">
        <f t="shared" si="36"/>
        <v/>
      </c>
      <c r="B184" s="11"/>
      <c r="C184" s="8"/>
      <c r="D184" s="8"/>
      <c r="E184" s="8"/>
      <c r="F184" s="8"/>
      <c r="G184" s="8"/>
      <c r="H184" s="8"/>
      <c r="I184" s="8"/>
      <c r="J184" s="8" t="str">
        <f t="shared" si="37"/>
        <v/>
      </c>
      <c r="K184" s="8" t="str">
        <f t="shared" si="38"/>
        <v/>
      </c>
      <c r="L184" s="8" t="str">
        <f t="shared" si="39"/>
        <v/>
      </c>
      <c r="M184" s="8" t="str">
        <f t="shared" si="40"/>
        <v/>
      </c>
      <c r="N184" s="8" t="str">
        <f t="shared" si="41"/>
        <v>N/A</v>
      </c>
      <c r="O184" s="8"/>
    </row>
    <row r="185" spans="1:15" ht="15" customHeight="1" x14ac:dyDescent="0.25">
      <c r="A185" s="8" t="str">
        <f t="shared" si="36"/>
        <v/>
      </c>
      <c r="B185" s="11"/>
      <c r="C185" s="8"/>
      <c r="D185" s="8"/>
      <c r="E185" s="8"/>
      <c r="F185" s="8"/>
      <c r="G185" s="8"/>
      <c r="H185" s="8"/>
      <c r="I185" s="8"/>
      <c r="J185" s="8" t="str">
        <f t="shared" si="37"/>
        <v/>
      </c>
      <c r="K185" s="8" t="str">
        <f t="shared" si="38"/>
        <v/>
      </c>
      <c r="L185" s="8" t="str">
        <f t="shared" si="39"/>
        <v/>
      </c>
      <c r="M185" s="8" t="str">
        <f t="shared" si="40"/>
        <v/>
      </c>
      <c r="N185" s="8" t="str">
        <f t="shared" si="41"/>
        <v>N/A</v>
      </c>
      <c r="O185" s="8"/>
    </row>
    <row r="186" spans="1:15" ht="15" customHeight="1" x14ac:dyDescent="0.25">
      <c r="A186" s="8" t="str">
        <f t="shared" si="36"/>
        <v/>
      </c>
      <c r="B186" s="11"/>
      <c r="C186" s="8"/>
      <c r="D186" s="8"/>
      <c r="E186" s="8"/>
      <c r="F186" s="8"/>
      <c r="G186" s="8"/>
      <c r="H186" s="8"/>
      <c r="I186" s="8"/>
      <c r="J186" s="8" t="str">
        <f t="shared" si="37"/>
        <v/>
      </c>
      <c r="K186" s="8" t="str">
        <f t="shared" si="38"/>
        <v/>
      </c>
      <c r="L186" s="8" t="str">
        <f t="shared" si="39"/>
        <v/>
      </c>
      <c r="M186" s="8" t="str">
        <f t="shared" si="40"/>
        <v/>
      </c>
      <c r="N186" s="8" t="str">
        <f t="shared" si="41"/>
        <v>N/A</v>
      </c>
      <c r="O186" s="8"/>
    </row>
    <row r="187" spans="1:15" ht="15" customHeight="1" x14ac:dyDescent="0.25">
      <c r="A187" s="8" t="str">
        <f t="shared" si="36"/>
        <v/>
      </c>
      <c r="B187" s="11"/>
      <c r="C187" s="8"/>
      <c r="D187" s="8"/>
      <c r="E187" s="8"/>
      <c r="F187" s="8"/>
      <c r="G187" s="8"/>
      <c r="H187" s="8"/>
      <c r="I187" s="8"/>
      <c r="J187" s="8" t="str">
        <f t="shared" si="37"/>
        <v/>
      </c>
      <c r="K187" s="8" t="str">
        <f t="shared" si="38"/>
        <v/>
      </c>
      <c r="L187" s="8" t="str">
        <f t="shared" si="39"/>
        <v/>
      </c>
      <c r="M187" s="8" t="str">
        <f t="shared" si="40"/>
        <v/>
      </c>
      <c r="N187" s="8" t="str">
        <f t="shared" si="41"/>
        <v>N/A</v>
      </c>
      <c r="O187" s="8"/>
    </row>
    <row r="188" spans="1:15" ht="15" customHeight="1" x14ac:dyDescent="0.25">
      <c r="A188" s="8" t="str">
        <f t="shared" si="36"/>
        <v/>
      </c>
      <c r="B188" s="11"/>
      <c r="C188" s="8"/>
      <c r="D188" s="8"/>
      <c r="E188" s="8"/>
      <c r="F188" s="8"/>
      <c r="G188" s="8"/>
      <c r="H188" s="8"/>
      <c r="I188" s="8"/>
      <c r="J188" s="8" t="str">
        <f t="shared" si="37"/>
        <v/>
      </c>
      <c r="K188" s="8" t="str">
        <f t="shared" si="38"/>
        <v/>
      </c>
      <c r="L188" s="8" t="str">
        <f t="shared" si="39"/>
        <v/>
      </c>
      <c r="M188" s="8" t="str">
        <f t="shared" si="40"/>
        <v/>
      </c>
      <c r="N188" s="8" t="str">
        <f t="shared" si="41"/>
        <v>N/A</v>
      </c>
      <c r="O188" s="8"/>
    </row>
    <row r="189" spans="1:15" ht="15" customHeight="1" x14ac:dyDescent="0.25">
      <c r="A189" s="8" t="str">
        <f t="shared" si="36"/>
        <v/>
      </c>
      <c r="B189" s="11"/>
      <c r="C189" s="8"/>
      <c r="D189" s="8"/>
      <c r="E189" s="8"/>
      <c r="F189" s="8"/>
      <c r="G189" s="8"/>
      <c r="H189" s="8"/>
      <c r="I189" s="8"/>
      <c r="J189" s="8" t="str">
        <f t="shared" si="37"/>
        <v/>
      </c>
      <c r="K189" s="8" t="str">
        <f t="shared" si="38"/>
        <v/>
      </c>
      <c r="L189" s="8" t="str">
        <f t="shared" si="39"/>
        <v/>
      </c>
      <c r="M189" s="8" t="str">
        <f t="shared" si="40"/>
        <v/>
      </c>
      <c r="N189" s="8" t="str">
        <f t="shared" si="41"/>
        <v>N/A</v>
      </c>
      <c r="O189" s="8"/>
    </row>
    <row r="190" spans="1:15" ht="15" customHeight="1" x14ac:dyDescent="0.25">
      <c r="A190" s="8" t="str">
        <f t="shared" si="36"/>
        <v/>
      </c>
      <c r="B190" s="11"/>
      <c r="C190" s="8"/>
      <c r="D190" s="8"/>
      <c r="E190" s="8"/>
      <c r="F190" s="8"/>
      <c r="G190" s="8"/>
      <c r="H190" s="8"/>
      <c r="I190" s="8"/>
      <c r="J190" s="8" t="str">
        <f t="shared" si="37"/>
        <v/>
      </c>
      <c r="K190" s="8" t="str">
        <f t="shared" si="38"/>
        <v/>
      </c>
      <c r="L190" s="8" t="str">
        <f t="shared" si="39"/>
        <v/>
      </c>
      <c r="M190" s="8" t="str">
        <f t="shared" si="40"/>
        <v/>
      </c>
      <c r="N190" s="8" t="str">
        <f t="shared" si="41"/>
        <v>N/A</v>
      </c>
      <c r="O190" s="8"/>
    </row>
    <row r="191" spans="1:15" ht="15" customHeight="1" x14ac:dyDescent="0.25">
      <c r="A191" s="8" t="str">
        <f t="shared" si="36"/>
        <v/>
      </c>
      <c r="B191" s="11"/>
      <c r="C191" s="8"/>
      <c r="D191" s="8"/>
      <c r="E191" s="8"/>
      <c r="F191" s="8"/>
      <c r="G191" s="8"/>
      <c r="H191" s="8"/>
      <c r="I191" s="8"/>
      <c r="J191" s="8" t="str">
        <f t="shared" si="37"/>
        <v/>
      </c>
      <c r="K191" s="8" t="str">
        <f t="shared" si="38"/>
        <v/>
      </c>
      <c r="L191" s="8" t="str">
        <f t="shared" si="39"/>
        <v/>
      </c>
      <c r="M191" s="8" t="str">
        <f t="shared" si="40"/>
        <v/>
      </c>
      <c r="N191" s="8" t="str">
        <f t="shared" si="41"/>
        <v>N/A</v>
      </c>
      <c r="O191" s="8"/>
    </row>
    <row r="192" spans="1:15" ht="15" customHeight="1" x14ac:dyDescent="0.25">
      <c r="A192" s="8" t="str">
        <f t="shared" si="36"/>
        <v/>
      </c>
      <c r="B192" s="11"/>
      <c r="C192" s="8"/>
      <c r="D192" s="8"/>
      <c r="E192" s="8"/>
      <c r="F192" s="8"/>
      <c r="G192" s="8"/>
      <c r="H192" s="8"/>
      <c r="I192" s="8"/>
      <c r="J192" s="8" t="str">
        <f t="shared" si="37"/>
        <v/>
      </c>
      <c r="K192" s="8" t="str">
        <f t="shared" si="38"/>
        <v/>
      </c>
      <c r="L192" s="8" t="str">
        <f t="shared" si="39"/>
        <v/>
      </c>
      <c r="M192" s="8" t="str">
        <f t="shared" si="40"/>
        <v/>
      </c>
      <c r="N192" s="8" t="str">
        <f t="shared" si="41"/>
        <v>N/A</v>
      </c>
      <c r="O192" s="8"/>
    </row>
    <row r="193" spans="1:15" ht="15" customHeight="1" x14ac:dyDescent="0.25">
      <c r="A193" s="8" t="str">
        <f t="shared" si="36"/>
        <v/>
      </c>
      <c r="B193" s="11"/>
      <c r="C193" s="8"/>
      <c r="D193" s="8"/>
      <c r="E193" s="8"/>
      <c r="F193" s="8"/>
      <c r="G193" s="8"/>
      <c r="H193" s="8"/>
      <c r="I193" s="8"/>
      <c r="J193" s="8" t="str">
        <f t="shared" si="37"/>
        <v/>
      </c>
      <c r="K193" s="8" t="str">
        <f t="shared" si="38"/>
        <v/>
      </c>
      <c r="L193" s="8" t="str">
        <f t="shared" si="39"/>
        <v/>
      </c>
      <c r="M193" s="8" t="str">
        <f t="shared" si="40"/>
        <v/>
      </c>
      <c r="N193" s="8" t="str">
        <f t="shared" si="41"/>
        <v>N/A</v>
      </c>
      <c r="O193" s="8"/>
    </row>
    <row r="194" spans="1:15" ht="15" customHeight="1" x14ac:dyDescent="0.25">
      <c r="A194" s="8" t="str">
        <f t="shared" ref="A194:A201" si="42">IF(B194="","",ROW()-1)</f>
        <v/>
      </c>
      <c r="B194" s="11"/>
      <c r="C194" s="8"/>
      <c r="D194" s="8"/>
      <c r="E194" s="8"/>
      <c r="F194" s="8"/>
      <c r="G194" s="8"/>
      <c r="H194" s="8"/>
      <c r="I194" s="8"/>
      <c r="J194" s="8" t="str">
        <f t="shared" ref="J194:J201" si="43">IF(G194="","",IF(G194="SIM",1,0))</f>
        <v/>
      </c>
      <c r="K194" s="8" t="str">
        <f t="shared" ref="K194:K201" si="44">IF(H194="","",IF(H194="Integral",1,IF(H194="Amostral",0.5,IF(H194="Não realizada",0,""))))</f>
        <v/>
      </c>
      <c r="L194" s="8" t="str">
        <f t="shared" ref="L194:L201" si="45">IF(I194="","",IF(I194="Conformidade",1,IF(I194="Não Conformidade",0,IF(I194="Não Conformidade Grave",-1,""))))</f>
        <v/>
      </c>
      <c r="M194" s="8" t="str">
        <f t="shared" ref="M194:M201" si="46">IF(COUNTA(G194:I194)=0,"",ROUND(AVERAGE(J194:L194)*100,0))</f>
        <v/>
      </c>
      <c r="N194" s="8" t="str">
        <f t="shared" ref="N194:N201" si="47">IFERROR(AVERAGEIF(C$2:C$201,C194,M$2:M$201),"N/A")</f>
        <v>N/A</v>
      </c>
      <c r="O194" s="8"/>
    </row>
    <row r="195" spans="1:15" ht="15" customHeight="1" x14ac:dyDescent="0.25">
      <c r="A195" s="8" t="str">
        <f t="shared" si="42"/>
        <v/>
      </c>
      <c r="B195" s="11"/>
      <c r="C195" s="8"/>
      <c r="D195" s="8"/>
      <c r="E195" s="8"/>
      <c r="F195" s="8"/>
      <c r="G195" s="8"/>
      <c r="H195" s="8"/>
      <c r="I195" s="8"/>
      <c r="J195" s="8" t="str">
        <f t="shared" si="43"/>
        <v/>
      </c>
      <c r="K195" s="8" t="str">
        <f t="shared" si="44"/>
        <v/>
      </c>
      <c r="L195" s="8" t="str">
        <f t="shared" si="45"/>
        <v/>
      </c>
      <c r="M195" s="8" t="str">
        <f t="shared" si="46"/>
        <v/>
      </c>
      <c r="N195" s="8" t="str">
        <f t="shared" si="47"/>
        <v>N/A</v>
      </c>
      <c r="O195" s="8"/>
    </row>
    <row r="196" spans="1:15" ht="15" customHeight="1" x14ac:dyDescent="0.25">
      <c r="A196" s="8" t="str">
        <f t="shared" si="42"/>
        <v/>
      </c>
      <c r="B196" s="11"/>
      <c r="C196" s="8"/>
      <c r="D196" s="8"/>
      <c r="E196" s="8"/>
      <c r="F196" s="8"/>
      <c r="G196" s="8"/>
      <c r="H196" s="8"/>
      <c r="I196" s="8"/>
      <c r="J196" s="8" t="str">
        <f t="shared" si="43"/>
        <v/>
      </c>
      <c r="K196" s="8" t="str">
        <f t="shared" si="44"/>
        <v/>
      </c>
      <c r="L196" s="8" t="str">
        <f t="shared" si="45"/>
        <v/>
      </c>
      <c r="M196" s="8" t="str">
        <f t="shared" si="46"/>
        <v/>
      </c>
      <c r="N196" s="8" t="str">
        <f t="shared" si="47"/>
        <v>N/A</v>
      </c>
      <c r="O196" s="8"/>
    </row>
    <row r="197" spans="1:15" ht="15" customHeight="1" x14ac:dyDescent="0.25">
      <c r="A197" s="8" t="str">
        <f t="shared" si="42"/>
        <v/>
      </c>
      <c r="B197" s="11"/>
      <c r="C197" s="8"/>
      <c r="D197" s="8"/>
      <c r="E197" s="8"/>
      <c r="F197" s="8"/>
      <c r="G197" s="8"/>
      <c r="H197" s="8"/>
      <c r="I197" s="8"/>
      <c r="J197" s="8" t="str">
        <f t="shared" si="43"/>
        <v/>
      </c>
      <c r="K197" s="8" t="str">
        <f t="shared" si="44"/>
        <v/>
      </c>
      <c r="L197" s="8" t="str">
        <f t="shared" si="45"/>
        <v/>
      </c>
      <c r="M197" s="8" t="str">
        <f t="shared" si="46"/>
        <v/>
      </c>
      <c r="N197" s="8" t="str">
        <f t="shared" si="47"/>
        <v>N/A</v>
      </c>
      <c r="O197" s="8"/>
    </row>
    <row r="198" spans="1:15" ht="15" customHeight="1" x14ac:dyDescent="0.25">
      <c r="A198" s="8" t="str">
        <f t="shared" si="42"/>
        <v/>
      </c>
      <c r="B198" s="11"/>
      <c r="C198" s="8"/>
      <c r="D198" s="8"/>
      <c r="E198" s="8"/>
      <c r="F198" s="8"/>
      <c r="G198" s="8"/>
      <c r="H198" s="8"/>
      <c r="I198" s="8"/>
      <c r="J198" s="8" t="str">
        <f t="shared" si="43"/>
        <v/>
      </c>
      <c r="K198" s="8" t="str">
        <f t="shared" si="44"/>
        <v/>
      </c>
      <c r="L198" s="8" t="str">
        <f t="shared" si="45"/>
        <v/>
      </c>
      <c r="M198" s="8" t="str">
        <f t="shared" si="46"/>
        <v/>
      </c>
      <c r="N198" s="8" t="str">
        <f t="shared" si="47"/>
        <v>N/A</v>
      </c>
      <c r="O198" s="8"/>
    </row>
    <row r="199" spans="1:15" ht="15" customHeight="1" x14ac:dyDescent="0.25">
      <c r="A199" s="8" t="str">
        <f t="shared" si="42"/>
        <v/>
      </c>
      <c r="B199" s="11"/>
      <c r="C199" s="8"/>
      <c r="D199" s="8"/>
      <c r="E199" s="8"/>
      <c r="F199" s="8"/>
      <c r="G199" s="8"/>
      <c r="H199" s="8"/>
      <c r="I199" s="8"/>
      <c r="J199" s="8" t="str">
        <f t="shared" si="43"/>
        <v/>
      </c>
      <c r="K199" s="8" t="str">
        <f t="shared" si="44"/>
        <v/>
      </c>
      <c r="L199" s="8" t="str">
        <f t="shared" si="45"/>
        <v/>
      </c>
      <c r="M199" s="8" t="str">
        <f t="shared" si="46"/>
        <v/>
      </c>
      <c r="N199" s="8" t="str">
        <f t="shared" si="47"/>
        <v>N/A</v>
      </c>
      <c r="O199" s="8"/>
    </row>
    <row r="200" spans="1:15" ht="15" customHeight="1" x14ac:dyDescent="0.25">
      <c r="A200" s="8" t="str">
        <f t="shared" si="42"/>
        <v/>
      </c>
      <c r="B200" s="11"/>
      <c r="C200" s="8"/>
      <c r="D200" s="8"/>
      <c r="E200" s="8"/>
      <c r="F200" s="8"/>
      <c r="G200" s="8"/>
      <c r="H200" s="8"/>
      <c r="I200" s="8"/>
      <c r="J200" s="8" t="str">
        <f t="shared" si="43"/>
        <v/>
      </c>
      <c r="K200" s="8" t="str">
        <f t="shared" si="44"/>
        <v/>
      </c>
      <c r="L200" s="8" t="str">
        <f t="shared" si="45"/>
        <v/>
      </c>
      <c r="M200" s="8" t="str">
        <f t="shared" si="46"/>
        <v/>
      </c>
      <c r="N200" s="8" t="str">
        <f t="shared" si="47"/>
        <v>N/A</v>
      </c>
      <c r="O200" s="8"/>
    </row>
    <row r="201" spans="1:15" ht="15" customHeight="1" x14ac:dyDescent="0.25">
      <c r="A201" s="8" t="str">
        <f t="shared" si="42"/>
        <v/>
      </c>
      <c r="B201" s="11"/>
      <c r="C201" s="8"/>
      <c r="D201" s="8"/>
      <c r="E201" s="8"/>
      <c r="F201" s="8"/>
      <c r="G201" s="8"/>
      <c r="H201" s="8"/>
      <c r="I201" s="8"/>
      <c r="J201" s="8" t="str">
        <f t="shared" si="43"/>
        <v/>
      </c>
      <c r="K201" s="8" t="str">
        <f t="shared" si="44"/>
        <v/>
      </c>
      <c r="L201" s="8" t="str">
        <f t="shared" si="45"/>
        <v/>
      </c>
      <c r="M201" s="8" t="str">
        <f t="shared" si="46"/>
        <v/>
      </c>
      <c r="N201" s="8" t="str">
        <f t="shared" si="47"/>
        <v>N/A</v>
      </c>
      <c r="O201" s="8"/>
    </row>
  </sheetData>
  <autoFilter ref="A1:O201" xr:uid="{00000000-0001-0000-0300-000000000000}"/>
  <conditionalFormatting sqref="G2:G201">
    <cfRule type="cellIs" dxfId="22" priority="2" operator="equal">
      <formula>"SIM"</formula>
    </cfRule>
    <cfRule type="cellIs" dxfId="21" priority="3" operator="equal">
      <formula>"NÃO"</formula>
    </cfRule>
  </conditionalFormatting>
  <conditionalFormatting sqref="M2:N201">
    <cfRule type="cellIs" dxfId="20" priority="4" operator="lessThan">
      <formula>50</formula>
    </cfRule>
    <cfRule type="cellIs" dxfId="19" priority="5" operator="between">
      <formula>50</formula>
      <formula>79</formula>
    </cfRule>
    <cfRule type="cellIs" dxfId="18" priority="6" operator="greaterThanOrEqual">
      <formula>80</formula>
    </cfRule>
  </conditionalFormatting>
  <dataValidations count="5">
    <dataValidation type="decimal" operator="greaterThanOrEqual" allowBlank="1" sqref="F2:F201" xr:uid="{00000000-0002-0000-0300-000000000000}">
      <formula1>0</formula1>
      <formula2>0</formula2>
    </dataValidation>
    <dataValidation type="list" allowBlank="1" sqref="G2:G201" xr:uid="{00000000-0002-0000-0300-000001000000}">
      <formula1>"SIM,NÃO"</formula1>
      <formula2>0</formula2>
    </dataValidation>
    <dataValidation type="list" allowBlank="1" sqref="H2:H201" xr:uid="{00000000-0002-0000-0300-000002000000}">
      <formula1>"Integral,Amostral,Não realizada"</formula1>
      <formula2>0</formula2>
    </dataValidation>
    <dataValidation type="list" allowBlank="1" sqref="I2:I201" xr:uid="{00000000-0002-0000-0300-000003000000}">
      <formula1>"Não Conformidade Grave,Não Conformidade,Conformidade,Observação"</formula1>
      <formula2>0</formula2>
    </dataValidation>
    <dataValidation type="date" allowBlank="1" sqref="B2:B201" xr:uid="{00000000-0002-0000-0300-000004000000}">
      <formula1>DATE(2000,1,1)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00"/>
  <sheetViews>
    <sheetView zoomScaleNormal="100" workbookViewId="0">
      <selection sqref="A1:H1"/>
    </sheetView>
  </sheetViews>
  <sheetFormatPr defaultColWidth="14.42578125" defaultRowHeight="15" x14ac:dyDescent="0.25"/>
  <cols>
    <col min="1" max="1" width="36.42578125" customWidth="1"/>
    <col min="2" max="2" width="22" customWidth="1"/>
    <col min="3" max="3" width="3" customWidth="1"/>
    <col min="4" max="4" width="32.140625" customWidth="1"/>
    <col min="5" max="5" width="39.7109375" customWidth="1"/>
    <col min="6" max="8" width="15" customWidth="1"/>
    <col min="9" max="26" width="8.7109375" customWidth="1"/>
  </cols>
  <sheetData>
    <row r="1" spans="1:8" ht="25.5" customHeight="1" x14ac:dyDescent="0.3">
      <c r="A1" s="46" t="s">
        <v>59</v>
      </c>
      <c r="B1" s="47"/>
      <c r="C1" s="47"/>
      <c r="D1" s="47"/>
      <c r="E1" s="47"/>
      <c r="F1" s="47"/>
      <c r="G1" s="47"/>
      <c r="H1" s="47"/>
    </row>
    <row r="3" spans="1:8" ht="15" customHeight="1" x14ac:dyDescent="0.25">
      <c r="A3" s="12" t="s">
        <v>60</v>
      </c>
      <c r="B3" s="12" t="s">
        <v>61</v>
      </c>
      <c r="D3" s="13" t="s">
        <v>62</v>
      </c>
      <c r="E3" s="13" t="s">
        <v>63</v>
      </c>
    </row>
    <row r="4" spans="1:8" ht="15" customHeight="1" x14ac:dyDescent="0.25">
      <c r="A4" s="14" t="s">
        <v>64</v>
      </c>
      <c r="B4" s="15">
        <f>COUNT(Avaliação!P2:P57)</f>
        <v>56</v>
      </c>
      <c r="D4" s="14" t="s">
        <v>65</v>
      </c>
      <c r="E4" t="s">
        <v>66</v>
      </c>
      <c r="F4" s="16"/>
    </row>
    <row r="5" spans="1:8" ht="15" customHeight="1" x14ac:dyDescent="0.25">
      <c r="A5" s="14" t="s">
        <v>67</v>
      </c>
      <c r="B5" s="15">
        <f>COUNTIF(Avaliação!G2:G57,"SIM")</f>
        <v>44</v>
      </c>
      <c r="D5" s="14" t="s">
        <v>68</v>
      </c>
      <c r="E5" t="s">
        <v>69</v>
      </c>
      <c r="F5" s="16"/>
    </row>
    <row r="6" spans="1:8" ht="15" customHeight="1" x14ac:dyDescent="0.25">
      <c r="A6" s="14" t="s">
        <v>70</v>
      </c>
      <c r="B6" s="15">
        <f>COUNTIF(Avaliação!H2:H57,"SIM")</f>
        <v>41</v>
      </c>
      <c r="D6" s="14" t="s">
        <v>71</v>
      </c>
      <c r="E6" t="s">
        <v>72</v>
      </c>
      <c r="F6" s="17"/>
    </row>
    <row r="7" spans="1:8" ht="15" customHeight="1" x14ac:dyDescent="0.25">
      <c r="A7" s="14" t="s">
        <v>73</v>
      </c>
      <c r="B7" s="15">
        <f>COUNTIF(Avaliação!J2:J57,"SIM")</f>
        <v>38</v>
      </c>
      <c r="D7" s="14" t="s">
        <v>74</v>
      </c>
      <c r="E7" t="s">
        <v>75</v>
      </c>
      <c r="F7" s="17"/>
    </row>
    <row r="8" spans="1:8" ht="15" customHeight="1" x14ac:dyDescent="0.25">
      <c r="A8" s="14" t="s">
        <v>76</v>
      </c>
      <c r="B8" s="15">
        <f>IFERROR(COUNTIF(Avaliação!K2:K57,"Conformidade")-COUNTIF(Avaliação!K2:K57,"Não Conformidade Grave"),"")</f>
        <v>19</v>
      </c>
      <c r="D8" s="14" t="s">
        <v>77</v>
      </c>
      <c r="E8" t="s">
        <v>78</v>
      </c>
      <c r="F8" s="18"/>
    </row>
    <row r="9" spans="1:8" ht="15" customHeight="1" x14ac:dyDescent="0.25">
      <c r="A9" s="14" t="s">
        <v>79</v>
      </c>
      <c r="B9" s="19">
        <f>IFERROR(AVERAGE(Avaliação!P2:P57),0)</f>
        <v>64.285714285714292</v>
      </c>
    </row>
    <row r="10" spans="1:8" ht="15" customHeight="1" x14ac:dyDescent="0.25">
      <c r="A10" s="14" t="s">
        <v>80</v>
      </c>
      <c r="B10" s="20">
        <f>IFERROR(COUNTIF(Avaliação!G2:G57,"SIM")/COUNTA(Avaliação!G2:G57),0)</f>
        <v>0.7857142857142857</v>
      </c>
    </row>
    <row r="11" spans="1:8" ht="15" customHeight="1" x14ac:dyDescent="0.25">
      <c r="A11" s="14" t="s">
        <v>81</v>
      </c>
      <c r="B11" s="20">
        <f>IFERROR(COUNTIF(Avaliação!H2:H57,"SIM")/COUNTA(Avaliação!H2:H57),0)</f>
        <v>0.7321428571428571</v>
      </c>
      <c r="D11" s="13" t="s">
        <v>82</v>
      </c>
    </row>
    <row r="12" spans="1:8" ht="15" customHeight="1" x14ac:dyDescent="0.25">
      <c r="A12" s="14" t="s">
        <v>83</v>
      </c>
      <c r="B12" s="20">
        <f>IFERROR(COUNTIF(Avaliação!J2:J57,"SIM")/COUNTA(Avaliação!J2:J57),0)</f>
        <v>0.6785714285714286</v>
      </c>
      <c r="D12" s="48" t="s">
        <v>84</v>
      </c>
      <c r="E12" s="47"/>
      <c r="F12" s="47"/>
      <c r="G12" s="47"/>
      <c r="H12" s="47"/>
    </row>
    <row r="13" spans="1:8" ht="15" customHeight="1" x14ac:dyDescent="0.25">
      <c r="D13" s="47"/>
      <c r="E13" s="47"/>
      <c r="F13" s="47"/>
      <c r="G13" s="47"/>
      <c r="H13" s="47"/>
    </row>
    <row r="14" spans="1:8" ht="15" customHeight="1" x14ac:dyDescent="0.25">
      <c r="D14" s="47"/>
      <c r="E14" s="47"/>
      <c r="F14" s="47"/>
      <c r="G14" s="47"/>
      <c r="H14" s="47"/>
    </row>
    <row r="15" spans="1:8" ht="15" customHeight="1" x14ac:dyDescent="0.25">
      <c r="D15" s="47"/>
      <c r="E15" s="47"/>
      <c r="F15" s="47"/>
      <c r="G15" s="47"/>
      <c r="H15" s="47"/>
    </row>
    <row r="17" spans="1:2" ht="19.5" customHeight="1" x14ac:dyDescent="0.25">
      <c r="A17" s="49" t="s">
        <v>85</v>
      </c>
      <c r="B17" s="47"/>
    </row>
    <row r="18" spans="1:2" ht="15" customHeight="1" x14ac:dyDescent="0.25">
      <c r="A18" s="22" t="s">
        <v>86</v>
      </c>
      <c r="B18" s="23">
        <f>COUNT(Indicadores!O2:O201)</f>
        <v>51</v>
      </c>
    </row>
    <row r="19" spans="1:2" ht="15" customHeight="1" x14ac:dyDescent="0.25">
      <c r="A19" s="22" t="s">
        <v>87</v>
      </c>
      <c r="B19" s="23">
        <f>COUNTIF(Indicadores!G2:G201,"SIM")</f>
        <v>42</v>
      </c>
    </row>
    <row r="20" spans="1:2" ht="15" customHeight="1" x14ac:dyDescent="0.25">
      <c r="A20" s="22" t="s">
        <v>88</v>
      </c>
      <c r="B20" s="23">
        <f>COUNTIF(Indicadores!H2:H201,"Automático")+COUNTIF(Indicadores!H2:H201,"Manual")</f>
        <v>34</v>
      </c>
    </row>
    <row r="21" spans="1:2" ht="15.75" customHeight="1" x14ac:dyDescent="0.25">
      <c r="A21" s="22" t="s">
        <v>89</v>
      </c>
      <c r="B21" s="23">
        <f>COUNTIF(Indicadores!I2:I201,"SIM")</f>
        <v>35</v>
      </c>
    </row>
    <row r="22" spans="1:2" ht="15.75" customHeight="1" x14ac:dyDescent="0.25">
      <c r="A22" s="22" t="s">
        <v>90</v>
      </c>
      <c r="B22" s="23">
        <f>IFERROR(COUNTIF(Indicadores!J2:J201,"Conformidade")*1+COUNTIF(Indicadores!J2:J201,"Não Conformidade")*0+COUNTIF(Indicadores!J2:J201,"Não Conformidade Grave")*-1,"")</f>
        <v>31</v>
      </c>
    </row>
    <row r="23" spans="1:2" ht="15.75" customHeight="1" x14ac:dyDescent="0.25">
      <c r="A23" s="22" t="s">
        <v>91</v>
      </c>
      <c r="B23" s="24">
        <f>IFERROR(AVERAGE(Indicadores!O2:O201),0)</f>
        <v>67.725490196078425</v>
      </c>
    </row>
    <row r="24" spans="1:2" ht="15.75" customHeight="1" x14ac:dyDescent="0.25">
      <c r="A24" s="22" t="s">
        <v>80</v>
      </c>
      <c r="B24" s="25">
        <f>IFERROR(COUNTIF(Indicadores!G2:G201,"SIM")/COUNTA(Indicadores!G2:G201),0)</f>
        <v>0.82352941176470584</v>
      </c>
    </row>
    <row r="25" spans="1:2" ht="15.75" customHeight="1" x14ac:dyDescent="0.25">
      <c r="A25" s="22" t="s">
        <v>92</v>
      </c>
      <c r="B25" s="25">
        <f>IFERROR((COUNTIF(Indicadores!H2:H201,"Automático")+COUNTIF(Indicadores!H2:H201,"Manual"))/COUNTA(Indicadores!H2:H201),0)</f>
        <v>0.66666666666666663</v>
      </c>
    </row>
    <row r="26" spans="1:2" ht="15.75" customHeight="1" x14ac:dyDescent="0.25">
      <c r="A26" s="22" t="s">
        <v>83</v>
      </c>
      <c r="B26" s="25">
        <f>IFERROR(COUNTIF(Indicadores!I2:I201,"SIM")/COUNTA(Indicadores!I2:I201),0)</f>
        <v>0.68627450980392157</v>
      </c>
    </row>
    <row r="27" spans="1:2" ht="15.75" customHeight="1" x14ac:dyDescent="0.25"/>
    <row r="28" spans="1:2" ht="19.5" customHeight="1" x14ac:dyDescent="0.25">
      <c r="A28" s="49" t="s">
        <v>93</v>
      </c>
      <c r="B28" s="47"/>
    </row>
    <row r="29" spans="1:2" ht="15.75" customHeight="1" x14ac:dyDescent="0.25">
      <c r="A29" s="22" t="s">
        <v>94</v>
      </c>
      <c r="B29" s="23">
        <f>COUNT(Treinamento!O2:O201)</f>
        <v>51</v>
      </c>
    </row>
    <row r="30" spans="1:2" ht="15.75" customHeight="1" x14ac:dyDescent="0.25">
      <c r="A30" s="22" t="s">
        <v>95</v>
      </c>
      <c r="B30" s="23">
        <f>COUNTIF(Treinamento!G2:G201,"SIM")</f>
        <v>42</v>
      </c>
    </row>
    <row r="31" spans="1:2" ht="15.75" customHeight="1" x14ac:dyDescent="0.25">
      <c r="A31" s="22" t="s">
        <v>96</v>
      </c>
      <c r="B31" s="23">
        <f>COUNTIF(Treinamento!H2:H201,"SIM")</f>
        <v>40</v>
      </c>
    </row>
    <row r="32" spans="1:2" ht="15.75" customHeight="1" x14ac:dyDescent="0.25">
      <c r="A32" s="22" t="s">
        <v>97</v>
      </c>
      <c r="B32" s="23">
        <f>COUNTIF(Treinamento!I2:I201,"SIM")</f>
        <v>34</v>
      </c>
    </row>
    <row r="33" spans="1:5" ht="15.75" customHeight="1" x14ac:dyDescent="0.25">
      <c r="A33" s="22" t="s">
        <v>98</v>
      </c>
      <c r="B33" s="23">
        <f>IFERROR(COUNTIF(Treinamento!J2:J201,"Conformidade")*1+COUNTIF(Treinamento!J2:J201,"Não Conformidade")*0+COUNTIF(Treinamento!J2:J201,"Não Conformidade Grave")*-1,"")</f>
        <v>31</v>
      </c>
    </row>
    <row r="34" spans="1:5" ht="15.75" customHeight="1" x14ac:dyDescent="0.25">
      <c r="A34" s="22" t="s">
        <v>99</v>
      </c>
      <c r="B34" s="24">
        <f>IFERROR(AVERAGE(Treinamento!O2:O201),0)</f>
        <v>72.058823529411768</v>
      </c>
    </row>
    <row r="35" spans="1:5" ht="15.75" customHeight="1" x14ac:dyDescent="0.25">
      <c r="A35" s="22" t="s">
        <v>100</v>
      </c>
      <c r="B35" s="25">
        <f>IFERROR(COUNTIF(Treinamento!G2:G201,"SIM")/COUNTA(Treinamento!G2:G201),0)</f>
        <v>0.82352941176470584</v>
      </c>
    </row>
    <row r="36" spans="1:5" ht="15.75" customHeight="1" x14ac:dyDescent="0.25">
      <c r="A36" s="22" t="s">
        <v>101</v>
      </c>
      <c r="B36" s="25">
        <f>IFERROR(COUNTIF(Treinamento!H2:H201,"SIM")/COUNTA(Treinamento!H2:H201),0)</f>
        <v>0.78431372549019607</v>
      </c>
    </row>
    <row r="37" spans="1:5" ht="15.75" customHeight="1" x14ac:dyDescent="0.25">
      <c r="A37" s="22" t="s">
        <v>81</v>
      </c>
      <c r="B37" s="25">
        <f>IFERROR(COUNTIF(Treinamento!I2:I201,"SIM")/COUNTA(Treinamento!I2:I201),0)</f>
        <v>0.66666666666666663</v>
      </c>
    </row>
    <row r="38" spans="1:5" ht="15.75" customHeight="1" x14ac:dyDescent="0.25"/>
    <row r="39" spans="1:5" ht="19.5" customHeight="1" x14ac:dyDescent="0.25">
      <c r="A39" s="49" t="s">
        <v>102</v>
      </c>
      <c r="B39" s="47"/>
    </row>
    <row r="40" spans="1:5" ht="15.75" customHeight="1" x14ac:dyDescent="0.25">
      <c r="A40" s="22" t="s">
        <v>103</v>
      </c>
      <c r="B40" s="23">
        <f>COUNT(Qualidade!M2:M201)</f>
        <v>51</v>
      </c>
    </row>
    <row r="41" spans="1:5" ht="15.75" customHeight="1" x14ac:dyDescent="0.25">
      <c r="A41" s="22" t="s">
        <v>104</v>
      </c>
      <c r="B41" s="23">
        <f>COUNTIF(Qualidade!G2:G201,"SIM")</f>
        <v>41</v>
      </c>
    </row>
    <row r="42" spans="1:5" ht="15.75" customHeight="1" x14ac:dyDescent="0.25">
      <c r="A42" s="22" t="s">
        <v>105</v>
      </c>
      <c r="B42" s="23">
        <f>COUNTIF(Qualidade!H2:H201,"Integral")</f>
        <v>11</v>
      </c>
    </row>
    <row r="43" spans="1:5" ht="15.75" customHeight="1" x14ac:dyDescent="0.25">
      <c r="A43" s="22" t="s">
        <v>106</v>
      </c>
      <c r="B43" s="23">
        <f>COUNTIF(Qualidade!H2:H201,"Amostral")</f>
        <v>30</v>
      </c>
    </row>
    <row r="44" spans="1:5" ht="15.75" customHeight="1" x14ac:dyDescent="0.25">
      <c r="A44" s="22" t="s">
        <v>107</v>
      </c>
      <c r="B44" s="23">
        <f>IFERROR(COUNTIF(Qualidade!I2:I201,"Conformidade")*1+COUNTIF(Qualidade!I2:I201,"Não Conformidade")*0+COUNTIF(Qualidade!I2:I201,"Não Conformidade Grave")*-1,"")</f>
        <v>30</v>
      </c>
    </row>
    <row r="45" spans="1:5" ht="15.75" customHeight="1" x14ac:dyDescent="0.25">
      <c r="A45" s="22" t="s">
        <v>108</v>
      </c>
      <c r="B45" s="24">
        <f>IFERROR(AVERAGE(Qualidade!M2:M201),0)</f>
        <v>63.254901960784316</v>
      </c>
    </row>
    <row r="46" spans="1:5" ht="15.75" customHeight="1" x14ac:dyDescent="0.25">
      <c r="A46" s="22" t="s">
        <v>109</v>
      </c>
      <c r="B46" s="25">
        <f>IFERROR(COUNTIF(Qualidade!G2:G201,"SIM")/COUNTA(Qualidade!G2:G201),0)</f>
        <v>0.80392156862745101</v>
      </c>
    </row>
    <row r="47" spans="1:5" ht="15.75" customHeight="1" x14ac:dyDescent="0.25"/>
    <row r="48" spans="1:5" ht="19.5" customHeight="1" x14ac:dyDescent="0.25">
      <c r="A48" s="49" t="s">
        <v>110</v>
      </c>
      <c r="B48" s="47"/>
      <c r="C48" s="47"/>
      <c r="D48" s="47"/>
      <c r="E48" s="47"/>
    </row>
    <row r="49" spans="1:2" ht="15.75" customHeight="1" x14ac:dyDescent="0.25">
      <c r="A49" s="22" t="s">
        <v>111</v>
      </c>
      <c r="B49" s="24">
        <f>B9</f>
        <v>64.285714285714292</v>
      </c>
    </row>
    <row r="50" spans="1:2" ht="15.75" customHeight="1" x14ac:dyDescent="0.25">
      <c r="A50" s="22" t="s">
        <v>38</v>
      </c>
      <c r="B50" s="24">
        <f>B23</f>
        <v>67.725490196078425</v>
      </c>
    </row>
    <row r="51" spans="1:2" ht="15.75" customHeight="1" x14ac:dyDescent="0.25">
      <c r="A51" s="22" t="s">
        <v>50</v>
      </c>
      <c r="B51" s="24">
        <f>B34</f>
        <v>72.058823529411768</v>
      </c>
    </row>
    <row r="52" spans="1:2" ht="15.75" customHeight="1" x14ac:dyDescent="0.25">
      <c r="A52" s="22" t="s">
        <v>57</v>
      </c>
      <c r="B52" s="24">
        <f>B45</f>
        <v>63.254901960784316</v>
      </c>
    </row>
    <row r="53" spans="1:2" ht="15.75" customHeight="1" x14ac:dyDescent="0.25"/>
    <row r="54" spans="1:2" ht="15.75" customHeight="1" x14ac:dyDescent="0.25">
      <c r="A54" s="26" t="s">
        <v>112</v>
      </c>
      <c r="B54" s="27">
        <f>IFERROR(AVERAGE(B49:B52),0)</f>
        <v>66.831232492997202</v>
      </c>
    </row>
    <row r="55" spans="1:2" ht="15.75" customHeight="1" x14ac:dyDescent="0.25"/>
    <row r="56" spans="1:2" ht="15.75" customHeight="1" x14ac:dyDescent="0.25"/>
    <row r="57" spans="1:2" ht="15.75" customHeight="1" x14ac:dyDescent="0.25"/>
    <row r="58" spans="1:2" ht="15.75" customHeight="1" x14ac:dyDescent="0.25"/>
    <row r="59" spans="1:2" ht="15.75" customHeight="1" x14ac:dyDescent="0.25"/>
    <row r="60" spans="1:2" ht="15.75" customHeight="1" x14ac:dyDescent="0.25"/>
    <row r="61" spans="1:2" ht="15.75" customHeight="1" x14ac:dyDescent="0.25"/>
    <row r="62" spans="1:2" ht="15.75" customHeight="1" x14ac:dyDescent="0.25"/>
    <row r="63" spans="1:2" ht="15.75" customHeight="1" x14ac:dyDescent="0.25"/>
    <row r="64" spans="1:2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">
    <mergeCell ref="A1:H1"/>
    <mergeCell ref="D12:H15"/>
    <mergeCell ref="A48:E48"/>
    <mergeCell ref="A28:B28"/>
    <mergeCell ref="A17:B17"/>
    <mergeCell ref="A39:B39"/>
  </mergeCells>
  <conditionalFormatting sqref="B9">
    <cfRule type="cellIs" dxfId="17" priority="2" operator="lessThan">
      <formula>26</formula>
    </cfRule>
    <cfRule type="cellIs" dxfId="16" priority="3" operator="between">
      <formula>26</formula>
      <formula>75</formula>
    </cfRule>
    <cfRule type="cellIs" dxfId="15" priority="4" operator="greaterThanOrEqual">
      <formula>76</formula>
    </cfRule>
  </conditionalFormatting>
  <conditionalFormatting sqref="B23">
    <cfRule type="cellIs" dxfId="14" priority="5" operator="lessThan">
      <formula>26</formula>
    </cfRule>
    <cfRule type="cellIs" dxfId="13" priority="6" operator="between">
      <formula>26</formula>
      <formula>75</formula>
    </cfRule>
    <cfRule type="cellIs" dxfId="12" priority="7" operator="greaterThanOrEqual">
      <formula>76</formula>
    </cfRule>
  </conditionalFormatting>
  <conditionalFormatting sqref="B34">
    <cfRule type="cellIs" dxfId="11" priority="8" operator="lessThan">
      <formula>26</formula>
    </cfRule>
    <cfRule type="cellIs" dxfId="10" priority="9" operator="between">
      <formula>26</formula>
      <formula>75</formula>
    </cfRule>
    <cfRule type="cellIs" dxfId="9" priority="10" operator="greaterThanOrEqual">
      <formula>76</formula>
    </cfRule>
  </conditionalFormatting>
  <conditionalFormatting sqref="B45">
    <cfRule type="cellIs" dxfId="8" priority="11" operator="lessThan">
      <formula>26</formula>
    </cfRule>
    <cfRule type="cellIs" dxfId="7" priority="12" operator="between">
      <formula>26</formula>
      <formula>75</formula>
    </cfRule>
    <cfRule type="cellIs" dxfId="6" priority="13" operator="greaterThanOrEqual">
      <formula>76</formula>
    </cfRule>
  </conditionalFormatting>
  <conditionalFormatting sqref="B48:B52">
    <cfRule type="cellIs" dxfId="5" priority="14" operator="lessThan">
      <formula>26</formula>
    </cfRule>
    <cfRule type="cellIs" dxfId="4" priority="15" operator="between">
      <formula>26</formula>
      <formula>75</formula>
    </cfRule>
    <cfRule type="cellIs" dxfId="3" priority="16" operator="greaterThanOrEqual">
      <formula>76</formula>
    </cfRule>
  </conditionalFormatting>
  <conditionalFormatting sqref="B54">
    <cfRule type="cellIs" dxfId="2" priority="29" operator="lessThan">
      <formula>26</formula>
    </cfRule>
    <cfRule type="cellIs" dxfId="1" priority="30" operator="between">
      <formula>26</formula>
      <formula>75</formula>
    </cfRule>
    <cfRule type="cellIs" dxfId="0" priority="31" operator="greaterThanOrEqual">
      <formula>76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000"/>
  <sheetViews>
    <sheetView zoomScaleNormal="100" workbookViewId="0">
      <selection activeCell="F35" sqref="A1:F35"/>
    </sheetView>
  </sheetViews>
  <sheetFormatPr defaultColWidth="14.42578125" defaultRowHeight="15" x14ac:dyDescent="0.25"/>
  <cols>
    <col min="1" max="1" width="24" customWidth="1"/>
    <col min="2" max="2" width="48" customWidth="1"/>
    <col min="3" max="4" width="18" customWidth="1"/>
    <col min="5" max="5" width="55" customWidth="1"/>
    <col min="6" max="6" width="28" customWidth="1"/>
    <col min="7" max="26" width="8.7109375" customWidth="1"/>
  </cols>
  <sheetData>
    <row r="1" spans="1:6" ht="17.45" customHeight="1" x14ac:dyDescent="0.3">
      <c r="A1" s="46" t="s">
        <v>113</v>
      </c>
      <c r="B1" s="47"/>
      <c r="C1" s="47"/>
      <c r="D1" s="47"/>
      <c r="E1" s="47"/>
      <c r="F1" s="47"/>
    </row>
    <row r="3" spans="1:6" ht="15" customHeight="1" x14ac:dyDescent="0.25">
      <c r="A3" s="28" t="s">
        <v>114</v>
      </c>
      <c r="B3" s="28" t="s">
        <v>115</v>
      </c>
      <c r="C3" s="28" t="s">
        <v>116</v>
      </c>
      <c r="D3" s="28" t="s">
        <v>117</v>
      </c>
      <c r="E3" s="28" t="s">
        <v>118</v>
      </c>
      <c r="F3" s="28" t="s">
        <v>119</v>
      </c>
    </row>
    <row r="4" spans="1:6" ht="15" customHeight="1" x14ac:dyDescent="0.25">
      <c r="A4" s="4" t="s">
        <v>1</v>
      </c>
      <c r="B4" s="4" t="s">
        <v>120</v>
      </c>
      <c r="C4" s="4" t="s">
        <v>121</v>
      </c>
      <c r="D4" s="4" t="s">
        <v>122</v>
      </c>
      <c r="E4" s="4" t="s">
        <v>123</v>
      </c>
      <c r="F4" s="4" t="s">
        <v>124</v>
      </c>
    </row>
    <row r="5" spans="1:6" ht="15" customHeight="1" x14ac:dyDescent="0.25">
      <c r="A5" s="4" t="s">
        <v>2</v>
      </c>
      <c r="B5" s="4" t="s">
        <v>125</v>
      </c>
      <c r="C5" s="4" t="s">
        <v>126</v>
      </c>
      <c r="D5" s="4" t="s">
        <v>122</v>
      </c>
      <c r="E5" s="4" t="s">
        <v>127</v>
      </c>
      <c r="F5" s="4" t="s">
        <v>128</v>
      </c>
    </row>
    <row r="6" spans="1:6" ht="15" customHeight="1" x14ac:dyDescent="0.25">
      <c r="A6" s="4" t="s">
        <v>3</v>
      </c>
      <c r="B6" s="4" t="s">
        <v>129</v>
      </c>
      <c r="C6" s="4" t="s">
        <v>126</v>
      </c>
      <c r="D6" s="4" t="s">
        <v>122</v>
      </c>
      <c r="E6" s="4" t="s">
        <v>130</v>
      </c>
      <c r="F6" s="4" t="s">
        <v>40</v>
      </c>
    </row>
    <row r="7" spans="1:6" ht="15" customHeight="1" x14ac:dyDescent="0.25">
      <c r="A7" s="4" t="s">
        <v>15</v>
      </c>
      <c r="B7" s="4" t="s">
        <v>131</v>
      </c>
      <c r="C7" s="4" t="s">
        <v>126</v>
      </c>
      <c r="D7" s="4" t="s">
        <v>122</v>
      </c>
      <c r="E7" s="4" t="s">
        <v>132</v>
      </c>
      <c r="F7" s="4" t="s">
        <v>133</v>
      </c>
    </row>
    <row r="8" spans="1:6" ht="28.35" customHeight="1" x14ac:dyDescent="0.25">
      <c r="A8" s="4" t="s">
        <v>5</v>
      </c>
      <c r="B8" s="4" t="s">
        <v>134</v>
      </c>
      <c r="C8" s="4" t="s">
        <v>135</v>
      </c>
      <c r="D8" s="4" t="s">
        <v>122</v>
      </c>
      <c r="E8" s="4" t="s">
        <v>136</v>
      </c>
      <c r="F8" s="4" t="s">
        <v>137</v>
      </c>
    </row>
    <row r="9" spans="1:6" ht="28.35" customHeight="1" x14ac:dyDescent="0.25">
      <c r="A9" s="4" t="s">
        <v>11</v>
      </c>
      <c r="B9" s="4" t="s">
        <v>138</v>
      </c>
      <c r="C9" s="4" t="s">
        <v>139</v>
      </c>
      <c r="D9" s="4" t="s">
        <v>122</v>
      </c>
      <c r="E9" s="4" t="s">
        <v>140</v>
      </c>
      <c r="F9" s="4" t="s">
        <v>25</v>
      </c>
    </row>
    <row r="10" spans="1:6" ht="15" customHeight="1" x14ac:dyDescent="0.25">
      <c r="A10" s="4" t="s">
        <v>12</v>
      </c>
      <c r="B10" s="4" t="s">
        <v>141</v>
      </c>
      <c r="C10" s="4" t="s">
        <v>139</v>
      </c>
      <c r="D10" s="4" t="s">
        <v>122</v>
      </c>
      <c r="E10" s="4" t="s">
        <v>142</v>
      </c>
      <c r="F10" s="4" t="s">
        <v>25</v>
      </c>
    </row>
    <row r="11" spans="1:6" ht="15" customHeight="1" x14ac:dyDescent="0.25">
      <c r="A11" s="4" t="s">
        <v>8</v>
      </c>
      <c r="B11" s="4" t="s">
        <v>143</v>
      </c>
      <c r="C11" s="4" t="s">
        <v>121</v>
      </c>
      <c r="D11" s="4" t="s">
        <v>144</v>
      </c>
      <c r="E11" s="4" t="s">
        <v>145</v>
      </c>
      <c r="F11" s="4" t="s">
        <v>146</v>
      </c>
    </row>
    <row r="12" spans="1:6" ht="28.35" customHeight="1" x14ac:dyDescent="0.25">
      <c r="A12" s="4" t="s">
        <v>35</v>
      </c>
      <c r="B12" s="4" t="s">
        <v>147</v>
      </c>
      <c r="C12" s="4" t="s">
        <v>139</v>
      </c>
      <c r="D12" s="4" t="s">
        <v>122</v>
      </c>
      <c r="E12" s="4" t="s">
        <v>148</v>
      </c>
      <c r="F12" s="4" t="s">
        <v>30</v>
      </c>
    </row>
    <row r="13" spans="1:6" ht="15" customHeight="1" x14ac:dyDescent="0.25">
      <c r="A13" s="4" t="s">
        <v>111</v>
      </c>
      <c r="B13" s="4" t="s">
        <v>149</v>
      </c>
      <c r="C13" s="4" t="s">
        <v>150</v>
      </c>
      <c r="D13" s="4" t="s">
        <v>42</v>
      </c>
      <c r="E13" s="4" t="s">
        <v>151</v>
      </c>
      <c r="F13" s="4" t="s">
        <v>152</v>
      </c>
    </row>
    <row r="14" spans="1:6" ht="28.35" customHeight="1" x14ac:dyDescent="0.25">
      <c r="A14" s="21" t="s">
        <v>36</v>
      </c>
      <c r="B14" s="21" t="s">
        <v>153</v>
      </c>
      <c r="C14" s="21"/>
      <c r="D14" s="21"/>
      <c r="E14" s="21"/>
      <c r="F14" s="21"/>
    </row>
    <row r="15" spans="1:6" ht="15" customHeight="1" x14ac:dyDescent="0.25">
      <c r="A15" s="21" t="s">
        <v>17</v>
      </c>
      <c r="B15" s="21" t="s">
        <v>154</v>
      </c>
      <c r="C15" s="21" t="s">
        <v>126</v>
      </c>
      <c r="D15" s="21" t="s">
        <v>122</v>
      </c>
    </row>
    <row r="17" spans="1:6" ht="19.5" customHeight="1" x14ac:dyDescent="0.25">
      <c r="A17" s="50" t="s">
        <v>85</v>
      </c>
      <c r="B17" s="47"/>
      <c r="C17" s="47"/>
      <c r="D17" s="47"/>
      <c r="E17" s="47"/>
      <c r="F17" s="47"/>
    </row>
    <row r="18" spans="1:6" ht="15" customHeight="1" x14ac:dyDescent="0.25">
      <c r="A18" s="29" t="s">
        <v>32</v>
      </c>
      <c r="B18" s="29" t="s">
        <v>155</v>
      </c>
      <c r="C18" s="29" t="s">
        <v>126</v>
      </c>
      <c r="D18" s="29" t="s">
        <v>122</v>
      </c>
      <c r="E18" s="29" t="s">
        <v>156</v>
      </c>
      <c r="F18" s="29" t="s">
        <v>41</v>
      </c>
    </row>
    <row r="19" spans="1:6" ht="28.35" customHeight="1" x14ac:dyDescent="0.25">
      <c r="A19" s="29" t="s">
        <v>33</v>
      </c>
      <c r="B19" s="29" t="s">
        <v>157</v>
      </c>
      <c r="C19" s="29" t="s">
        <v>139</v>
      </c>
      <c r="D19" s="29" t="s">
        <v>122</v>
      </c>
      <c r="E19" s="29" t="s">
        <v>140</v>
      </c>
      <c r="F19" s="29" t="s">
        <v>25</v>
      </c>
    </row>
    <row r="20" spans="1:6" ht="41.85" customHeight="1" x14ac:dyDescent="0.25">
      <c r="A20" s="29" t="s">
        <v>34</v>
      </c>
      <c r="B20" s="29" t="s">
        <v>158</v>
      </c>
      <c r="C20" s="29" t="s">
        <v>159</v>
      </c>
      <c r="D20" s="29" t="s">
        <v>122</v>
      </c>
      <c r="E20" s="29" t="s">
        <v>160</v>
      </c>
      <c r="F20" s="29" t="s">
        <v>42</v>
      </c>
    </row>
    <row r="21" spans="1:6" ht="15.75" customHeight="1" x14ac:dyDescent="0.25">
      <c r="A21" s="29" t="s">
        <v>35</v>
      </c>
      <c r="B21" s="29" t="s">
        <v>161</v>
      </c>
      <c r="C21" s="29" t="s">
        <v>139</v>
      </c>
      <c r="D21" s="29" t="s">
        <v>122</v>
      </c>
      <c r="E21" s="29" t="s">
        <v>162</v>
      </c>
      <c r="F21" s="29" t="s">
        <v>25</v>
      </c>
    </row>
    <row r="22" spans="1:6" ht="15.75" customHeight="1" x14ac:dyDescent="0.25">
      <c r="A22" s="29" t="s">
        <v>38</v>
      </c>
      <c r="B22" s="29" t="s">
        <v>149</v>
      </c>
      <c r="C22" s="29" t="s">
        <v>150</v>
      </c>
      <c r="D22" s="29" t="s">
        <v>42</v>
      </c>
      <c r="E22" s="29" t="s">
        <v>163</v>
      </c>
      <c r="F22" s="29" t="s">
        <v>164</v>
      </c>
    </row>
    <row r="23" spans="1:6" ht="15.75" customHeight="1" x14ac:dyDescent="0.25"/>
    <row r="24" spans="1:6" ht="19.5" customHeight="1" x14ac:dyDescent="0.25">
      <c r="A24" s="50" t="s">
        <v>93</v>
      </c>
      <c r="B24" s="47"/>
      <c r="C24" s="47"/>
      <c r="D24" s="47"/>
      <c r="E24" s="47"/>
      <c r="F24" s="47"/>
    </row>
    <row r="25" spans="1:6" ht="15.75" customHeight="1" x14ac:dyDescent="0.25">
      <c r="A25" s="29" t="s">
        <v>44</v>
      </c>
      <c r="B25" s="29" t="s">
        <v>165</v>
      </c>
      <c r="C25" s="29" t="s">
        <v>126</v>
      </c>
      <c r="D25" s="29" t="s">
        <v>122</v>
      </c>
      <c r="E25" s="29" t="s">
        <v>166</v>
      </c>
      <c r="F25" s="29" t="s">
        <v>51</v>
      </c>
    </row>
    <row r="26" spans="1:6" ht="15.75" customHeight="1" x14ac:dyDescent="0.25">
      <c r="A26" s="29" t="s">
        <v>45</v>
      </c>
      <c r="B26" s="29" t="s">
        <v>167</v>
      </c>
      <c r="C26" s="29" t="s">
        <v>139</v>
      </c>
      <c r="D26" s="29" t="s">
        <v>122</v>
      </c>
      <c r="E26" s="29" t="s">
        <v>168</v>
      </c>
      <c r="F26" s="29" t="s">
        <v>25</v>
      </c>
    </row>
    <row r="27" spans="1:6" ht="15.75" customHeight="1" x14ac:dyDescent="0.25">
      <c r="A27" s="29" t="s">
        <v>46</v>
      </c>
      <c r="B27" s="29" t="s">
        <v>169</v>
      </c>
      <c r="C27" s="29" t="s">
        <v>139</v>
      </c>
      <c r="D27" s="29" t="s">
        <v>122</v>
      </c>
      <c r="E27" s="29" t="s">
        <v>170</v>
      </c>
      <c r="F27" s="29" t="s">
        <v>25</v>
      </c>
    </row>
    <row r="28" spans="1:6" ht="15.75" customHeight="1" x14ac:dyDescent="0.25">
      <c r="A28" s="29" t="s">
        <v>47</v>
      </c>
      <c r="B28" s="29" t="s">
        <v>171</v>
      </c>
      <c r="C28" s="29" t="s">
        <v>139</v>
      </c>
      <c r="D28" s="29" t="s">
        <v>122</v>
      </c>
      <c r="E28" s="29" t="s">
        <v>172</v>
      </c>
      <c r="F28" s="29" t="s">
        <v>30</v>
      </c>
    </row>
    <row r="29" spans="1:6" ht="15.75" customHeight="1" x14ac:dyDescent="0.25">
      <c r="A29" s="29" t="s">
        <v>50</v>
      </c>
      <c r="B29" s="29" t="s">
        <v>149</v>
      </c>
      <c r="C29" s="29" t="s">
        <v>150</v>
      </c>
      <c r="D29" s="29" t="s">
        <v>42</v>
      </c>
      <c r="E29" s="29" t="s">
        <v>173</v>
      </c>
      <c r="F29" s="29" t="s">
        <v>164</v>
      </c>
    </row>
    <row r="30" spans="1:6" ht="15.75" customHeight="1" x14ac:dyDescent="0.25"/>
    <row r="31" spans="1:6" ht="19.5" customHeight="1" x14ac:dyDescent="0.25">
      <c r="A31" s="50" t="s">
        <v>102</v>
      </c>
      <c r="B31" s="47"/>
      <c r="C31" s="47"/>
      <c r="D31" s="47"/>
      <c r="E31" s="47"/>
      <c r="F31" s="47"/>
    </row>
    <row r="32" spans="1:6" ht="15.75" customHeight="1" x14ac:dyDescent="0.25">
      <c r="A32" s="29" t="s">
        <v>53</v>
      </c>
      <c r="B32" s="29" t="s">
        <v>174</v>
      </c>
      <c r="C32" s="29" t="s">
        <v>126</v>
      </c>
      <c r="D32" s="29" t="s">
        <v>122</v>
      </c>
      <c r="E32" s="29" t="s">
        <v>175</v>
      </c>
      <c r="F32" s="29" t="s">
        <v>40</v>
      </c>
    </row>
    <row r="33" spans="1:6" ht="15.75" customHeight="1" x14ac:dyDescent="0.25">
      <c r="A33" s="29" t="s">
        <v>54</v>
      </c>
      <c r="B33" s="29" t="s">
        <v>176</v>
      </c>
      <c r="C33" s="29" t="s">
        <v>139</v>
      </c>
      <c r="D33" s="29" t="s">
        <v>122</v>
      </c>
      <c r="E33" s="29" t="s">
        <v>177</v>
      </c>
      <c r="F33" s="29" t="s">
        <v>25</v>
      </c>
    </row>
    <row r="34" spans="1:6" ht="15.75" customHeight="1" x14ac:dyDescent="0.25">
      <c r="A34" s="29" t="s">
        <v>55</v>
      </c>
      <c r="B34" s="29" t="s">
        <v>178</v>
      </c>
      <c r="C34" s="29" t="s">
        <v>159</v>
      </c>
      <c r="D34" s="29" t="s">
        <v>122</v>
      </c>
      <c r="E34" s="29" t="s">
        <v>179</v>
      </c>
      <c r="F34" s="29" t="s">
        <v>58</v>
      </c>
    </row>
    <row r="35" spans="1:6" ht="15.75" customHeight="1" x14ac:dyDescent="0.25">
      <c r="A35" s="29" t="s">
        <v>57</v>
      </c>
      <c r="B35" s="29" t="s">
        <v>149</v>
      </c>
      <c r="C35" s="29" t="s">
        <v>150</v>
      </c>
      <c r="D35" s="29" t="s">
        <v>42</v>
      </c>
      <c r="E35" s="29" t="s">
        <v>180</v>
      </c>
      <c r="F35" s="29" t="s">
        <v>164</v>
      </c>
    </row>
    <row r="36" spans="1:6" ht="15.75" customHeight="1" x14ac:dyDescent="0.25"/>
    <row r="37" spans="1:6" ht="15.75" customHeight="1" x14ac:dyDescent="0.25"/>
    <row r="38" spans="1:6" ht="15.75" customHeight="1" x14ac:dyDescent="0.25"/>
    <row r="39" spans="1:6" ht="15.75" customHeight="1" x14ac:dyDescent="0.25"/>
    <row r="40" spans="1:6" ht="15.75" customHeight="1" x14ac:dyDescent="0.25"/>
    <row r="41" spans="1:6" ht="15.75" customHeight="1" x14ac:dyDescent="0.25"/>
    <row r="42" spans="1:6" ht="15.75" customHeight="1" x14ac:dyDescent="0.25"/>
    <row r="43" spans="1:6" ht="15.75" customHeight="1" x14ac:dyDescent="0.25"/>
    <row r="44" spans="1:6" ht="15.75" customHeight="1" x14ac:dyDescent="0.25"/>
    <row r="45" spans="1:6" ht="15.75" customHeight="1" x14ac:dyDescent="0.25"/>
    <row r="46" spans="1:6" ht="15.75" customHeight="1" x14ac:dyDescent="0.25"/>
    <row r="47" spans="1:6" ht="15.75" customHeight="1" x14ac:dyDescent="0.25"/>
    <row r="48" spans="1: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">
    <mergeCell ref="A24:F24"/>
    <mergeCell ref="A31:F31"/>
    <mergeCell ref="A1:F1"/>
    <mergeCell ref="A17:F17"/>
  </mergeCells>
  <pageMargins left="0.75" right="0.75" top="1" bottom="1" header="0.511811023622047" footer="0.511811023622047"/>
  <pageSetup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000"/>
  <sheetViews>
    <sheetView topLeftCell="A5" zoomScaleNormal="100" workbookViewId="0">
      <selection sqref="A1:G25"/>
    </sheetView>
  </sheetViews>
  <sheetFormatPr defaultColWidth="14.42578125" defaultRowHeight="15" x14ac:dyDescent="0.25"/>
  <cols>
    <col min="1" max="1" width="20" customWidth="1"/>
    <col min="2" max="2" width="30" customWidth="1"/>
    <col min="3" max="3" width="25" customWidth="1"/>
    <col min="4" max="4" width="18" customWidth="1"/>
    <col min="5" max="5" width="25" customWidth="1"/>
    <col min="6" max="6" width="20" customWidth="1"/>
    <col min="7" max="7" width="55" customWidth="1"/>
    <col min="8" max="26" width="8.7109375" customWidth="1"/>
  </cols>
  <sheetData>
    <row r="1" spans="1:7" ht="17.45" customHeight="1" x14ac:dyDescent="0.3">
      <c r="A1" s="46" t="s">
        <v>181</v>
      </c>
      <c r="B1" s="47"/>
      <c r="C1" s="47"/>
      <c r="D1" s="47"/>
      <c r="E1" s="47"/>
      <c r="F1" s="47"/>
      <c r="G1" s="47"/>
    </row>
    <row r="3" spans="1:7" ht="15" customHeight="1" x14ac:dyDescent="0.25">
      <c r="A3" s="28" t="s">
        <v>182</v>
      </c>
      <c r="B3" s="28" t="s">
        <v>60</v>
      </c>
      <c r="C3" s="28" t="s">
        <v>183</v>
      </c>
      <c r="D3" s="28" t="s">
        <v>184</v>
      </c>
      <c r="E3" s="28" t="s">
        <v>185</v>
      </c>
      <c r="F3" s="28" t="s">
        <v>186</v>
      </c>
      <c r="G3" s="28" t="s">
        <v>17</v>
      </c>
    </row>
    <row r="4" spans="1:7" ht="15" customHeight="1" x14ac:dyDescent="0.25">
      <c r="A4" s="4" t="s">
        <v>11</v>
      </c>
      <c r="B4" s="4" t="s">
        <v>187</v>
      </c>
      <c r="C4" s="4" t="s">
        <v>188</v>
      </c>
      <c r="D4" s="4">
        <v>0.33329999999999999</v>
      </c>
      <c r="E4" s="4">
        <f>IFERROR(COUNTIF(Avaliação!G2:G7,"SIM")/COUNTA(Avaliação!G2:G7)*D4,0)</f>
        <v>0.27775</v>
      </c>
      <c r="F4" s="4" t="s">
        <v>189</v>
      </c>
      <c r="G4" s="4" t="s">
        <v>190</v>
      </c>
    </row>
    <row r="5" spans="1:7" ht="15" customHeight="1" x14ac:dyDescent="0.25">
      <c r="A5" s="4" t="s">
        <v>12</v>
      </c>
      <c r="B5" s="4" t="s">
        <v>7</v>
      </c>
      <c r="C5" s="4" t="s">
        <v>188</v>
      </c>
      <c r="D5" s="4">
        <v>0.33329999999999999</v>
      </c>
      <c r="E5" s="4">
        <f>IFERROR(COUNTIF(Avaliação!H2:H7,"SIM")/COUNTA(Avaliação!H2:H7)*D5,0)</f>
        <v>0.27775</v>
      </c>
      <c r="F5" s="4" t="s">
        <v>189</v>
      </c>
      <c r="G5" s="4" t="s">
        <v>191</v>
      </c>
    </row>
    <row r="6" spans="1:7" ht="15" customHeight="1" x14ac:dyDescent="0.25">
      <c r="A6" s="4" t="s">
        <v>37</v>
      </c>
      <c r="B6" s="4" t="s">
        <v>192</v>
      </c>
      <c r="C6" s="4" t="s">
        <v>188</v>
      </c>
      <c r="D6" s="4">
        <v>0.33339999999999997</v>
      </c>
      <c r="E6" s="4">
        <f>IFERROR(COUNTIF(Avaliação!J2:J7,"SIM")/COUNTA(Avaliação!J2:J7)*D6,0)</f>
        <v>0.27783333333333332</v>
      </c>
      <c r="F6" s="4" t="s">
        <v>189</v>
      </c>
      <c r="G6" s="4" t="s">
        <v>193</v>
      </c>
    </row>
    <row r="7" spans="1:7" ht="28.35" customHeight="1" x14ac:dyDescent="0.25">
      <c r="A7" s="4" t="s">
        <v>194</v>
      </c>
      <c r="B7" s="4" t="s">
        <v>5</v>
      </c>
      <c r="C7" s="4" t="s">
        <v>195</v>
      </c>
      <c r="D7" s="4"/>
      <c r="E7" s="4"/>
      <c r="F7" s="4" t="s">
        <v>189</v>
      </c>
      <c r="G7" s="4" t="s">
        <v>196</v>
      </c>
    </row>
    <row r="8" spans="1:7" ht="15" customHeight="1" x14ac:dyDescent="0.25">
      <c r="E8" s="30" t="s">
        <v>197</v>
      </c>
      <c r="F8" s="31">
        <f>SUM(E4:E6)*100</f>
        <v>83.333333333333329</v>
      </c>
    </row>
    <row r="10" spans="1:7" ht="19.5" customHeight="1" x14ac:dyDescent="0.25">
      <c r="A10" s="50" t="s">
        <v>198</v>
      </c>
      <c r="B10" s="47"/>
      <c r="C10" s="47"/>
      <c r="D10" s="47"/>
      <c r="E10" s="47"/>
      <c r="F10" s="47"/>
      <c r="G10" s="47"/>
    </row>
    <row r="11" spans="1:7" ht="15" customHeight="1" x14ac:dyDescent="0.25">
      <c r="A11" s="29" t="s">
        <v>11</v>
      </c>
      <c r="B11" s="29" t="s">
        <v>33</v>
      </c>
      <c r="C11" s="29" t="s">
        <v>188</v>
      </c>
      <c r="D11" s="32">
        <v>0.33329999999999999</v>
      </c>
      <c r="E11" s="29">
        <f>IFERROR(COUNTIF(Indicadores!G2:G201,"SIM")/COUNTA(Indicadores!G2:G201)*D11,0)</f>
        <v>0.27448235294117646</v>
      </c>
      <c r="F11" s="29" t="s">
        <v>189</v>
      </c>
      <c r="G11" s="29" t="s">
        <v>199</v>
      </c>
    </row>
    <row r="12" spans="1:7" ht="41.85" customHeight="1" x14ac:dyDescent="0.25">
      <c r="A12" s="29" t="s">
        <v>12</v>
      </c>
      <c r="B12" s="29" t="s">
        <v>34</v>
      </c>
      <c r="C12" s="29" t="s">
        <v>200</v>
      </c>
      <c r="D12" s="32">
        <v>0.33329999999999999</v>
      </c>
      <c r="E12" s="29">
        <f>IFERROR((COUNTIF(Indicadores!H2:H201,"Automático")+COUNTIF(Indicadores!H2:H201,"Manual")*0.5)/COUNTA(Indicadores!H2:H201)*D12,0)</f>
        <v>0.19605882352941176</v>
      </c>
      <c r="F12" s="29" t="s">
        <v>189</v>
      </c>
      <c r="G12" s="29" t="s">
        <v>201</v>
      </c>
    </row>
    <row r="13" spans="1:7" ht="15" customHeight="1" x14ac:dyDescent="0.25">
      <c r="A13" s="29" t="s">
        <v>37</v>
      </c>
      <c r="B13" s="29" t="s">
        <v>192</v>
      </c>
      <c r="C13" s="29" t="s">
        <v>188</v>
      </c>
      <c r="D13" s="32">
        <v>0.33339999999999997</v>
      </c>
      <c r="E13" s="29">
        <f>IFERROR(COUNTIF(Indicadores!I2:I201,"SIM")/COUNTA(Indicadores!I2:I201)*D13,0)</f>
        <v>0.22880392156862744</v>
      </c>
      <c r="F13" s="29" t="s">
        <v>189</v>
      </c>
      <c r="G13" s="29" t="s">
        <v>202</v>
      </c>
    </row>
    <row r="14" spans="1:7" ht="15" customHeight="1" x14ac:dyDescent="0.25">
      <c r="E14" s="13" t="s">
        <v>197</v>
      </c>
      <c r="F14" s="33">
        <f>SUM(E11:E13)*100</f>
        <v>69.934509803921571</v>
      </c>
    </row>
    <row r="16" spans="1:7" ht="19.5" customHeight="1" x14ac:dyDescent="0.25">
      <c r="A16" s="50" t="s">
        <v>203</v>
      </c>
      <c r="B16" s="47"/>
      <c r="C16" s="47"/>
      <c r="D16" s="47"/>
      <c r="E16" s="47"/>
      <c r="F16" s="47"/>
      <c r="G16" s="47"/>
    </row>
    <row r="17" spans="1:7" ht="28.35" customHeight="1" x14ac:dyDescent="0.25">
      <c r="A17" s="29" t="s">
        <v>48</v>
      </c>
      <c r="B17" s="29" t="s">
        <v>204</v>
      </c>
      <c r="C17" s="29" t="s">
        <v>188</v>
      </c>
      <c r="D17" s="32">
        <v>0.33329999999999999</v>
      </c>
      <c r="E17" s="29">
        <f>IFERROR(COUNTIF(Treinamento!G2:G201,"SIM")/COUNTA(Treinamento!G2:G201)*D17,0)</f>
        <v>0.27448235294117646</v>
      </c>
      <c r="F17" s="29" t="s">
        <v>189</v>
      </c>
      <c r="G17" s="29" t="s">
        <v>205</v>
      </c>
    </row>
    <row r="18" spans="1:7" ht="15" customHeight="1" x14ac:dyDescent="0.25">
      <c r="A18" s="29" t="s">
        <v>49</v>
      </c>
      <c r="B18" s="29" t="s">
        <v>46</v>
      </c>
      <c r="C18" s="29" t="s">
        <v>188</v>
      </c>
      <c r="D18" s="32">
        <v>0.33329999999999999</v>
      </c>
      <c r="E18" s="29">
        <f>IFERROR(COUNTIF(Treinamento!H2:H201,"SIM")/COUNTA(Treinamento!H2:H201)*D18,0)</f>
        <v>0.26141176470588234</v>
      </c>
      <c r="F18" s="29" t="s">
        <v>189</v>
      </c>
      <c r="G18" s="29" t="s">
        <v>206</v>
      </c>
    </row>
    <row r="19" spans="1:7" ht="15" customHeight="1" x14ac:dyDescent="0.25">
      <c r="A19" s="29" t="s">
        <v>12</v>
      </c>
      <c r="B19" s="29" t="s">
        <v>47</v>
      </c>
      <c r="C19" s="29" t="s">
        <v>188</v>
      </c>
      <c r="D19" s="32">
        <v>0.33339999999999997</v>
      </c>
      <c r="E19" s="29">
        <f>IFERROR(COUNTIF(Treinamento!I2:I201,"SIM")/COUNTA(Treinamento!I2:I201)*D19,0)</f>
        <v>0.22226666666666664</v>
      </c>
      <c r="F19" s="29" t="s">
        <v>189</v>
      </c>
      <c r="G19" s="29" t="s">
        <v>207</v>
      </c>
    </row>
    <row r="20" spans="1:7" ht="15" customHeight="1" x14ac:dyDescent="0.25">
      <c r="E20" s="13" t="s">
        <v>197</v>
      </c>
      <c r="F20" s="33">
        <f>SUM(E17:E19)*100</f>
        <v>75.816078431372546</v>
      </c>
    </row>
    <row r="21" spans="1:7" ht="15.75" customHeight="1" x14ac:dyDescent="0.25"/>
    <row r="22" spans="1:7" ht="19.5" customHeight="1" x14ac:dyDescent="0.25">
      <c r="A22" s="50" t="s">
        <v>208</v>
      </c>
      <c r="B22" s="47"/>
      <c r="C22" s="47"/>
      <c r="D22" s="47"/>
      <c r="E22" s="47"/>
      <c r="F22" s="47"/>
      <c r="G22" s="47"/>
    </row>
    <row r="23" spans="1:7" ht="15.75" customHeight="1" x14ac:dyDescent="0.25">
      <c r="A23" s="29" t="s">
        <v>11</v>
      </c>
      <c r="B23" s="29" t="s">
        <v>54</v>
      </c>
      <c r="C23" s="29" t="s">
        <v>188</v>
      </c>
      <c r="D23" s="32">
        <v>0.5</v>
      </c>
      <c r="E23" s="29">
        <f>IFERROR(COUNTIF(Qualidade!G2:G201,"SIM")/COUNTA(Qualidade!G2:G201)*D23,0)</f>
        <v>0.40196078431372551</v>
      </c>
      <c r="F23" s="29" t="s">
        <v>189</v>
      </c>
      <c r="G23" s="29" t="s">
        <v>209</v>
      </c>
    </row>
    <row r="24" spans="1:7" ht="15.75" customHeight="1" x14ac:dyDescent="0.25">
      <c r="A24" s="29" t="s">
        <v>56</v>
      </c>
      <c r="B24" s="29" t="s">
        <v>55</v>
      </c>
      <c r="C24" s="29" t="s">
        <v>210</v>
      </c>
      <c r="D24" s="32">
        <v>0.5</v>
      </c>
      <c r="E24" s="29">
        <f>IFERROR((COUNTIF(Qualidade!H2:H201,"Integral")+COUNTIF(Qualidade!H2:H201,"Amostral")*0.5)/COUNTA(Qualidade!H2:H201)*D24,0)</f>
        <v>0.25490196078431371</v>
      </c>
      <c r="F24" s="29" t="s">
        <v>189</v>
      </c>
      <c r="G24" s="29" t="s">
        <v>211</v>
      </c>
    </row>
    <row r="25" spans="1:7" ht="15.75" customHeight="1" x14ac:dyDescent="0.25">
      <c r="E25" s="13" t="s">
        <v>197</v>
      </c>
      <c r="F25" s="33">
        <f>SUM(E23:E24)*100</f>
        <v>65.686274509803923</v>
      </c>
    </row>
    <row r="26" spans="1:7" ht="15.75" customHeight="1" x14ac:dyDescent="0.25"/>
    <row r="27" spans="1:7" ht="15.75" customHeight="1" x14ac:dyDescent="0.25"/>
    <row r="28" spans="1:7" ht="15.75" customHeight="1" x14ac:dyDescent="0.25"/>
    <row r="29" spans="1:7" ht="15.75" customHeight="1" x14ac:dyDescent="0.25"/>
    <row r="30" spans="1:7" ht="15.75" customHeight="1" x14ac:dyDescent="0.25"/>
    <row r="31" spans="1:7" ht="15.75" customHeight="1" x14ac:dyDescent="0.25"/>
    <row r="32" spans="1: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">
    <mergeCell ref="A16:G16"/>
    <mergeCell ref="A22:G22"/>
    <mergeCell ref="A1:G1"/>
    <mergeCell ref="A10:G10"/>
  </mergeCells>
  <pageMargins left="0.75" right="0.75" top="1" bottom="1" header="0.511811023622047" footer="0.511811023622047"/>
  <pageSetup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000"/>
  <sheetViews>
    <sheetView tabSelected="1" zoomScaleNormal="100" workbookViewId="0">
      <selection sqref="A1:F1"/>
    </sheetView>
  </sheetViews>
  <sheetFormatPr defaultColWidth="14.42578125" defaultRowHeight="15" x14ac:dyDescent="0.25"/>
  <cols>
    <col min="1" max="1" width="22" customWidth="1"/>
    <col min="2" max="2" width="28" customWidth="1"/>
    <col min="3" max="3" width="85" customWidth="1"/>
    <col min="4" max="6" width="15" customWidth="1"/>
    <col min="7" max="26" width="8.7109375" customWidth="1"/>
  </cols>
  <sheetData>
    <row r="1" spans="1:6" ht="17.45" customHeight="1" x14ac:dyDescent="0.3">
      <c r="A1" s="46" t="s">
        <v>212</v>
      </c>
      <c r="B1" s="47"/>
      <c r="C1" s="47"/>
      <c r="D1" s="47"/>
      <c r="E1" s="47"/>
      <c r="F1" s="47"/>
    </row>
    <row r="3" spans="1:6" ht="15" customHeight="1" x14ac:dyDescent="0.25">
      <c r="A3" s="4" t="s">
        <v>213</v>
      </c>
      <c r="B3" s="4" t="s">
        <v>214</v>
      </c>
      <c r="C3" s="4" t="s">
        <v>215</v>
      </c>
    </row>
    <row r="4" spans="1:6" ht="15" customHeight="1" x14ac:dyDescent="0.25">
      <c r="A4" s="4" t="s">
        <v>216</v>
      </c>
      <c r="B4" s="4" t="s">
        <v>217</v>
      </c>
      <c r="C4" s="4" t="s">
        <v>218</v>
      </c>
    </row>
    <row r="5" spans="1:6" ht="28.35" customHeight="1" x14ac:dyDescent="0.25">
      <c r="A5" s="4" t="s">
        <v>137</v>
      </c>
      <c r="B5" s="4" t="s">
        <v>219</v>
      </c>
      <c r="C5" s="4" t="s">
        <v>220</v>
      </c>
    </row>
    <row r="6" spans="1:6" ht="15" customHeight="1" x14ac:dyDescent="0.25">
      <c r="A6" s="4" t="s">
        <v>221</v>
      </c>
      <c r="B6" s="4" t="s">
        <v>222</v>
      </c>
      <c r="C6" s="4" t="s">
        <v>223</v>
      </c>
    </row>
    <row r="7" spans="1:6" ht="28.35" customHeight="1" x14ac:dyDescent="0.25">
      <c r="A7" s="4" t="s">
        <v>224</v>
      </c>
      <c r="B7" s="4" t="s">
        <v>225</v>
      </c>
      <c r="C7" s="4" t="s">
        <v>226</v>
      </c>
    </row>
    <row r="8" spans="1:6" ht="15" customHeight="1" x14ac:dyDescent="0.25">
      <c r="A8" s="4" t="s">
        <v>227</v>
      </c>
      <c r="B8" s="4" t="s">
        <v>228</v>
      </c>
      <c r="C8" s="4" t="s">
        <v>229</v>
      </c>
    </row>
    <row r="10" spans="1:6" ht="15" customHeight="1" x14ac:dyDescent="0.25">
      <c r="A10" s="34" t="s">
        <v>230</v>
      </c>
    </row>
    <row r="11" spans="1:6" ht="55.15" customHeight="1" x14ac:dyDescent="0.25">
      <c r="A11" s="35" t="s">
        <v>231</v>
      </c>
    </row>
    <row r="13" spans="1:6" ht="15" customHeight="1" x14ac:dyDescent="0.25">
      <c r="A13" s="36" t="s">
        <v>232</v>
      </c>
    </row>
    <row r="14" spans="1:6" ht="28.35" customHeight="1" x14ac:dyDescent="0.25">
      <c r="A14" s="37" t="s">
        <v>233</v>
      </c>
      <c r="B14" s="37" t="s">
        <v>234</v>
      </c>
      <c r="C14" s="38" t="s">
        <v>235</v>
      </c>
    </row>
    <row r="15" spans="1:6" ht="28.35" customHeight="1" x14ac:dyDescent="0.25">
      <c r="A15" s="37" t="s">
        <v>236</v>
      </c>
      <c r="B15" s="37" t="s">
        <v>237</v>
      </c>
      <c r="C15" s="38" t="s">
        <v>238</v>
      </c>
    </row>
    <row r="16" spans="1:6" ht="28.35" customHeight="1" x14ac:dyDescent="0.25">
      <c r="A16" s="37" t="s">
        <v>239</v>
      </c>
      <c r="B16" s="37" t="s">
        <v>240</v>
      </c>
      <c r="C16" s="38" t="s">
        <v>241</v>
      </c>
    </row>
    <row r="17" spans="1:6" ht="28.35" customHeight="1" x14ac:dyDescent="0.25">
      <c r="A17" s="37" t="s">
        <v>242</v>
      </c>
      <c r="B17" s="37" t="s">
        <v>243</v>
      </c>
      <c r="C17" s="38" t="s">
        <v>244</v>
      </c>
    </row>
    <row r="19" spans="1:6" ht="15" customHeight="1" x14ac:dyDescent="0.25">
      <c r="A19" s="39" t="s">
        <v>245</v>
      </c>
    </row>
    <row r="20" spans="1:6" ht="45" customHeight="1" x14ac:dyDescent="0.25">
      <c r="A20" s="51" t="s">
        <v>246</v>
      </c>
      <c r="B20" s="47"/>
      <c r="C20" s="47"/>
      <c r="D20" s="47"/>
      <c r="E20" s="47"/>
      <c r="F20" s="47"/>
    </row>
    <row r="21" spans="1:6" ht="15.75" customHeight="1" x14ac:dyDescent="0.25"/>
    <row r="22" spans="1:6" ht="15.75" customHeight="1" x14ac:dyDescent="0.25"/>
    <row r="23" spans="1:6" ht="15.75" customHeight="1" x14ac:dyDescent="0.25"/>
    <row r="24" spans="1:6" ht="15.75" customHeight="1" x14ac:dyDescent="0.25"/>
    <row r="25" spans="1:6" ht="15.75" customHeight="1" x14ac:dyDescent="0.25"/>
    <row r="26" spans="1:6" ht="15.75" customHeight="1" x14ac:dyDescent="0.25"/>
    <row r="27" spans="1:6" ht="15.75" customHeight="1" x14ac:dyDescent="0.25"/>
    <row r="28" spans="1:6" ht="15.75" customHeight="1" x14ac:dyDescent="0.25"/>
    <row r="29" spans="1:6" ht="15.75" customHeight="1" x14ac:dyDescent="0.25"/>
    <row r="30" spans="1:6" ht="15.75" customHeight="1" x14ac:dyDescent="0.25"/>
    <row r="31" spans="1:6" ht="15.75" customHeight="1" x14ac:dyDescent="0.25"/>
    <row r="32" spans="1:6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A20:F20"/>
    <mergeCell ref="A1:F1"/>
  </mergeCells>
  <pageMargins left="0.75" right="0.75" top="1" bottom="1" header="0.511811023622047" footer="0.511811023622047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Avaliação</vt:lpstr>
      <vt:lpstr>Indicadores</vt:lpstr>
      <vt:lpstr>Treinamento</vt:lpstr>
      <vt:lpstr>Qualidade</vt:lpstr>
      <vt:lpstr>Resumo</vt:lpstr>
      <vt:lpstr>Critérios</vt:lpstr>
      <vt:lpstr>Modelo de Score</vt:lpstr>
      <vt:lpstr>Como usar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Santos</cp:lastModifiedBy>
  <cp:revision>0</cp:revision>
  <dcterms:created xsi:type="dcterms:W3CDTF">2026-08-13T11:49:46Z</dcterms:created>
  <dcterms:modified xsi:type="dcterms:W3CDTF">2026-09-03T16:26:11Z</dcterms:modified>
  <dc:language>en-US</dc:language>
</cp:coreProperties>
</file>