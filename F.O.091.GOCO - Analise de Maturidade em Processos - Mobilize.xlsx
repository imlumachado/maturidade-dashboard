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3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Treinamento" sheetId="3" state="visible" r:id="rId3"/>
    <sheet xmlns:r="http://schemas.openxmlformats.org/officeDocument/2006/relationships" name="Qualidade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Critérios" sheetId="6" state="visible" r:id="rId6"/>
    <sheet xmlns:r="http://schemas.openxmlformats.org/officeDocument/2006/relationships" name="Modelo de Score" sheetId="7" state="visible" r:id="rId7"/>
    <sheet xmlns:r="http://schemas.openxmlformats.org/officeDocument/2006/relationships" name="Como usar" sheetId="8" state="visible" r:id="rId8"/>
  </sheets>
  <definedNames>
    <definedName name="_xlnm._FilterDatabase" localSheetId="0" hidden="1">'Avaliação'!$A$1:$P$57</definedName>
    <definedName name="_xlnm._FilterDatabase" localSheetId="1" hidden="1">'Indicadores'!$A$1:$U$201</definedName>
    <definedName name="_xlnm._FilterDatabase" localSheetId="3" hidden="1">'Qualidade'!$A$1:$O$201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.0"/>
    <numFmt numFmtId="166" formatCode="0.0%"/>
  </numFmts>
  <fonts count="11">
    <font>
      <name val="Calibri"/>
      <charset val="1"/>
      <color theme="1"/>
      <sz val="11"/>
    </font>
    <font>
      <name val="Calibri"/>
      <charset val="1"/>
      <color rgb="FFFFFFFF"/>
      <sz val="9"/>
    </font>
    <font>
      <name val="Calibri"/>
      <charset val="1"/>
      <color theme="1"/>
      <sz val="9"/>
    </font>
    <font>
      <name val="Stack Sans Notch"/>
      <charset val="1"/>
      <b val="1"/>
      <color rgb="FFFFFFFF"/>
      <sz val="14"/>
    </font>
    <font>
      <name val="Stack Sans Notch"/>
      <charset val="1"/>
      <b val="1"/>
      <color rgb="FFFFFFFF"/>
      <sz val="11"/>
    </font>
    <font>
      <name val="Stack Sans Notch"/>
      <charset val="1"/>
      <color theme="1"/>
      <sz val="11"/>
    </font>
    <font>
      <name val="Calibri"/>
      <charset val="1"/>
      <sz val="11"/>
    </font>
    <font>
      <name val="Calibri"/>
      <charset val="1"/>
      <b val="1"/>
      <sz val="12"/>
    </font>
    <font>
      <name val="Stack Sans Notch"/>
      <charset val="1"/>
      <b val="1"/>
      <color theme="1"/>
      <sz val="11"/>
    </font>
    <font>
      <name val="Calibri"/>
      <charset val="1"/>
      <b val="1"/>
      <color theme="1"/>
      <sz val="11"/>
    </font>
    <font>
      <name val="Calibri"/>
      <charset val="1"/>
      <b val="1"/>
      <sz val="11"/>
    </font>
  </fonts>
  <fills count="7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00B0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4" fillId="2" borderId="1" pivotButton="0" quotePrefix="0" xfId="0"/>
    <xf numFmtId="0" fontId="4" fillId="2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6" fillId="0" borderId="1" pivotButton="0" quotePrefix="0" xfId="0"/>
    <xf numFmtId="1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0">
      <alignment horizontal="center"/>
    </xf>
    <xf numFmtId="0" fontId="4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8" fillId="2" borderId="0" pivotButton="0" quotePrefix="0" xfId="0"/>
    <xf numFmtId="165" fontId="9" fillId="0" borderId="0" pivotButton="0" quotePrefix="0" xfId="0"/>
    <xf numFmtId="0" fontId="6" fillId="4" borderId="1" applyAlignment="1" pivotButton="0" quotePrefix="0" xfId="0">
      <alignment vertical="center" wrapText="1"/>
    </xf>
    <xf numFmtId="165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 wrapText="1"/>
    </xf>
    <xf numFmtId="0" fontId="1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4" fillId="2" borderId="0" pivotButton="0" quotePrefix="0" xfId="0"/>
    <xf numFmtId="0" fontId="0" fillId="0" borderId="0" applyAlignment="1" pivotButton="0" quotePrefix="0" xfId="0">
      <alignment vertical="center" wrapText="1"/>
    </xf>
    <xf numFmtId="14" fontId="0" fillId="0" borderId="1" applyAlignment="1" pivotButton="0" quotePrefix="0" xfId="0">
      <alignment vertical="top" wrapText="1"/>
    </xf>
    <xf numFmtId="14" fontId="0" fillId="0" borderId="0" pivotButton="0" quotePrefix="0" xfId="0"/>
    <xf numFmtId="165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4" fontId="0" fillId="4" borderId="1" pivotButton="0" quotePrefix="0" xfId="0"/>
    <xf numFmtId="165" fontId="0" fillId="0" borderId="1" pivotButton="0" quotePrefix="0" xfId="0"/>
    <xf numFmtId="0" fontId="5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4" fillId="2" borderId="0" applyAlignment="1" pivotButton="0" quotePrefix="0" xfId="0">
      <alignment wrapText="1"/>
    </xf>
  </cellXfs>
  <cellStyles count="1">
    <cellStyle name="Normal" xfId="0" builtinId="0"/>
  </cellStyles>
  <dxfs count="4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D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topLeftCell="C1" zoomScaleNormal="100" workbookViewId="0">
      <pane ySplit="1" topLeftCell="A12" activePane="bottomLeft" state="frozen"/>
      <selection pane="bottomLeft" activeCell="Q12" sqref="Q12"/>
    </sheetView>
  </sheetViews>
  <sheetFormatPr baseColWidth="8" defaultColWidth="14.42578125" defaultRowHeight="15"/>
  <cols>
    <col width="13" customWidth="1" style="41" min="1" max="1"/>
    <col width="16" customWidth="1" style="41" min="2" max="2"/>
    <col width="22" customWidth="1" style="41" min="3" max="3"/>
    <col width="28" customWidth="1" style="41" min="4" max="4"/>
    <col width="35" customWidth="1" style="41" min="5" max="5"/>
    <col width="15.7109375" customWidth="1" style="41" min="6" max="6"/>
    <col width="12" customWidth="1" style="41" min="7" max="7"/>
    <col width="16" customWidth="1" style="41" min="8" max="8"/>
    <col width="19" customWidth="1" style="41" min="9" max="9"/>
    <col width="12" customWidth="1" style="41" min="10" max="10"/>
    <col width="15.7109375" customWidth="1" style="41" min="11" max="11"/>
    <col width="16" customWidth="1" style="41" min="12" max="12"/>
    <col width="17" customWidth="1" style="41" min="13" max="13"/>
    <col width="14" customWidth="1" style="41" min="14" max="14"/>
    <col width="19" customWidth="1" style="41" min="15" max="17"/>
    <col width="16.7109375" customWidth="1" style="41" min="18" max="18"/>
    <col width="8.7109375" customWidth="1" style="41" min="19" max="26"/>
  </cols>
  <sheetData>
    <row r="1" ht="15" customHeight="1" s="41">
      <c r="A1" s="1" t="inlineStr">
        <is>
          <t>ID Avaliação</t>
        </is>
      </c>
      <c r="B1" s="1" t="inlineStr">
        <is>
          <t>Data da avaliação</t>
        </is>
      </c>
      <c r="C1" s="1" t="inlineStr">
        <is>
          <t>Operação</t>
        </is>
      </c>
      <c r="D1" s="1" t="inlineStr">
        <is>
          <t>Processo avaliado</t>
        </is>
      </c>
      <c r="E1" s="1" t="inlineStr">
        <is>
          <t>Nome_Documento</t>
        </is>
      </c>
      <c r="F1" s="1" t="inlineStr">
        <is>
          <t>Quantidade</t>
        </is>
      </c>
      <c r="G1" s="2" t="inlineStr">
        <is>
          <t>Existe?</t>
        </is>
      </c>
      <c r="H1" s="2" t="inlineStr">
        <is>
          <t>Está atualizado?</t>
        </is>
      </c>
      <c r="I1" s="2" t="inlineStr">
        <is>
          <t>Última atualização</t>
        </is>
      </c>
      <c r="J1" s="2" t="inlineStr">
        <is>
          <t>Padronizado?</t>
        </is>
      </c>
      <c r="K1" s="2" t="inlineStr">
        <is>
          <t>Coforme?</t>
        </is>
      </c>
      <c r="L1" s="2" t="inlineStr">
        <is>
          <t>Existência</t>
        </is>
      </c>
      <c r="M1" s="2" t="inlineStr">
        <is>
          <t>Atualização</t>
        </is>
      </c>
      <c r="N1" s="2" t="inlineStr">
        <is>
          <t xml:space="preserve"> Padrão</t>
        </is>
      </c>
      <c r="O1" s="2" t="inlineStr">
        <is>
          <t>Conformidade</t>
        </is>
      </c>
      <c r="P1" s="2" t="inlineStr">
        <is>
          <t>Documentação</t>
        </is>
      </c>
      <c r="Q1" s="2" t="inlineStr">
        <is>
          <t>Geral</t>
        </is>
      </c>
      <c r="R1" s="2" t="inlineStr">
        <is>
          <t>Observação</t>
        </is>
      </c>
      <c r="S1" s="3" t="inlineStr">
        <is>
          <t>Plano de Ação</t>
        </is>
      </c>
      <c r="T1" s="3" t="inlineStr">
        <is>
          <t>Responsável</t>
        </is>
      </c>
      <c r="U1" s="3" t="inlineStr">
        <is>
          <t>Prazo</t>
        </is>
      </c>
      <c r="V1" s="3" t="inlineStr">
        <is>
          <t>Status da Ação</t>
        </is>
      </c>
      <c r="W1" s="3" t="n"/>
      <c r="X1" s="3" t="n"/>
      <c r="Y1" s="3" t="n"/>
      <c r="Z1" s="3" t="n"/>
    </row>
    <row r="2" ht="41.85" customHeight="1" s="41">
      <c r="A2" s="4">
        <f>IF(B2="","",ROW()-4)</f>
        <v/>
      </c>
      <c r="B2" s="5" t="n">
        <v>46245</v>
      </c>
      <c r="C2" s="4" t="inlineStr">
        <is>
          <t>PROCESSOS</t>
        </is>
      </c>
      <c r="D2" s="4" t="inlineStr">
        <is>
          <t>Política</t>
        </is>
      </c>
      <c r="E2" s="4" t="inlineStr">
        <is>
          <t>Politica da informação Documentada</t>
        </is>
      </c>
      <c r="F2" s="4" t="n">
        <v>1</v>
      </c>
      <c r="G2" s="4" t="inlineStr">
        <is>
          <t>SIM</t>
        </is>
      </c>
      <c r="H2" s="4" t="inlineStr">
        <is>
          <t>SIM</t>
        </is>
      </c>
      <c r="I2" s="5" t="n">
        <v>45682</v>
      </c>
      <c r="J2" s="4" t="inlineStr">
        <is>
          <t>SIM</t>
        </is>
      </c>
      <c r="K2" s="4" t="inlineStr">
        <is>
          <t>Não Conformidade Grave</t>
        </is>
      </c>
      <c r="L2" s="4">
        <f>IF(G2="","",IF(G2="SIM",1,0))</f>
        <v/>
      </c>
      <c r="M2" s="4">
        <f>IF(H2="","",IF(H2="SIM",1,0))</f>
        <v/>
      </c>
      <c r="N2" s="4">
        <f>IF(J2="","",IF(J2="SIM",1,0))</f>
        <v/>
      </c>
      <c r="O2" s="4">
        <f>IF(K2="","",IF(K2="Conformidade",1,IF(K2="Não conformidade",0,IF(K2="Não conformidade grave",-1,""))))</f>
        <v/>
      </c>
      <c r="P2" s="4">
        <f>IF(COUNTA(G2,H2,J2,K2)=0,"",ROUND(AVERAGE(L2:O2)*100,0))</f>
        <v/>
      </c>
      <c r="Q2" s="6">
        <f>IFERROR(AVERAGEIF(C$2:C$57,C2,P$2:P$57),"N/A")</f>
        <v/>
      </c>
    </row>
    <row r="3" ht="41.85" customHeight="1" s="41">
      <c r="A3" s="4">
        <f>IF(B3="","",ROW()-4)</f>
        <v/>
      </c>
      <c r="B3" s="5" t="n">
        <v>46245</v>
      </c>
      <c r="C3" s="4" t="inlineStr">
        <is>
          <t>PROCESSOS</t>
        </is>
      </c>
      <c r="D3" s="4" t="inlineStr">
        <is>
          <t>Procedimento Operacional</t>
        </is>
      </c>
      <c r="E3" s="4" t="inlineStr">
        <is>
          <t>ORIENTAR QUANTO A TRATATIVA DE SOLICITAÇÕES À AREA DE PROCESSOS COMPARTILHADO</t>
        </is>
      </c>
      <c r="F3" s="4" t="n">
        <v>1</v>
      </c>
      <c r="G3" s="4" t="inlineStr">
        <is>
          <t>SIM</t>
        </is>
      </c>
      <c r="H3" s="4" t="inlineStr">
        <is>
          <t>SIM</t>
        </is>
      </c>
      <c r="I3" s="5" t="n">
        <v>45672</v>
      </c>
      <c r="J3" s="4" t="inlineStr">
        <is>
          <t>SIM</t>
        </is>
      </c>
      <c r="K3" s="4" t="inlineStr">
        <is>
          <t>Não Conformidade Grave</t>
        </is>
      </c>
      <c r="L3" s="4">
        <f>IF(G3="","",IF(G3="SIM",1,0))</f>
        <v/>
      </c>
      <c r="M3" s="4">
        <f>IF(H3="","",IF(H3="SIM",1,0))</f>
        <v/>
      </c>
      <c r="N3" s="4">
        <f>IF(J3="","",IF(J3="SIM",1,0))</f>
        <v/>
      </c>
      <c r="O3" s="4">
        <f>IF(K3="","",IF(K3="Conformidade",1,IF(K3="Não conformidade",0,IF(K3="Não conformidade grave",-1,""))))</f>
        <v/>
      </c>
      <c r="P3" s="4">
        <f>IF(COUNTA(G3,H3,J3)=0,"",ROUND(AVERAGE(L3:O3)*100,0))</f>
        <v/>
      </c>
      <c r="Q3" s="6">
        <f>IFERROR(AVERAGEIF(C$2:C$57,C3,P$2:P$57),"N/A")</f>
        <v/>
      </c>
    </row>
    <row r="4" ht="41.85" customHeight="1" s="41">
      <c r="A4" s="4">
        <f>IF(B4="","",ROW()-4)</f>
        <v/>
      </c>
      <c r="B4" s="5" t="n">
        <v>46245</v>
      </c>
      <c r="C4" s="4" t="inlineStr">
        <is>
          <t>PROCESSOS</t>
        </is>
      </c>
      <c r="D4" s="4" t="inlineStr">
        <is>
          <t>Procedimento Operacional</t>
        </is>
      </c>
      <c r="E4" s="4" t="inlineStr">
        <is>
          <t>ORIENTAR QUANTO A APROVAÇÃO DE DOCUMENTOS EM DBM</t>
        </is>
      </c>
      <c r="F4" s="4" t="n">
        <v>1</v>
      </c>
      <c r="G4" s="4" t="inlineStr">
        <is>
          <t>SIM</t>
        </is>
      </c>
      <c r="H4" s="4" t="inlineStr">
        <is>
          <t>NÃO</t>
        </is>
      </c>
      <c r="I4" s="5" t="n">
        <v>45672</v>
      </c>
      <c r="J4" s="4" t="inlineStr">
        <is>
          <t>SIM</t>
        </is>
      </c>
      <c r="K4" s="4" t="inlineStr">
        <is>
          <t>Não Conformidade Grave</t>
        </is>
      </c>
      <c r="L4" s="4">
        <f>IF(G4="","",IF(G4="SIM",1,0))</f>
        <v/>
      </c>
      <c r="M4" s="4">
        <f>IF(H4="","",IF(H4="SIM",1,0))</f>
        <v/>
      </c>
      <c r="N4" s="4">
        <f>IF(J4="","",IF(J4="SIM",1,0))</f>
        <v/>
      </c>
      <c r="O4" s="4">
        <f>IF(K4="","",IF(K4="Conformidade",1,IF(K4="Não conformidade",0,IF(K4="Não conformidade grave",-1,""))))</f>
        <v/>
      </c>
      <c r="P4" s="4">
        <f>IF(COUNTA(G4,H4,J4)=0,"",ROUND(AVERAGE(L4:O4)*100,0))</f>
        <v/>
      </c>
      <c r="Q4" s="6">
        <f>IFERROR(AVERAGEIF(C$2:C$57,C4,P$2:P$57),"N/A")</f>
        <v/>
      </c>
    </row>
    <row r="5" ht="41.85" customHeight="1" s="41">
      <c r="A5" s="4">
        <f>IF(B5="","",ROW()-4)</f>
        <v/>
      </c>
      <c r="B5" s="5" t="n">
        <v>46245</v>
      </c>
      <c r="C5" s="4" t="inlineStr">
        <is>
          <t xml:space="preserve">Qualidade </t>
        </is>
      </c>
      <c r="D5" s="4" t="inlineStr">
        <is>
          <t>Política</t>
        </is>
      </c>
      <c r="E5" s="4" t="inlineStr">
        <is>
          <t>Politica da informação Documentada</t>
        </is>
      </c>
      <c r="F5" s="4" t="n">
        <v>1</v>
      </c>
      <c r="G5" s="4" t="inlineStr">
        <is>
          <t>NÃO</t>
        </is>
      </c>
      <c r="H5" s="4" t="inlineStr">
        <is>
          <t>SIM</t>
        </is>
      </c>
      <c r="I5" s="5" t="n">
        <v>45682</v>
      </c>
      <c r="J5" s="4" t="inlineStr">
        <is>
          <t>NÃO</t>
        </is>
      </c>
      <c r="K5" s="4" t="inlineStr">
        <is>
          <t>Não Conformidade Grave</t>
        </is>
      </c>
      <c r="L5" s="4">
        <f>IF(G5="","",IF(G5="SIM",1,0))</f>
        <v/>
      </c>
      <c r="M5" s="4">
        <f>IF(H5="","",IF(H5="SIM",1,0))</f>
        <v/>
      </c>
      <c r="N5" s="4">
        <f>IF(J5="","",IF(J5="SIM",1,0))</f>
        <v/>
      </c>
      <c r="O5" s="4">
        <f>IF(K5="","",IF(K5="Conformidade",1,IF(K5="Não conformidade",0,IF(K5="Não conformidade grave",-1,""))))</f>
        <v/>
      </c>
      <c r="P5" s="4">
        <f>IF(COUNTA(G5,H5,J5)=0,"",ROUND(AVERAGE(L5:O5)*100,0))</f>
        <v/>
      </c>
      <c r="Q5" s="6">
        <f>IFERROR(AVERAGEIF(C$2:C$57,C5,P$2:P$57),"N/A")</f>
        <v/>
      </c>
    </row>
    <row r="6" ht="41.85" customHeight="1" s="41">
      <c r="A6" s="4">
        <f>IF(B6="","",ROW()-4)</f>
        <v/>
      </c>
      <c r="B6" s="5" t="n">
        <v>46245</v>
      </c>
      <c r="C6" s="4" t="inlineStr">
        <is>
          <t xml:space="preserve">Qualidade </t>
        </is>
      </c>
      <c r="D6" s="4" t="inlineStr">
        <is>
          <t>Procedimento Operacional</t>
        </is>
      </c>
      <c r="E6" s="4" t="inlineStr">
        <is>
          <t>ORIENTAR QUANTO A TRATATIVA DE SOLICITAÇÕES À AREA DE PROCESSOS COMPARTILHADO</t>
        </is>
      </c>
      <c r="F6" s="4" t="n">
        <v>1</v>
      </c>
      <c r="G6" s="4" t="inlineStr">
        <is>
          <t>SIM</t>
        </is>
      </c>
      <c r="H6" s="4" t="inlineStr">
        <is>
          <t>SIM</t>
        </is>
      </c>
      <c r="I6" s="5" t="n">
        <v>45672</v>
      </c>
      <c r="J6" s="4" t="inlineStr">
        <is>
          <t>SIM</t>
        </is>
      </c>
      <c r="K6" s="4" t="inlineStr">
        <is>
          <t>Não Conformidade Grave</t>
        </is>
      </c>
      <c r="L6" s="4">
        <f>IF(G6="","",IF(G6="SIM",1,0))</f>
        <v/>
      </c>
      <c r="M6" s="4">
        <f>IF(H6="","",IF(H6="SIM",1,0))</f>
        <v/>
      </c>
      <c r="N6" s="4">
        <f>IF(J6="","",IF(J6="SIM",1,0))</f>
        <v/>
      </c>
      <c r="O6" s="4">
        <f>IF(K6="","",IF(K6="Conformidade",1,IF(K6="Não conformidade",0,IF(K6="Não conformidade grave",-1,""))))</f>
        <v/>
      </c>
      <c r="P6" s="4">
        <f>IF(COUNTA(G6,H6,J6)=0,"",ROUND(AVERAGE(L6:O6)*100,0))</f>
        <v/>
      </c>
      <c r="Q6" s="6">
        <f>IFERROR(AVERAGEIF(C$2:C$57,C6,P$2:P$57),"N/A")</f>
        <v/>
      </c>
    </row>
    <row r="7" ht="41.85" customHeight="1" s="41">
      <c r="A7" s="4">
        <f>IF(B7="","",ROW()-4)</f>
        <v/>
      </c>
      <c r="B7" s="5" t="n">
        <v>46245</v>
      </c>
      <c r="C7" s="4" t="inlineStr">
        <is>
          <t xml:space="preserve">Qualidade </t>
        </is>
      </c>
      <c r="D7" s="4" t="inlineStr">
        <is>
          <t>Procedimento Operacional</t>
        </is>
      </c>
      <c r="E7" s="4" t="inlineStr">
        <is>
          <t>ORIENTAR QUANTO A APROVAÇÃO DE DOCUMENTOS EM DBM</t>
        </is>
      </c>
      <c r="F7" s="4" t="n">
        <v>1</v>
      </c>
      <c r="G7" s="4" t="inlineStr">
        <is>
          <t>SIM</t>
        </is>
      </c>
      <c r="H7" s="4" t="inlineStr">
        <is>
          <t>SIM</t>
        </is>
      </c>
      <c r="I7" s="5" t="n">
        <v>45672</v>
      </c>
      <c r="J7" s="4" t="inlineStr">
        <is>
          <t>SIM</t>
        </is>
      </c>
      <c r="K7" s="4" t="inlineStr">
        <is>
          <t>Não Conformidade Grave</t>
        </is>
      </c>
      <c r="L7" s="4">
        <f>IF(G7="","",IF(G7="SIM",1,0))</f>
        <v/>
      </c>
      <c r="M7" s="4">
        <f>IF(H7="","",IF(H7="SIM",1,0))</f>
        <v/>
      </c>
      <c r="N7" s="4">
        <f>IF(J7="","",IF(J7="SIM",1,0))</f>
        <v/>
      </c>
      <c r="O7" s="4">
        <f>IF(K7="","",IF(K7="Conformidade",1,IF(K7="Não conformidade",0,IF(K7="Não conformidade grave",-1,""))))</f>
        <v/>
      </c>
      <c r="P7" s="4">
        <f>IF(COUNTA(G7,H7,J7,K7)=0,"",ROUND(AVERAGE(L7:O7)*100,0))</f>
        <v/>
      </c>
      <c r="Q7" s="6">
        <f>IFERROR(AVERAGEIF(C$2:C$57,C7,P$2:P$57),"N/A")</f>
        <v/>
      </c>
    </row>
    <row r="8" ht="15" customHeight="1" s="41">
      <c r="A8" s="4">
        <f>IF(B8="","",ROW()-4)</f>
        <v/>
      </c>
      <c r="B8" s="46" t="n">
        <v>46178</v>
      </c>
      <c r="C8" s="4" t="inlineStr">
        <is>
          <t>PROCESSOS</t>
        </is>
      </c>
      <c r="D8" s="4" t="inlineStr">
        <is>
          <t>Admissão</t>
        </is>
      </c>
      <c r="E8" s="4" t="inlineStr">
        <is>
          <t>Política de Segurança da Informação</t>
        </is>
      </c>
      <c r="F8" s="4" t="n">
        <v>1</v>
      </c>
      <c r="G8" s="4" t="inlineStr">
        <is>
          <t>NÃO</t>
        </is>
      </c>
      <c r="H8" s="4" t="inlineStr">
        <is>
          <t>NÃO</t>
        </is>
      </c>
      <c r="I8" s="46" t="n">
        <v>45294</v>
      </c>
      <c r="J8" s="4" t="inlineStr">
        <is>
          <t>NÃO</t>
        </is>
      </c>
      <c r="K8" s="4" t="inlineStr">
        <is>
          <t>Não Conformidade Grave</t>
        </is>
      </c>
      <c r="L8" s="4">
        <f>IF(G8="","",IF(G8="SIM",1,0))</f>
        <v/>
      </c>
      <c r="M8" s="4">
        <f>IF(H8="","",IF(H8="SIM",1,0))</f>
        <v/>
      </c>
      <c r="N8" s="4">
        <f>IF(J8="","",IF(J8="SIM",1,0))</f>
        <v/>
      </c>
      <c r="O8" s="4">
        <f>IF(K8="","",IF(K8="Conformidade",1,IF(K8="Não Conformidade",0,IF(K8="Não Conformidade Grave",-1,""))))</f>
        <v/>
      </c>
      <c r="P8" s="48">
        <f>IF(COUNTA(G8,H8,J8,K8)=0,"",ROUND(AVERAGE(L8:O8)*100,0))</f>
        <v/>
      </c>
      <c r="Q8" s="49">
        <f>IFERROR(AVERAGEIF(C$2:C$57,C8,P$2:P$57),"N/A")</f>
        <v/>
      </c>
      <c r="R8" t="inlineStr">
        <is>
          <t>Foi identificada oportunidade de adequação documental.</t>
        </is>
      </c>
      <c r="S8" t="inlineStr">
        <is>
          <t>Criar documento e obter aprovação</t>
        </is>
      </c>
      <c r="T8" t="inlineStr">
        <is>
          <t>Ana Lima</t>
        </is>
      </c>
      <c r="U8" s="47" t="n">
        <v>46270</v>
      </c>
      <c r="V8" t="inlineStr">
        <is>
          <t>Não iniciado</t>
        </is>
      </c>
    </row>
    <row r="9" ht="15" customHeight="1" s="41">
      <c r="A9" s="4">
        <f>IF(B9="","",ROW()-4)</f>
        <v/>
      </c>
      <c r="B9" s="46" t="n">
        <v>46209</v>
      </c>
      <c r="C9" s="4" t="inlineStr">
        <is>
          <t>Qualidade</t>
        </is>
      </c>
      <c r="D9" s="4" t="inlineStr">
        <is>
          <t>Gestão de Contratos</t>
        </is>
      </c>
      <c r="E9" s="4" t="inlineStr">
        <is>
          <t>Fluxo de Aprovação de Compras</t>
        </is>
      </c>
      <c r="F9" s="4" t="n">
        <v>2</v>
      </c>
      <c r="G9" s="4" t="inlineStr">
        <is>
          <t>SIM</t>
        </is>
      </c>
      <c r="H9" s="4" t="inlineStr">
        <is>
          <t>SIM</t>
        </is>
      </c>
      <c r="I9" s="46" t="n">
        <v>45692</v>
      </c>
      <c r="J9" s="4" t="inlineStr">
        <is>
          <t>SIM</t>
        </is>
      </c>
      <c r="K9" s="4" t="inlineStr">
        <is>
          <t>Conformidade</t>
        </is>
      </c>
      <c r="L9" s="4">
        <f>IF(G9="","",IF(G9="SIM",1,0))</f>
        <v/>
      </c>
      <c r="M9" s="4">
        <f>IF(H9="","",IF(H9="SIM",1,0))</f>
        <v/>
      </c>
      <c r="N9" s="4">
        <f>IF(J9="","",IF(J9="SIM",1,0))</f>
        <v/>
      </c>
      <c r="O9" s="4">
        <f>IF(K9="","",IF(K9="Conformidade",1,IF(K9="Não Conformidade",0,IF(K9="Não Conformidade Grave",-1,""))))</f>
        <v/>
      </c>
      <c r="P9" s="48">
        <f>IF(COUNTA(G9,H9,J9,K9)=0,"",ROUND(AVERAGE(L9:O9)*100,0))</f>
        <v/>
      </c>
      <c r="Q9" s="49">
        <f>IFERROR(AVERAGEIF(C$2:C$57,C9,P$2:P$57),"N/A")</f>
        <v/>
      </c>
      <c r="R9" t="inlineStr">
        <is>
          <t>Documento aderente aos critérios avaliados.</t>
        </is>
      </c>
      <c r="S9" t="inlineStr">
        <is>
          <t>Manter revisão periódica.</t>
        </is>
      </c>
      <c r="T9" t="inlineStr">
        <is>
          <t>Bruno Costa</t>
        </is>
      </c>
      <c r="U9" s="47" t="n">
        <v>46301</v>
      </c>
      <c r="V9" t="inlineStr">
        <is>
          <t>Concluído</t>
        </is>
      </c>
    </row>
    <row r="10" ht="15" customHeight="1" s="41">
      <c r="A10" s="4">
        <f>IF(B10="","",ROW()-4)</f>
        <v/>
      </c>
      <c r="B10" s="46" t="n">
        <v>46241</v>
      </c>
      <c r="C10" s="4" t="inlineStr">
        <is>
          <t>Recursos Humanos</t>
        </is>
      </c>
      <c r="D10" s="4" t="inlineStr">
        <is>
          <t>Controle de Acesso</t>
        </is>
      </c>
      <c r="E10" s="4" t="inlineStr">
        <is>
          <t>Checklist de Auditoria</t>
        </is>
      </c>
      <c r="F10" s="4" t="n">
        <v>3</v>
      </c>
      <c r="G10" s="4" t="inlineStr">
        <is>
          <t>SIM</t>
        </is>
      </c>
      <c r="H10" s="4" t="inlineStr">
        <is>
          <t>SIM</t>
        </is>
      </c>
      <c r="I10" s="46" t="n">
        <v>46086</v>
      </c>
      <c r="J10" s="4" t="inlineStr">
        <is>
          <t>SIM</t>
        </is>
      </c>
      <c r="K10" s="4" t="inlineStr">
        <is>
          <t>Conformidade</t>
        </is>
      </c>
      <c r="L10" s="4">
        <f>IF(G10="","",IF(G10="SIM",1,0))</f>
        <v/>
      </c>
      <c r="M10" s="4">
        <f>IF(H10="","",IF(H10="SIM",1,0))</f>
        <v/>
      </c>
      <c r="N10" s="4">
        <f>IF(J10="","",IF(J10="SIM",1,0))</f>
        <v/>
      </c>
      <c r="O10" s="4">
        <f>IF(K10="","",IF(K10="Conformidade",1,IF(K10="Não Conformidade",0,IF(K10="Não Conformidade Grave",-1,""))))</f>
        <v/>
      </c>
      <c r="P10" s="48">
        <f>IF(COUNTA(G10,H10,J10,K10)=0,"",ROUND(AVERAGE(L10:O10)*100,0))</f>
        <v/>
      </c>
      <c r="Q10" s="49">
        <f>IFERROR(AVERAGEIF(C$2:C$57,C10,P$2:P$57),"N/A")</f>
        <v/>
      </c>
      <c r="R10" t="inlineStr">
        <is>
          <t>Documento aderente aos critérios avaliados.</t>
        </is>
      </c>
      <c r="S10" t="inlineStr">
        <is>
          <t>Manter revisão periódica.</t>
        </is>
      </c>
      <c r="T10" t="inlineStr">
        <is>
          <t>Carla Souza</t>
        </is>
      </c>
      <c r="U10" s="47" t="n">
        <v>46333</v>
      </c>
      <c r="V10" t="inlineStr">
        <is>
          <t>Concluído</t>
        </is>
      </c>
    </row>
    <row r="11" ht="15" customHeight="1" s="41">
      <c r="A11" s="4">
        <f>IF(B11="","",ROW()-4)</f>
        <v/>
      </c>
      <c r="B11" s="46" t="n">
        <v>46181</v>
      </c>
      <c r="C11" s="4" t="inlineStr">
        <is>
          <t>Financeiro</t>
        </is>
      </c>
      <c r="D11" s="4" t="inlineStr">
        <is>
          <t>Auditoria de Processos</t>
        </is>
      </c>
      <c r="E11" s="4" t="inlineStr">
        <is>
          <t>Plano de Continuidade</t>
        </is>
      </c>
      <c r="F11" s="4" t="n">
        <v>4</v>
      </c>
      <c r="G11" s="4" t="inlineStr">
        <is>
          <t>SIM</t>
        </is>
      </c>
      <c r="H11" s="4" t="inlineStr">
        <is>
          <t>SIM</t>
        </is>
      </c>
      <c r="I11" s="46" t="n">
        <v>45388</v>
      </c>
      <c r="J11" s="4" t="inlineStr">
        <is>
          <t>SIM</t>
        </is>
      </c>
      <c r="K11" s="4" t="inlineStr">
        <is>
          <t>Não Conformidade</t>
        </is>
      </c>
      <c r="L11" s="4">
        <f>IF(G11="","",IF(G11="SIM",1,0))</f>
        <v/>
      </c>
      <c r="M11" s="4">
        <f>IF(H11="","",IF(H11="SIM",1,0))</f>
        <v/>
      </c>
      <c r="N11" s="4">
        <f>IF(J11="","",IF(J11="SIM",1,0))</f>
        <v/>
      </c>
      <c r="O11" s="4">
        <f>IF(K11="","",IF(K11="Conformidade",1,IF(K11="Não Conformidade",0,IF(K11="Não Conformidade Grave",-1,""))))</f>
        <v/>
      </c>
      <c r="P11" s="48">
        <f>IF(COUNTA(G11,H11,J11,K11)=0,"",ROUND(AVERAGE(L11:O11)*100,0))</f>
        <v/>
      </c>
      <c r="Q11" s="49">
        <f>IFERROR(AVERAGEIF(C$2:C$57,C11,P$2:P$57),"N/A")</f>
        <v/>
      </c>
      <c r="R11" t="inlineStr">
        <is>
          <t>Foi identificada oportunidade de adequação documental.</t>
        </is>
      </c>
      <c r="S11" t="inlineStr">
        <is>
          <t>Executar validação com a área responsável</t>
        </is>
      </c>
      <c r="T11" t="inlineStr">
        <is>
          <t>Diego Alves</t>
        </is>
      </c>
      <c r="U11" s="47" t="n">
        <v>46273</v>
      </c>
      <c r="V11" t="inlineStr">
        <is>
          <t>Não iniciado</t>
        </is>
      </c>
    </row>
    <row r="12" ht="15" customHeight="1" s="41">
      <c r="A12" s="4">
        <f>IF(B12="","",ROW()-4)</f>
        <v/>
      </c>
      <c r="B12" s="46" t="n">
        <v>46212</v>
      </c>
      <c r="C12" s="4" t="inlineStr">
        <is>
          <t>Atendimento</t>
        </is>
      </c>
      <c r="D12" s="4" t="inlineStr">
        <is>
          <t>Atendimento ao Cliente</t>
        </is>
      </c>
      <c r="E12" s="4" t="inlineStr">
        <is>
          <t>Norma de Controle de Acesso</t>
        </is>
      </c>
      <c r="F12" s="4" t="n">
        <v>5</v>
      </c>
      <c r="G12" s="4" t="inlineStr">
        <is>
          <t>SIM</t>
        </is>
      </c>
      <c r="H12" s="4" t="inlineStr">
        <is>
          <t>SIM</t>
        </is>
      </c>
      <c r="I12" s="46" t="n">
        <v>45784</v>
      </c>
      <c r="J12" s="4" t="inlineStr">
        <is>
          <t>NÃO</t>
        </is>
      </c>
      <c r="K12" s="4" t="inlineStr">
        <is>
          <t>Conformidade</t>
        </is>
      </c>
      <c r="L12" s="4">
        <f>IF(G12="","",IF(G12="SIM",1,0))</f>
        <v/>
      </c>
      <c r="M12" s="4">
        <f>IF(H12="","",IF(H12="SIM",1,0))</f>
        <v/>
      </c>
      <c r="N12" s="4">
        <f>IF(J12="","",IF(J12="SIM",1,0))</f>
        <v/>
      </c>
      <c r="O12" s="4">
        <f>IF(K12="","",IF(K12="Conformidade",1,IF(K12="Não Conformidade",0,IF(K12="Não Conformidade Grave",-1,""))))</f>
        <v/>
      </c>
      <c r="P12" s="48">
        <f>IF(COUNTA(G12,H12,J12,K12)=0,"",ROUND(AVERAGE(L12:O12)*100,0))</f>
        <v/>
      </c>
      <c r="Q12" s="49">
        <f>IFERROR(AVERAGEIF(C$2:C$57,C12,P$2:P$57),"N/A")</f>
        <v/>
      </c>
      <c r="R12" t="inlineStr">
        <is>
          <t>Foi identificada oportunidade de adequação documental.</t>
        </is>
      </c>
      <c r="S12" t="inlineStr">
        <is>
          <t>Criar documento e obter aprovação</t>
        </is>
      </c>
      <c r="T12" t="inlineStr">
        <is>
          <t>Fernanda Rocha</t>
        </is>
      </c>
      <c r="U12" s="47" t="n">
        <v>46304</v>
      </c>
      <c r="V12" t="inlineStr">
        <is>
          <t>Em andamento</t>
        </is>
      </c>
    </row>
    <row r="13" ht="15" customHeight="1" s="41">
      <c r="A13" s="4">
        <f>IF(B13="","",ROW()-4)</f>
        <v/>
      </c>
      <c r="B13" s="46" t="n">
        <v>46244</v>
      </c>
      <c r="C13" s="4" t="inlineStr">
        <is>
          <t>Tecnologia</t>
        </is>
      </c>
      <c r="D13" s="4" t="inlineStr">
        <is>
          <t>Contas a Pagar</t>
        </is>
      </c>
      <c r="E13" s="4" t="inlineStr">
        <is>
          <t>Política de Segurança da Informação</t>
        </is>
      </c>
      <c r="F13" s="4" t="n">
        <v>1</v>
      </c>
      <c r="G13" s="4" t="inlineStr">
        <is>
          <t>SIM</t>
        </is>
      </c>
      <c r="H13" s="4" t="inlineStr">
        <is>
          <t>NÃO</t>
        </is>
      </c>
      <c r="I13" s="46" t="n">
        <v>46181</v>
      </c>
      <c r="J13" s="4" t="inlineStr">
        <is>
          <t>SIM</t>
        </is>
      </c>
      <c r="K13" s="4" t="inlineStr">
        <is>
          <t>Conformidade</t>
        </is>
      </c>
      <c r="L13" s="4">
        <f>IF(G13="","",IF(G13="SIM",1,0))</f>
        <v/>
      </c>
      <c r="M13" s="4">
        <f>IF(H13="","",IF(H13="SIM",1,0))</f>
        <v/>
      </c>
      <c r="N13" s="4">
        <f>IF(J13="","",IF(J13="SIM",1,0))</f>
        <v/>
      </c>
      <c r="O13" s="4">
        <f>IF(K13="","",IF(K13="Conformidade",1,IF(K13="Não Conformidade",0,IF(K13="Não Conformidade Grave",-1,""))))</f>
        <v/>
      </c>
      <c r="P13" s="48">
        <f>IF(COUNTA(G13,H13,J13,K13)=0,"",ROUND(AVERAGE(L13:O13)*100,0))</f>
        <v/>
      </c>
      <c r="Q13" s="49">
        <f>IFERROR(AVERAGEIF(C$2:C$57,C13,P$2:P$57),"N/A")</f>
        <v/>
      </c>
      <c r="R13" t="inlineStr">
        <is>
          <t>Foi identificada oportunidade de adequação documental.</t>
        </is>
      </c>
      <c r="S13" t="inlineStr">
        <is>
          <t>Revisar conteúdo e publicar nova versão</t>
        </is>
      </c>
      <c r="T13" t="inlineStr">
        <is>
          <t>Gabriel Martins</t>
        </is>
      </c>
      <c r="U13" s="47" t="n">
        <v>46336</v>
      </c>
      <c r="V13" t="inlineStr">
        <is>
          <t>Aguardando validação</t>
        </is>
      </c>
    </row>
    <row r="14" ht="15" customHeight="1" s="41">
      <c r="A14" s="4">
        <f>IF(B14="","",ROW()-4)</f>
        <v/>
      </c>
      <c r="B14" s="46" t="n">
        <v>46184</v>
      </c>
      <c r="C14" s="4" t="inlineStr">
        <is>
          <t>PROCESSOS</t>
        </is>
      </c>
      <c r="D14" s="4" t="inlineStr">
        <is>
          <t>Treinamento Interno</t>
        </is>
      </c>
      <c r="E14" s="4" t="inlineStr">
        <is>
          <t>Fluxo de Aprovação de Compras</t>
        </is>
      </c>
      <c r="F14" s="4" t="n">
        <v>2</v>
      </c>
      <c r="G14" s="4" t="inlineStr">
        <is>
          <t>SIM</t>
        </is>
      </c>
      <c r="H14" s="4" t="inlineStr">
        <is>
          <t>SIM</t>
        </is>
      </c>
      <c r="I14" s="46" t="n">
        <v>45482</v>
      </c>
      <c r="J14" s="4" t="inlineStr">
        <is>
          <t>SIM</t>
        </is>
      </c>
      <c r="K14" s="4" t="inlineStr">
        <is>
          <t>Não Conformidade</t>
        </is>
      </c>
      <c r="L14" s="4">
        <f>IF(G14="","",IF(G14="SIM",1,0))</f>
        <v/>
      </c>
      <c r="M14" s="4">
        <f>IF(H14="","",IF(H14="SIM",1,0))</f>
        <v/>
      </c>
      <c r="N14" s="4">
        <f>IF(J14="","",IF(J14="SIM",1,0))</f>
        <v/>
      </c>
      <c r="O14" s="4">
        <f>IF(K14="","",IF(K14="Conformidade",1,IF(K14="Não Conformidade",0,IF(K14="Não Conformidade Grave",-1,""))))</f>
        <v/>
      </c>
      <c r="P14" s="48">
        <f>IF(COUNTA(G14,H14,J14,K14)=0,"",ROUND(AVERAGE(L14:O14)*100,0))</f>
        <v/>
      </c>
      <c r="Q14" s="49">
        <f>IFERROR(AVERAGEIF(C$2:C$57,C14,P$2:P$57),"N/A")</f>
        <v/>
      </c>
      <c r="R14" t="inlineStr">
        <is>
          <t>Foi identificada oportunidade de adequação documental.</t>
        </is>
      </c>
      <c r="S14" t="inlineStr">
        <is>
          <t>Adequar ao padrão corporativo</t>
        </is>
      </c>
      <c r="T14" t="inlineStr">
        <is>
          <t>Ana Lima</t>
        </is>
      </c>
      <c r="U14" s="47" t="n">
        <v>46276</v>
      </c>
      <c r="V14" t="inlineStr">
        <is>
          <t>Não iniciado</t>
        </is>
      </c>
    </row>
    <row r="15" ht="15" customHeight="1" s="41">
      <c r="A15" s="4">
        <f>IF(B15="","",ROW()-4)</f>
        <v/>
      </c>
      <c r="B15" s="46" t="n">
        <v>46215</v>
      </c>
      <c r="C15" s="4" t="inlineStr">
        <is>
          <t>Qualidade</t>
        </is>
      </c>
      <c r="D15" s="4" t="inlineStr">
        <is>
          <t>Faturamento</t>
        </is>
      </c>
      <c r="E15" s="4" t="inlineStr">
        <is>
          <t>Checklist de Auditoria</t>
        </is>
      </c>
      <c r="F15" s="4" t="n">
        <v>3</v>
      </c>
      <c r="G15" s="4" t="inlineStr">
        <is>
          <t>NÃO</t>
        </is>
      </c>
      <c r="H15" s="4" t="inlineStr">
        <is>
          <t>SIM</t>
        </is>
      </c>
      <c r="I15" s="46" t="n">
        <v>45879</v>
      </c>
      <c r="J15" s="4" t="inlineStr">
        <is>
          <t>SIM</t>
        </is>
      </c>
      <c r="K15" s="4" t="inlineStr">
        <is>
          <t>Conformidade</t>
        </is>
      </c>
      <c r="L15" s="4">
        <f>IF(G15="","",IF(G15="SIM",1,0))</f>
        <v/>
      </c>
      <c r="M15" s="4">
        <f>IF(H15="","",IF(H15="SIM",1,0))</f>
        <v/>
      </c>
      <c r="N15" s="4">
        <f>IF(J15="","",IF(J15="SIM",1,0))</f>
        <v/>
      </c>
      <c r="O15" s="4">
        <f>IF(K15="","",IF(K15="Conformidade",1,IF(K15="Não Conformidade",0,IF(K15="Não Conformidade Grave",-1,""))))</f>
        <v/>
      </c>
      <c r="P15" s="48">
        <f>IF(COUNTA(G15,H15,J15,K15)=0,"",ROUND(AVERAGE(L15:O15)*100,0))</f>
        <v/>
      </c>
      <c r="Q15" s="49">
        <f>IFERROR(AVERAGEIF(C$2:C$57,C15,P$2:P$57),"N/A")</f>
        <v/>
      </c>
      <c r="R15" t="inlineStr">
        <is>
          <t>Foi identificada oportunidade de adequação documental.</t>
        </is>
      </c>
      <c r="S15" t="inlineStr">
        <is>
          <t>Executar validação com a área responsável</t>
        </is>
      </c>
      <c r="T15" t="inlineStr">
        <is>
          <t>Bruno Costa</t>
        </is>
      </c>
      <c r="U15" s="47" t="n">
        <v>46307</v>
      </c>
      <c r="V15" t="inlineStr">
        <is>
          <t>Em andamento</t>
        </is>
      </c>
    </row>
    <row r="16" ht="15" customHeight="1" s="41">
      <c r="A16" s="4">
        <f>IF(B16="","",ROW()-4)</f>
        <v/>
      </c>
      <c r="B16" s="46" t="n">
        <v>46247</v>
      </c>
      <c r="C16" s="4" t="inlineStr">
        <is>
          <t>Recursos Humanos</t>
        </is>
      </c>
      <c r="D16" s="4" t="inlineStr">
        <is>
          <t>Compras</t>
        </is>
      </c>
      <c r="E16" s="4" t="inlineStr">
        <is>
          <t>Plano de Continuidade</t>
        </is>
      </c>
      <c r="F16" s="4" t="n">
        <v>4</v>
      </c>
      <c r="G16" s="4" t="inlineStr">
        <is>
          <t>SIM</t>
        </is>
      </c>
      <c r="H16" s="4" t="inlineStr">
        <is>
          <t>SIM</t>
        </is>
      </c>
      <c r="I16" s="46" t="n">
        <v>46276</v>
      </c>
      <c r="J16" s="4" t="inlineStr">
        <is>
          <t>NÃO</t>
        </is>
      </c>
      <c r="K16" s="4" t="inlineStr">
        <is>
          <t>Conformidade</t>
        </is>
      </c>
      <c r="L16" s="4">
        <f>IF(G16="","",IF(G16="SIM",1,0))</f>
        <v/>
      </c>
      <c r="M16" s="4">
        <f>IF(H16="","",IF(H16="SIM",1,0))</f>
        <v/>
      </c>
      <c r="N16" s="4">
        <f>IF(J16="","",IF(J16="SIM",1,0))</f>
        <v/>
      </c>
      <c r="O16" s="4">
        <f>IF(K16="","",IF(K16="Conformidade",1,IF(K16="Não Conformidade",0,IF(K16="Não Conformidade Grave",-1,""))))</f>
        <v/>
      </c>
      <c r="P16" s="48">
        <f>IF(COUNTA(G16,H16,J16,K16)=0,"",ROUND(AVERAGE(L16:O16)*100,0))</f>
        <v/>
      </c>
      <c r="Q16" s="49">
        <f>IFERROR(AVERAGEIF(C$2:C$57,C16,P$2:P$57),"N/A")</f>
        <v/>
      </c>
      <c r="R16" t="inlineStr">
        <is>
          <t>Foi identificada oportunidade de adequação documental.</t>
        </is>
      </c>
      <c r="S16" t="inlineStr">
        <is>
          <t>Criar documento e obter aprovação</t>
        </is>
      </c>
      <c r="T16" t="inlineStr">
        <is>
          <t>Carla Souza</t>
        </is>
      </c>
      <c r="U16" s="47" t="n">
        <v>46339</v>
      </c>
      <c r="V16" t="inlineStr">
        <is>
          <t>Aguardando validação</t>
        </is>
      </c>
    </row>
    <row r="17" ht="15" customHeight="1" s="41">
      <c r="A17" s="4">
        <f>IF(B17="","",ROW()-4)</f>
        <v/>
      </c>
      <c r="B17" s="46" t="n">
        <v>46187</v>
      </c>
      <c r="C17" s="4" t="inlineStr">
        <is>
          <t>Financeiro</t>
        </is>
      </c>
      <c r="D17" s="4" t="inlineStr">
        <is>
          <t>Gestão de Incidentes</t>
        </is>
      </c>
      <c r="E17" s="4" t="inlineStr">
        <is>
          <t>Norma de Controle de Acesso</t>
        </is>
      </c>
      <c r="F17" s="4" t="n">
        <v>5</v>
      </c>
      <c r="G17" s="4" t="inlineStr">
        <is>
          <t>SIM</t>
        </is>
      </c>
      <c r="H17" s="4" t="inlineStr">
        <is>
          <t>SIM</t>
        </is>
      </c>
      <c r="I17" s="46" t="n">
        <v>45577</v>
      </c>
      <c r="J17" s="4" t="inlineStr">
        <is>
          <t>NÃO</t>
        </is>
      </c>
      <c r="K17" s="4" t="inlineStr">
        <is>
          <t>Não Conformidade</t>
        </is>
      </c>
      <c r="L17" s="4">
        <f>IF(G17="","",IF(G17="SIM",1,0))</f>
        <v/>
      </c>
      <c r="M17" s="4">
        <f>IF(H17="","",IF(H17="SIM",1,0))</f>
        <v/>
      </c>
      <c r="N17" s="4">
        <f>IF(J17="","",IF(J17="SIM",1,0))</f>
        <v/>
      </c>
      <c r="O17" s="4">
        <f>IF(K17="","",IF(K17="Conformidade",1,IF(K17="Não Conformidade",0,IF(K17="Não Conformidade Grave",-1,""))))</f>
        <v/>
      </c>
      <c r="P17" s="48">
        <f>IF(COUNTA(G17,H17,J17,K17)=0,"",ROUND(AVERAGE(L17:O17)*100,0))</f>
        <v/>
      </c>
      <c r="Q17" s="49">
        <f>IFERROR(AVERAGEIF(C$2:C$57,C17,P$2:P$57),"N/A")</f>
        <v/>
      </c>
      <c r="R17" t="inlineStr">
        <is>
          <t>Foi identificada oportunidade de adequação documental.</t>
        </is>
      </c>
      <c r="S17" t="inlineStr">
        <is>
          <t>Revisar conteúdo e publicar nova versão</t>
        </is>
      </c>
      <c r="T17" t="inlineStr">
        <is>
          <t>Diego Alves</t>
        </is>
      </c>
      <c r="U17" s="47" t="n">
        <v>46279</v>
      </c>
      <c r="V17" t="inlineStr">
        <is>
          <t>Não iniciado</t>
        </is>
      </c>
    </row>
    <row r="18" ht="15" customHeight="1" s="41">
      <c r="A18" s="4">
        <f>IF(B18="","",ROW()-4)</f>
        <v/>
      </c>
      <c r="B18" s="46" t="n">
        <v>46218</v>
      </c>
      <c r="C18" s="4" t="inlineStr">
        <is>
          <t>Atendimento</t>
        </is>
      </c>
      <c r="D18" s="4" t="inlineStr">
        <is>
          <t>Admissão</t>
        </is>
      </c>
      <c r="E18" s="4" t="inlineStr">
        <is>
          <t>Política de Segurança da Informação</t>
        </is>
      </c>
      <c r="F18" s="4" t="n">
        <v>1</v>
      </c>
      <c r="G18" s="4" t="inlineStr">
        <is>
          <t>SIM</t>
        </is>
      </c>
      <c r="H18" s="4" t="inlineStr">
        <is>
          <t>NÃO</t>
        </is>
      </c>
      <c r="I18" s="46" t="n">
        <v>45974</v>
      </c>
      <c r="J18" s="4" t="inlineStr">
        <is>
          <t>SIM</t>
        </is>
      </c>
      <c r="K18" s="4" t="inlineStr">
        <is>
          <t>Não Conformidade Grave</t>
        </is>
      </c>
      <c r="L18" s="4">
        <f>IF(G18="","",IF(G18="SIM",1,0))</f>
        <v/>
      </c>
      <c r="M18" s="4">
        <f>IF(H18="","",IF(H18="SIM",1,0))</f>
        <v/>
      </c>
      <c r="N18" s="4">
        <f>IF(J18="","",IF(J18="SIM",1,0))</f>
        <v/>
      </c>
      <c r="O18" s="4">
        <f>IF(K18="","",IF(K18="Conformidade",1,IF(K18="Não Conformidade",0,IF(K18="Não Conformidade Grave",-1,""))))</f>
        <v/>
      </c>
      <c r="P18" s="48">
        <f>IF(COUNTA(G18,H18,J18,K18)=0,"",ROUND(AVERAGE(L18:O18)*100,0))</f>
        <v/>
      </c>
      <c r="Q18" s="49">
        <f>IFERROR(AVERAGEIF(C$2:C$57,C18,P$2:P$57),"N/A")</f>
        <v/>
      </c>
      <c r="R18" t="inlineStr">
        <is>
          <t>Foi identificada oportunidade de adequação documental.</t>
        </is>
      </c>
      <c r="S18" t="inlineStr">
        <is>
          <t>Adequar ao padrão corporativo</t>
        </is>
      </c>
      <c r="T18" t="inlineStr">
        <is>
          <t>Fernanda Rocha</t>
        </is>
      </c>
      <c r="U18" s="47" t="n">
        <v>46310</v>
      </c>
      <c r="V18" t="inlineStr">
        <is>
          <t>Em andamento</t>
        </is>
      </c>
    </row>
    <row r="19" ht="15" customHeight="1" s="41">
      <c r="A19" s="4">
        <f>IF(B19="","",ROW()-4)</f>
        <v/>
      </c>
      <c r="B19" s="46" t="n">
        <v>46250</v>
      </c>
      <c r="C19" s="4" t="inlineStr">
        <is>
          <t>Tecnologia</t>
        </is>
      </c>
      <c r="D19" s="4" t="inlineStr">
        <is>
          <t>Gestão de Contratos</t>
        </is>
      </c>
      <c r="E19" s="4" t="inlineStr">
        <is>
          <t>Fluxo de Aprovação de Compras</t>
        </is>
      </c>
      <c r="F19" s="4" t="n">
        <v>2</v>
      </c>
      <c r="G19" s="4" t="inlineStr">
        <is>
          <t>SIM</t>
        </is>
      </c>
      <c r="H19" s="4" t="inlineStr">
        <is>
          <t>NÃO</t>
        </is>
      </c>
      <c r="I19" s="46" t="n">
        <v>46370</v>
      </c>
      <c r="J19" s="4" t="inlineStr">
        <is>
          <t>SIM</t>
        </is>
      </c>
      <c r="K19" s="4" t="inlineStr">
        <is>
          <t>Conformidade</t>
        </is>
      </c>
      <c r="L19" s="4">
        <f>IF(G19="","",IF(G19="SIM",1,0))</f>
        <v/>
      </c>
      <c r="M19" s="4">
        <f>IF(H19="","",IF(H19="SIM",1,0))</f>
        <v/>
      </c>
      <c r="N19" s="4">
        <f>IF(J19="","",IF(J19="SIM",1,0))</f>
        <v/>
      </c>
      <c r="O19" s="4">
        <f>IF(K19="","",IF(K19="Conformidade",1,IF(K19="Não Conformidade",0,IF(K19="Não Conformidade Grave",-1,""))))</f>
        <v/>
      </c>
      <c r="P19" s="48">
        <f>IF(COUNTA(G19,H19,J19,K19)=0,"",ROUND(AVERAGE(L19:O19)*100,0))</f>
        <v/>
      </c>
      <c r="Q19" s="49">
        <f>IFERROR(AVERAGEIF(C$2:C$57,C19,P$2:P$57),"N/A")</f>
        <v/>
      </c>
      <c r="R19" t="inlineStr">
        <is>
          <t>Foi identificada oportunidade de adequação documental.</t>
        </is>
      </c>
      <c r="S19" t="inlineStr">
        <is>
          <t>Executar validação com a área responsável</t>
        </is>
      </c>
      <c r="T19" t="inlineStr">
        <is>
          <t>Gabriel Martins</t>
        </is>
      </c>
      <c r="U19" s="47" t="n">
        <v>46342</v>
      </c>
      <c r="V19" t="inlineStr">
        <is>
          <t>Aguardando validação</t>
        </is>
      </c>
    </row>
    <row r="20" ht="15" customHeight="1" s="41">
      <c r="A20" s="4">
        <f>IF(B20="","",ROW()-4)</f>
        <v/>
      </c>
      <c r="B20" s="46" t="n">
        <v>46190</v>
      </c>
      <c r="C20" s="4" t="inlineStr">
        <is>
          <t>PROCESSOS</t>
        </is>
      </c>
      <c r="D20" s="4" t="inlineStr">
        <is>
          <t>Controle de Acesso</t>
        </is>
      </c>
      <c r="E20" s="4" t="inlineStr">
        <is>
          <t>Checklist de Auditoria</t>
        </is>
      </c>
      <c r="F20" s="4" t="n">
        <v>3</v>
      </c>
      <c r="G20" s="4" t="inlineStr">
        <is>
          <t>SIM</t>
        </is>
      </c>
      <c r="H20" s="4" t="inlineStr">
        <is>
          <t>SIM</t>
        </is>
      </c>
      <c r="I20" s="46" t="n">
        <v>45306</v>
      </c>
      <c r="J20" s="4" t="inlineStr">
        <is>
          <t>NÃO</t>
        </is>
      </c>
      <c r="K20" s="4" t="inlineStr">
        <is>
          <t>Não Conformidade</t>
        </is>
      </c>
      <c r="L20" s="4">
        <f>IF(G20="","",IF(G20="SIM",1,0))</f>
        <v/>
      </c>
      <c r="M20" s="4">
        <f>IF(H20="","",IF(H20="SIM",1,0))</f>
        <v/>
      </c>
      <c r="N20" s="4">
        <f>IF(J20="","",IF(J20="SIM",1,0))</f>
        <v/>
      </c>
      <c r="O20" s="4">
        <f>IF(K20="","",IF(K20="Conformidade",1,IF(K20="Não Conformidade",0,IF(K20="Não Conformidade Grave",-1,""))))</f>
        <v/>
      </c>
      <c r="P20" s="48">
        <f>IF(COUNTA(G20,H20,J20,K20)=0,"",ROUND(AVERAGE(L20:O20)*100,0))</f>
        <v/>
      </c>
      <c r="Q20" s="49">
        <f>IFERROR(AVERAGEIF(C$2:C$57,C20,P$2:P$57),"N/A")</f>
        <v/>
      </c>
      <c r="R20" t="inlineStr">
        <is>
          <t>Foi identificada oportunidade de adequação documental.</t>
        </is>
      </c>
      <c r="S20" t="inlineStr">
        <is>
          <t>Criar documento e obter aprovação</t>
        </is>
      </c>
      <c r="T20" t="inlineStr">
        <is>
          <t>Ana Lima</t>
        </is>
      </c>
      <c r="U20" s="47" t="n">
        <v>46282</v>
      </c>
      <c r="V20" t="inlineStr">
        <is>
          <t>Não iniciado</t>
        </is>
      </c>
    </row>
    <row r="21" ht="15.75" customHeight="1" s="41">
      <c r="A21" s="4">
        <f>IF(B21="","",ROW()-4)</f>
        <v/>
      </c>
      <c r="B21" s="46" t="n">
        <v>46221</v>
      </c>
      <c r="C21" s="4" t="inlineStr">
        <is>
          <t>Qualidade</t>
        </is>
      </c>
      <c r="D21" s="4" t="inlineStr">
        <is>
          <t>Auditoria de Processos</t>
        </is>
      </c>
      <c r="E21" s="4" t="inlineStr">
        <is>
          <t>Plano de Continuidade</t>
        </is>
      </c>
      <c r="F21" s="4" t="n">
        <v>4</v>
      </c>
      <c r="G21" s="4" t="inlineStr">
        <is>
          <t>NÃO</t>
        </is>
      </c>
      <c r="H21" s="4" t="inlineStr">
        <is>
          <t>SIM</t>
        </is>
      </c>
      <c r="I21" s="46" t="n">
        <v>45704</v>
      </c>
      <c r="J21" s="4" t="inlineStr">
        <is>
          <t>SIM</t>
        </is>
      </c>
      <c r="K21" s="4" t="inlineStr">
        <is>
          <t>Conformidade</t>
        </is>
      </c>
      <c r="L21" s="4">
        <f>IF(G21="","",IF(G21="SIM",1,0))</f>
        <v/>
      </c>
      <c r="M21" s="4">
        <f>IF(H21="","",IF(H21="SIM",1,0))</f>
        <v/>
      </c>
      <c r="N21" s="4">
        <f>IF(J21="","",IF(J21="SIM",1,0))</f>
        <v/>
      </c>
      <c r="O21" s="4">
        <f>IF(K21="","",IF(K21="Conformidade",1,IF(K21="Não Conformidade",0,IF(K21="Não Conformidade Grave",-1,""))))</f>
        <v/>
      </c>
      <c r="P21" s="48">
        <f>IF(COUNTA(G21,H21,J21,K21)=0,"",ROUND(AVERAGE(L21:O21)*100,0))</f>
        <v/>
      </c>
      <c r="Q21" s="49">
        <f>IFERROR(AVERAGEIF(C$2:C$57,C21,P$2:P$57),"N/A")</f>
        <v/>
      </c>
      <c r="R21" t="inlineStr">
        <is>
          <t>Foi identificada oportunidade de adequação documental.</t>
        </is>
      </c>
      <c r="S21" t="inlineStr">
        <is>
          <t>Revisar conteúdo e publicar nova versão</t>
        </is>
      </c>
      <c r="T21" t="inlineStr">
        <is>
          <t>Bruno Costa</t>
        </is>
      </c>
      <c r="U21" s="47" t="n">
        <v>46313</v>
      </c>
      <c r="V21" t="inlineStr">
        <is>
          <t>Em andamento</t>
        </is>
      </c>
    </row>
    <row r="22" ht="15.75" customHeight="1" s="41">
      <c r="A22" s="4">
        <f>IF(B22="","",ROW()-4)</f>
        <v/>
      </c>
      <c r="B22" s="46" t="n">
        <v>46253</v>
      </c>
      <c r="C22" s="4" t="inlineStr">
        <is>
          <t>Recursos Humanos</t>
        </is>
      </c>
      <c r="D22" s="4" t="inlineStr">
        <is>
          <t>Atendimento ao Cliente</t>
        </is>
      </c>
      <c r="E22" s="4" t="inlineStr">
        <is>
          <t>Norma de Controle de Acesso</t>
        </is>
      </c>
      <c r="F22" s="4" t="n">
        <v>5</v>
      </c>
      <c r="G22" s="4" t="inlineStr">
        <is>
          <t>NÃO</t>
        </is>
      </c>
      <c r="H22" s="4" t="inlineStr">
        <is>
          <t>SIM</t>
        </is>
      </c>
      <c r="I22" s="46" t="n">
        <v>46098</v>
      </c>
      <c r="J22" s="4" t="inlineStr">
        <is>
          <t>SIM</t>
        </is>
      </c>
      <c r="K22" s="4" t="inlineStr">
        <is>
          <t>Conformidade</t>
        </is>
      </c>
      <c r="L22" s="4">
        <f>IF(G22="","",IF(G22="SIM",1,0))</f>
        <v/>
      </c>
      <c r="M22" s="4">
        <f>IF(H22="","",IF(H22="SIM",1,0))</f>
        <v/>
      </c>
      <c r="N22" s="4">
        <f>IF(J22="","",IF(J22="SIM",1,0))</f>
        <v/>
      </c>
      <c r="O22" s="4">
        <f>IF(K22="","",IF(K22="Conformidade",1,IF(K22="Não Conformidade",0,IF(K22="Não Conformidade Grave",-1,""))))</f>
        <v/>
      </c>
      <c r="P22" s="48">
        <f>IF(COUNTA(G22,H22,J22,K22)=0,"",ROUND(AVERAGE(L22:O22)*100,0))</f>
        <v/>
      </c>
      <c r="Q22" s="49">
        <f>IFERROR(AVERAGEIF(C$2:C$57,C22,P$2:P$57),"N/A")</f>
        <v/>
      </c>
      <c r="R22" t="inlineStr">
        <is>
          <t>Foi identificada oportunidade de adequação documental.</t>
        </is>
      </c>
      <c r="S22" t="inlineStr">
        <is>
          <t>Adequar ao padrão corporativo</t>
        </is>
      </c>
      <c r="T22" t="inlineStr">
        <is>
          <t>Carla Souza</t>
        </is>
      </c>
      <c r="U22" s="47" t="n">
        <v>46345</v>
      </c>
      <c r="V22" t="inlineStr">
        <is>
          <t>Aguardando validação</t>
        </is>
      </c>
    </row>
    <row r="23" ht="15.75" customHeight="1" s="41">
      <c r="A23" s="4">
        <f>IF(B23="","",ROW()-4)</f>
        <v/>
      </c>
      <c r="B23" s="46" t="n">
        <v>46193</v>
      </c>
      <c r="C23" s="4" t="inlineStr">
        <is>
          <t>Financeiro</t>
        </is>
      </c>
      <c r="D23" s="4" t="inlineStr">
        <is>
          <t>Contas a Pagar</t>
        </is>
      </c>
      <c r="E23" s="4" t="inlineStr">
        <is>
          <t>Política de Segurança da Informação</t>
        </is>
      </c>
      <c r="F23" s="4" t="n">
        <v>1</v>
      </c>
      <c r="G23" s="4" t="inlineStr">
        <is>
          <t>SIM</t>
        </is>
      </c>
      <c r="H23" s="4" t="inlineStr">
        <is>
          <t>NÃO</t>
        </is>
      </c>
      <c r="I23" s="46" t="n">
        <v>45400</v>
      </c>
      <c r="J23" s="4" t="inlineStr">
        <is>
          <t>SIM</t>
        </is>
      </c>
      <c r="K23" s="4" t="inlineStr">
        <is>
          <t>Não Conformidade</t>
        </is>
      </c>
      <c r="L23" s="4">
        <f>IF(G23="","",IF(G23="SIM",1,0))</f>
        <v/>
      </c>
      <c r="M23" s="4">
        <f>IF(H23="","",IF(H23="SIM",1,0))</f>
        <v/>
      </c>
      <c r="N23" s="4">
        <f>IF(J23="","",IF(J23="SIM",1,0))</f>
        <v/>
      </c>
      <c r="O23" s="4">
        <f>IF(K23="","",IF(K23="Conformidade",1,IF(K23="Não Conformidade",0,IF(K23="Não Conformidade Grave",-1,""))))</f>
        <v/>
      </c>
      <c r="P23" s="48">
        <f>IF(COUNTA(G23,H23,J23,K23)=0,"",ROUND(AVERAGE(L23:O23)*100,0))</f>
        <v/>
      </c>
      <c r="Q23" s="49">
        <f>IFERROR(AVERAGEIF(C$2:C$57,C23,P$2:P$57),"N/A")</f>
        <v/>
      </c>
      <c r="R23" t="inlineStr">
        <is>
          <t>Foi identificada oportunidade de adequação documental.</t>
        </is>
      </c>
      <c r="S23" t="inlineStr">
        <is>
          <t>Executar validação com a área responsável</t>
        </is>
      </c>
      <c r="T23" t="inlineStr">
        <is>
          <t>Diego Alves</t>
        </is>
      </c>
      <c r="U23" s="47" t="n">
        <v>46285</v>
      </c>
      <c r="V23" t="inlineStr">
        <is>
          <t>Não iniciado</t>
        </is>
      </c>
    </row>
    <row r="24" ht="15.75" customHeight="1" s="41">
      <c r="A24" s="4">
        <f>IF(B24="","",ROW()-4)</f>
        <v/>
      </c>
      <c r="B24" s="46" t="n">
        <v>46224</v>
      </c>
      <c r="C24" s="4" t="inlineStr">
        <is>
          <t>Atendimento</t>
        </is>
      </c>
      <c r="D24" s="4" t="inlineStr">
        <is>
          <t>Treinamento Interno</t>
        </is>
      </c>
      <c r="E24" s="4" t="inlineStr">
        <is>
          <t>Fluxo de Aprovação de Compras</t>
        </is>
      </c>
      <c r="F24" s="4" t="n">
        <v>2</v>
      </c>
      <c r="G24" s="4" t="inlineStr">
        <is>
          <t>SIM</t>
        </is>
      </c>
      <c r="H24" s="4" t="inlineStr">
        <is>
          <t>SIM</t>
        </is>
      </c>
      <c r="I24" s="46" t="n">
        <v>45796</v>
      </c>
      <c r="J24" s="4" t="inlineStr">
        <is>
          <t>NÃO</t>
        </is>
      </c>
      <c r="K24" s="4" t="inlineStr">
        <is>
          <t>Conformidade</t>
        </is>
      </c>
      <c r="L24" s="4">
        <f>IF(G24="","",IF(G24="SIM",1,0))</f>
        <v/>
      </c>
      <c r="M24" s="4">
        <f>IF(H24="","",IF(H24="SIM",1,0))</f>
        <v/>
      </c>
      <c r="N24" s="4">
        <f>IF(J24="","",IF(J24="SIM",1,0))</f>
        <v/>
      </c>
      <c r="O24" s="4">
        <f>IF(K24="","",IF(K24="Conformidade",1,IF(K24="Não Conformidade",0,IF(K24="Não Conformidade Grave",-1,""))))</f>
        <v/>
      </c>
      <c r="P24" s="48">
        <f>IF(COUNTA(G24,H24,J24,K24)=0,"",ROUND(AVERAGE(L24:O24)*100,0))</f>
        <v/>
      </c>
      <c r="Q24" s="49">
        <f>IFERROR(AVERAGEIF(C$2:C$57,C24,P$2:P$57),"N/A")</f>
        <v/>
      </c>
      <c r="R24" t="inlineStr">
        <is>
          <t>Foi identificada oportunidade de adequação documental.</t>
        </is>
      </c>
      <c r="S24" t="inlineStr">
        <is>
          <t>Criar documento e obter aprovação</t>
        </is>
      </c>
      <c r="T24" t="inlineStr">
        <is>
          <t>Fernanda Rocha</t>
        </is>
      </c>
      <c r="U24" s="47" t="n">
        <v>46316</v>
      </c>
      <c r="V24" t="inlineStr">
        <is>
          <t>Em andamento</t>
        </is>
      </c>
    </row>
    <row r="25" ht="15.75" customHeight="1" s="41">
      <c r="A25" s="4">
        <f>IF(B25="","",ROW()-4)</f>
        <v/>
      </c>
      <c r="B25" s="46" t="n">
        <v>46256</v>
      </c>
      <c r="C25" s="4" t="inlineStr">
        <is>
          <t>Tecnologia</t>
        </is>
      </c>
      <c r="D25" s="4" t="inlineStr">
        <is>
          <t>Faturamento</t>
        </is>
      </c>
      <c r="E25" s="4" t="inlineStr">
        <is>
          <t>Checklist de Auditoria</t>
        </is>
      </c>
      <c r="F25" s="4" t="n">
        <v>3</v>
      </c>
      <c r="G25" s="4" t="inlineStr">
        <is>
          <t>SIM</t>
        </is>
      </c>
      <c r="H25" s="4" t="inlineStr">
        <is>
          <t>SIM</t>
        </is>
      </c>
      <c r="I25" s="46" t="n">
        <v>46193</v>
      </c>
      <c r="J25" s="4" t="inlineStr">
        <is>
          <t>SIM</t>
        </is>
      </c>
      <c r="K25" s="4" t="inlineStr">
        <is>
          <t>Conformidade</t>
        </is>
      </c>
      <c r="L25" s="4">
        <f>IF(G25="","",IF(G25="SIM",1,0))</f>
        <v/>
      </c>
      <c r="M25" s="4">
        <f>IF(H25="","",IF(H25="SIM",1,0))</f>
        <v/>
      </c>
      <c r="N25" s="4">
        <f>IF(J25="","",IF(J25="SIM",1,0))</f>
        <v/>
      </c>
      <c r="O25" s="4">
        <f>IF(K25="","",IF(K25="Conformidade",1,IF(K25="Não Conformidade",0,IF(K25="Não Conformidade Grave",-1,""))))</f>
        <v/>
      </c>
      <c r="P25" s="48">
        <f>IF(COUNTA(G25,H25,J25,K25)=0,"",ROUND(AVERAGE(L25:O25)*100,0))</f>
        <v/>
      </c>
      <c r="Q25" s="49">
        <f>IFERROR(AVERAGEIF(C$2:C$57,C25,P$2:P$57),"N/A")</f>
        <v/>
      </c>
      <c r="R25" t="inlineStr">
        <is>
          <t>Documento aderente aos critérios avaliados.</t>
        </is>
      </c>
      <c r="S25" t="inlineStr">
        <is>
          <t>Manter revisão periódica.</t>
        </is>
      </c>
      <c r="T25" t="inlineStr">
        <is>
          <t>Gabriel Martins</t>
        </is>
      </c>
      <c r="U25" s="47" t="n">
        <v>46348</v>
      </c>
      <c r="V25" t="inlineStr">
        <is>
          <t>Concluído</t>
        </is>
      </c>
    </row>
    <row r="26" ht="15.75" customHeight="1" s="41">
      <c r="A26" s="4">
        <f>IF(B26="","",ROW()-4)</f>
        <v/>
      </c>
      <c r="B26" s="46" t="n">
        <v>46196</v>
      </c>
      <c r="C26" s="4" t="inlineStr">
        <is>
          <t>PROCESSOS</t>
        </is>
      </c>
      <c r="D26" s="4" t="inlineStr">
        <is>
          <t>Compras</t>
        </is>
      </c>
      <c r="E26" s="4" t="inlineStr">
        <is>
          <t>Plano de Continuidade</t>
        </is>
      </c>
      <c r="F26" s="4" t="n">
        <v>4</v>
      </c>
      <c r="G26" s="4" t="inlineStr">
        <is>
          <t>SIM</t>
        </is>
      </c>
      <c r="H26" s="4" t="inlineStr">
        <is>
          <t>SIM</t>
        </is>
      </c>
      <c r="I26" s="46" t="n">
        <v>45494</v>
      </c>
      <c r="J26" s="4" t="inlineStr">
        <is>
          <t>NÃO</t>
        </is>
      </c>
      <c r="K26" s="4" t="inlineStr">
        <is>
          <t>Não Conformidade</t>
        </is>
      </c>
      <c r="L26" s="4">
        <f>IF(G26="","",IF(G26="SIM",1,0))</f>
        <v/>
      </c>
      <c r="M26" s="4">
        <f>IF(H26="","",IF(H26="SIM",1,0))</f>
        <v/>
      </c>
      <c r="N26" s="4">
        <f>IF(J26="","",IF(J26="SIM",1,0))</f>
        <v/>
      </c>
      <c r="O26" s="4">
        <f>IF(K26="","",IF(K26="Conformidade",1,IF(K26="Não Conformidade",0,IF(K26="Não Conformidade Grave",-1,""))))</f>
        <v/>
      </c>
      <c r="P26" s="48">
        <f>IF(COUNTA(G26,H26,J26,K26)=0,"",ROUND(AVERAGE(L26:O26)*100,0))</f>
        <v/>
      </c>
      <c r="Q26" s="49">
        <f>IFERROR(AVERAGEIF(C$2:C$57,C26,P$2:P$57),"N/A")</f>
        <v/>
      </c>
      <c r="R26" t="inlineStr">
        <is>
          <t>Foi identificada oportunidade de adequação documental.</t>
        </is>
      </c>
      <c r="S26" t="inlineStr">
        <is>
          <t>Adequar ao padrão corporativo</t>
        </is>
      </c>
      <c r="T26" t="inlineStr">
        <is>
          <t>Ana Lima</t>
        </is>
      </c>
      <c r="U26" s="47" t="n">
        <v>46288</v>
      </c>
      <c r="V26" t="inlineStr">
        <is>
          <t>Não iniciado</t>
        </is>
      </c>
    </row>
    <row r="27" ht="15.75" customHeight="1" s="41">
      <c r="A27" s="4">
        <f>IF(B27="","",ROW()-4)</f>
        <v/>
      </c>
      <c r="B27" s="46" t="n">
        <v>46227</v>
      </c>
      <c r="C27" s="4" t="inlineStr">
        <is>
          <t>Qualidade</t>
        </is>
      </c>
      <c r="D27" s="4" t="inlineStr">
        <is>
          <t>Gestão de Incidentes</t>
        </is>
      </c>
      <c r="E27" s="4" t="inlineStr">
        <is>
          <t>Norma de Controle de Acesso</t>
        </is>
      </c>
      <c r="F27" s="4" t="n">
        <v>5</v>
      </c>
      <c r="G27" s="4" t="inlineStr">
        <is>
          <t>SIM</t>
        </is>
      </c>
      <c r="H27" s="4" t="inlineStr">
        <is>
          <t>SIM</t>
        </is>
      </c>
      <c r="I27" s="46" t="n">
        <v>45891</v>
      </c>
      <c r="J27" s="4" t="inlineStr">
        <is>
          <t>SIM</t>
        </is>
      </c>
      <c r="K27" s="4" t="inlineStr">
        <is>
          <t>Conformidade</t>
        </is>
      </c>
      <c r="L27" s="4">
        <f>IF(G27="","",IF(G27="SIM",1,0))</f>
        <v/>
      </c>
      <c r="M27" s="4">
        <f>IF(H27="","",IF(H27="SIM",1,0))</f>
        <v/>
      </c>
      <c r="N27" s="4">
        <f>IF(J27="","",IF(J27="SIM",1,0))</f>
        <v/>
      </c>
      <c r="O27" s="4">
        <f>IF(K27="","",IF(K27="Conformidade",1,IF(K27="Não Conformidade",0,IF(K27="Não Conformidade Grave",-1,""))))</f>
        <v/>
      </c>
      <c r="P27" s="48">
        <f>IF(COUNTA(G27,H27,J27,K27)=0,"",ROUND(AVERAGE(L27:O27)*100,0))</f>
        <v/>
      </c>
      <c r="Q27" s="49">
        <f>IFERROR(AVERAGEIF(C$2:C$57,C27,P$2:P$57),"N/A")</f>
        <v/>
      </c>
      <c r="R27" t="inlineStr">
        <is>
          <t>Documento aderente aos critérios avaliados.</t>
        </is>
      </c>
      <c r="S27" t="inlineStr">
        <is>
          <t>Manter revisão periódica.</t>
        </is>
      </c>
      <c r="T27" t="inlineStr">
        <is>
          <t>Bruno Costa</t>
        </is>
      </c>
      <c r="U27" s="47" t="n">
        <v>46319</v>
      </c>
      <c r="V27" t="inlineStr">
        <is>
          <t>Concluído</t>
        </is>
      </c>
    </row>
    <row r="28" ht="15.75" customHeight="1" s="41">
      <c r="A28" s="4">
        <f>IF(B28="","",ROW()-4)</f>
        <v/>
      </c>
      <c r="B28" s="46" t="n">
        <v>46239</v>
      </c>
      <c r="C28" s="4" t="inlineStr">
        <is>
          <t>Recursos Humanos</t>
        </is>
      </c>
      <c r="D28" s="4" t="inlineStr">
        <is>
          <t>Admissão</t>
        </is>
      </c>
      <c r="E28" s="4" t="inlineStr">
        <is>
          <t>Política de Segurança da Informação</t>
        </is>
      </c>
      <c r="F28" s="4" t="n">
        <v>1</v>
      </c>
      <c r="G28" s="4" t="inlineStr">
        <is>
          <t>SIM</t>
        </is>
      </c>
      <c r="H28" s="4" t="inlineStr">
        <is>
          <t>NÃO</t>
        </is>
      </c>
      <c r="I28" s="46" t="n">
        <v>46288</v>
      </c>
      <c r="J28" s="4" t="inlineStr">
        <is>
          <t>NÃO</t>
        </is>
      </c>
      <c r="K28" s="4" t="inlineStr">
        <is>
          <t>Não Conformidade Grave</t>
        </is>
      </c>
      <c r="L28" s="4">
        <f>IF(G28="","",IF(G28="SIM",1,0))</f>
        <v/>
      </c>
      <c r="M28" s="4">
        <f>IF(H28="","",IF(H28="SIM",1,0))</f>
        <v/>
      </c>
      <c r="N28" s="4">
        <f>IF(J28="","",IF(J28="SIM",1,0))</f>
        <v/>
      </c>
      <c r="O28" s="4">
        <f>IF(K28="","",IF(K28="Conformidade",1,IF(K28="Não Conformidade",0,IF(K28="Não Conformidade Grave",-1,""))))</f>
        <v/>
      </c>
      <c r="P28" s="48">
        <f>IF(COUNTA(G28,H28,J28,K28)=0,"",ROUND(AVERAGE(L28:O28)*100,0))</f>
        <v/>
      </c>
      <c r="Q28" s="49">
        <f>IFERROR(AVERAGEIF(C$2:C$57,C28,P$2:P$57),"N/A")</f>
        <v/>
      </c>
      <c r="R28" t="inlineStr">
        <is>
          <t>Foi identificada oportunidade de adequação documental.</t>
        </is>
      </c>
      <c r="S28" t="inlineStr">
        <is>
          <t>Criar documento e obter aprovação</t>
        </is>
      </c>
      <c r="T28" t="inlineStr">
        <is>
          <t>Carla Souza</t>
        </is>
      </c>
      <c r="U28" s="47" t="n">
        <v>46331</v>
      </c>
      <c r="V28" t="inlineStr">
        <is>
          <t>Aguardando validação</t>
        </is>
      </c>
    </row>
    <row r="29" ht="15.75" customHeight="1" s="41">
      <c r="A29" s="4">
        <f>IF(B29="","",ROW()-4)</f>
        <v/>
      </c>
      <c r="B29" s="46" t="n">
        <v>46179</v>
      </c>
      <c r="C29" s="4" t="inlineStr">
        <is>
          <t>Financeiro</t>
        </is>
      </c>
      <c r="D29" s="4" t="inlineStr">
        <is>
          <t>Gestão de Contratos</t>
        </is>
      </c>
      <c r="E29" s="4" t="inlineStr">
        <is>
          <t>Fluxo de Aprovação de Compras</t>
        </is>
      </c>
      <c r="F29" s="4" t="n">
        <v>2</v>
      </c>
      <c r="G29" s="4" t="inlineStr">
        <is>
          <t>NÃO</t>
        </is>
      </c>
      <c r="H29" s="4" t="inlineStr">
        <is>
          <t>SIM</t>
        </is>
      </c>
      <c r="I29" s="46" t="n">
        <v>45589</v>
      </c>
      <c r="J29" s="4" t="inlineStr">
        <is>
          <t>SIM</t>
        </is>
      </c>
      <c r="K29" s="4" t="inlineStr">
        <is>
          <t>Não Conformidade</t>
        </is>
      </c>
      <c r="L29" s="4">
        <f>IF(G29="","",IF(G29="SIM",1,0))</f>
        <v/>
      </c>
      <c r="M29" s="4">
        <f>IF(H29="","",IF(H29="SIM",1,0))</f>
        <v/>
      </c>
      <c r="N29" s="4">
        <f>IF(J29="","",IF(J29="SIM",1,0))</f>
        <v/>
      </c>
      <c r="O29" s="4">
        <f>IF(K29="","",IF(K29="Conformidade",1,IF(K29="Não Conformidade",0,IF(K29="Não Conformidade Grave",-1,""))))</f>
        <v/>
      </c>
      <c r="P29" s="48">
        <f>IF(COUNTA(G29,H29,J29,K29)=0,"",ROUND(AVERAGE(L29:O29)*100,0))</f>
        <v/>
      </c>
      <c r="Q29" s="49">
        <f>IFERROR(AVERAGEIF(C$2:C$57,C29,P$2:P$57),"N/A")</f>
        <v/>
      </c>
      <c r="R29" t="inlineStr">
        <is>
          <t>Foi identificada oportunidade de adequação documental.</t>
        </is>
      </c>
      <c r="S29" t="inlineStr">
        <is>
          <t>Revisar conteúdo e publicar nova versão</t>
        </is>
      </c>
      <c r="T29" t="inlineStr">
        <is>
          <t>Diego Alves</t>
        </is>
      </c>
      <c r="U29" s="47" t="n">
        <v>46271</v>
      </c>
      <c r="V29" t="inlineStr">
        <is>
          <t>Não iniciado</t>
        </is>
      </c>
    </row>
    <row r="30" ht="15.75" customHeight="1" s="41">
      <c r="A30" s="4">
        <f>IF(B30="","",ROW()-4)</f>
        <v/>
      </c>
      <c r="B30" s="46" t="n">
        <v>46210</v>
      </c>
      <c r="C30" s="4" t="inlineStr">
        <is>
          <t>Atendimento</t>
        </is>
      </c>
      <c r="D30" s="4" t="inlineStr">
        <is>
          <t>Controle de Acesso</t>
        </is>
      </c>
      <c r="E30" s="4" t="inlineStr">
        <is>
          <t>Checklist de Auditoria</t>
        </is>
      </c>
      <c r="F30" s="4" t="n">
        <v>3</v>
      </c>
      <c r="G30" s="4" t="inlineStr">
        <is>
          <t>SIM</t>
        </is>
      </c>
      <c r="H30" s="4" t="inlineStr">
        <is>
          <t>NÃO</t>
        </is>
      </c>
      <c r="I30" s="46" t="n">
        <v>45986</v>
      </c>
      <c r="J30" s="4" t="inlineStr">
        <is>
          <t>SIM</t>
        </is>
      </c>
      <c r="K30" s="4" t="inlineStr">
        <is>
          <t>Conformidade</t>
        </is>
      </c>
      <c r="L30" s="4">
        <f>IF(G30="","",IF(G30="SIM",1,0))</f>
        <v/>
      </c>
      <c r="M30" s="4">
        <f>IF(H30="","",IF(H30="SIM",1,0))</f>
        <v/>
      </c>
      <c r="N30" s="4">
        <f>IF(J30="","",IF(J30="SIM",1,0))</f>
        <v/>
      </c>
      <c r="O30" s="4">
        <f>IF(K30="","",IF(K30="Conformidade",1,IF(K30="Não Conformidade",0,IF(K30="Não Conformidade Grave",-1,""))))</f>
        <v/>
      </c>
      <c r="P30" s="48">
        <f>IF(COUNTA(G30,H30,J30,K30)=0,"",ROUND(AVERAGE(L30:O30)*100,0))</f>
        <v/>
      </c>
      <c r="Q30" s="49">
        <f>IFERROR(AVERAGEIF(C$2:C$57,C30,P$2:P$57),"N/A")</f>
        <v/>
      </c>
      <c r="R30" t="inlineStr">
        <is>
          <t>Foi identificada oportunidade de adequação documental.</t>
        </is>
      </c>
      <c r="S30" t="inlineStr">
        <is>
          <t>Adequar ao padrão corporativo</t>
        </is>
      </c>
      <c r="T30" t="inlineStr">
        <is>
          <t>Fernanda Rocha</t>
        </is>
      </c>
      <c r="U30" s="47" t="n">
        <v>46302</v>
      </c>
      <c r="V30" t="inlineStr">
        <is>
          <t>Em andamento</t>
        </is>
      </c>
    </row>
    <row r="31" ht="15.75" customHeight="1" s="41">
      <c r="A31" s="4">
        <f>IF(B31="","",ROW()-4)</f>
        <v/>
      </c>
      <c r="B31" s="46" t="n">
        <v>46242</v>
      </c>
      <c r="C31" s="4" t="inlineStr">
        <is>
          <t>Tecnologia</t>
        </is>
      </c>
      <c r="D31" s="4" t="inlineStr">
        <is>
          <t>Auditoria de Processos</t>
        </is>
      </c>
      <c r="E31" s="4" t="inlineStr">
        <is>
          <t>Plano de Continuidade</t>
        </is>
      </c>
      <c r="F31" s="4" t="n">
        <v>4</v>
      </c>
      <c r="G31" s="4" t="inlineStr">
        <is>
          <t>SIM</t>
        </is>
      </c>
      <c r="H31" s="4" t="inlineStr">
        <is>
          <t>SIM</t>
        </is>
      </c>
      <c r="I31" s="46" t="n">
        <v>46382</v>
      </c>
      <c r="J31" s="4" t="inlineStr">
        <is>
          <t>SIM</t>
        </is>
      </c>
      <c r="K31" s="4" t="inlineStr">
        <is>
          <t>Conformidade</t>
        </is>
      </c>
      <c r="L31" s="4">
        <f>IF(G31="","",IF(G31="SIM",1,0))</f>
        <v/>
      </c>
      <c r="M31" s="4">
        <f>IF(H31="","",IF(H31="SIM",1,0))</f>
        <v/>
      </c>
      <c r="N31" s="4">
        <f>IF(J31="","",IF(J31="SIM",1,0))</f>
        <v/>
      </c>
      <c r="O31" s="4">
        <f>IF(K31="","",IF(K31="Conformidade",1,IF(K31="Não Conformidade",0,IF(K31="Não Conformidade Grave",-1,""))))</f>
        <v/>
      </c>
      <c r="P31" s="48">
        <f>IF(COUNTA(G31,H31,J31,K31)=0,"",ROUND(AVERAGE(L31:O31)*100,0))</f>
        <v/>
      </c>
      <c r="Q31" s="49">
        <f>IFERROR(AVERAGEIF(C$2:C$57,C31,P$2:P$57),"N/A")</f>
        <v/>
      </c>
      <c r="R31" t="inlineStr">
        <is>
          <t>Documento aderente aos critérios avaliados.</t>
        </is>
      </c>
      <c r="S31" t="inlineStr">
        <is>
          <t>Manter revisão periódica.</t>
        </is>
      </c>
      <c r="T31" t="inlineStr">
        <is>
          <t>Gabriel Martins</t>
        </is>
      </c>
      <c r="U31" s="47" t="n">
        <v>46334</v>
      </c>
      <c r="V31" t="inlineStr">
        <is>
          <t>Concluído</t>
        </is>
      </c>
    </row>
    <row r="32" ht="15.75" customHeight="1" s="41">
      <c r="A32" s="4">
        <f>IF(B32="","",ROW()-4)</f>
        <v/>
      </c>
      <c r="B32" s="46" t="n">
        <v>46182</v>
      </c>
      <c r="C32" s="4" t="inlineStr">
        <is>
          <t>PROCESSOS</t>
        </is>
      </c>
      <c r="D32" s="4" t="inlineStr">
        <is>
          <t>Atendimento ao Cliente</t>
        </is>
      </c>
      <c r="E32" s="4" t="inlineStr">
        <is>
          <t>Norma de Controle de Acesso</t>
        </is>
      </c>
      <c r="F32" s="4" t="n">
        <v>5</v>
      </c>
      <c r="G32" s="4" t="inlineStr">
        <is>
          <t>SIM</t>
        </is>
      </c>
      <c r="H32" s="4" t="inlineStr">
        <is>
          <t>SIM</t>
        </is>
      </c>
      <c r="I32" s="46" t="n">
        <v>45294</v>
      </c>
      <c r="J32" s="4" t="inlineStr">
        <is>
          <t>NÃO</t>
        </is>
      </c>
      <c r="K32" s="4" t="inlineStr">
        <is>
          <t>Não Conformidade</t>
        </is>
      </c>
      <c r="L32" s="4">
        <f>IF(G32="","",IF(G32="SIM",1,0))</f>
        <v/>
      </c>
      <c r="M32" s="4">
        <f>IF(H32="","",IF(H32="SIM",1,0))</f>
        <v/>
      </c>
      <c r="N32" s="4">
        <f>IF(J32="","",IF(J32="SIM",1,0))</f>
        <v/>
      </c>
      <c r="O32" s="4">
        <f>IF(K32="","",IF(K32="Conformidade",1,IF(K32="Não Conformidade",0,IF(K32="Não Conformidade Grave",-1,""))))</f>
        <v/>
      </c>
      <c r="P32" s="48">
        <f>IF(COUNTA(G32,H32,J32,K32)=0,"",ROUND(AVERAGE(L32:O32)*100,0))</f>
        <v/>
      </c>
      <c r="Q32" s="49">
        <f>IFERROR(AVERAGEIF(C$2:C$57,C32,P$2:P$57),"N/A")</f>
        <v/>
      </c>
      <c r="R32" t="inlineStr">
        <is>
          <t>Foi identificada oportunidade de adequação documental.</t>
        </is>
      </c>
      <c r="S32" t="inlineStr">
        <is>
          <t>Criar documento e obter aprovação</t>
        </is>
      </c>
      <c r="T32" t="inlineStr">
        <is>
          <t>Ana Lima</t>
        </is>
      </c>
      <c r="U32" s="47" t="n">
        <v>46274</v>
      </c>
      <c r="V32" t="inlineStr">
        <is>
          <t>Não iniciado</t>
        </is>
      </c>
    </row>
    <row r="33" ht="15.75" customHeight="1" s="41">
      <c r="A33" s="4">
        <f>IF(B33="","",ROW()-4)</f>
        <v/>
      </c>
      <c r="B33" s="46" t="n">
        <v>46213</v>
      </c>
      <c r="C33" s="4" t="inlineStr">
        <is>
          <t>Qualidade</t>
        </is>
      </c>
      <c r="D33" s="4" t="inlineStr">
        <is>
          <t>Contas a Pagar</t>
        </is>
      </c>
      <c r="E33" s="4" t="inlineStr">
        <is>
          <t>Política de Segurança da Informação</t>
        </is>
      </c>
      <c r="F33" s="4" t="n">
        <v>1</v>
      </c>
      <c r="G33" s="4" t="inlineStr">
        <is>
          <t>SIM</t>
        </is>
      </c>
      <c r="H33" s="4" t="inlineStr">
        <is>
          <t>NÃO</t>
        </is>
      </c>
      <c r="I33" s="46" t="n">
        <v>45692</v>
      </c>
      <c r="J33" s="4" t="inlineStr">
        <is>
          <t>SIM</t>
        </is>
      </c>
      <c r="K33" s="4" t="inlineStr">
        <is>
          <t>Conformidade</t>
        </is>
      </c>
      <c r="L33" s="4">
        <f>IF(G33="","",IF(G33="SIM",1,0))</f>
        <v/>
      </c>
      <c r="M33" s="4">
        <f>IF(H33="","",IF(H33="SIM",1,0))</f>
        <v/>
      </c>
      <c r="N33" s="4">
        <f>IF(J33="","",IF(J33="SIM",1,0))</f>
        <v/>
      </c>
      <c r="O33" s="4">
        <f>IF(K33="","",IF(K33="Conformidade",1,IF(K33="Não Conformidade",0,IF(K33="Não Conformidade Grave",-1,""))))</f>
        <v/>
      </c>
      <c r="P33" s="48">
        <f>IF(COUNTA(G33,H33,J33,K33)=0,"",ROUND(AVERAGE(L33:O33)*100,0))</f>
        <v/>
      </c>
      <c r="Q33" s="49">
        <f>IFERROR(AVERAGEIF(C$2:C$57,C33,P$2:P$57),"N/A")</f>
        <v/>
      </c>
      <c r="R33" t="inlineStr">
        <is>
          <t>Foi identificada oportunidade de adequação documental.</t>
        </is>
      </c>
      <c r="S33" t="inlineStr">
        <is>
          <t>Revisar conteúdo e publicar nova versão</t>
        </is>
      </c>
      <c r="T33" t="inlineStr">
        <is>
          <t>Bruno Costa</t>
        </is>
      </c>
      <c r="U33" s="47" t="n">
        <v>46305</v>
      </c>
      <c r="V33" t="inlineStr">
        <is>
          <t>Em andamento</t>
        </is>
      </c>
    </row>
    <row r="34" ht="15.75" customHeight="1" s="41">
      <c r="A34" s="4">
        <f>IF(B34="","",ROW()-4)</f>
        <v/>
      </c>
      <c r="B34" s="46" t="n">
        <v>46245</v>
      </c>
      <c r="C34" s="4" t="inlineStr">
        <is>
          <t>Recursos Humanos</t>
        </is>
      </c>
      <c r="D34" s="4" t="inlineStr">
        <is>
          <t>Treinamento Interno</t>
        </is>
      </c>
      <c r="E34" s="4" t="inlineStr">
        <is>
          <t>Fluxo de Aprovação de Compras</t>
        </is>
      </c>
      <c r="F34" s="4" t="n">
        <v>2</v>
      </c>
      <c r="G34" s="4" t="inlineStr">
        <is>
          <t>NÃO</t>
        </is>
      </c>
      <c r="H34" s="4" t="inlineStr">
        <is>
          <t>SIM</t>
        </is>
      </c>
      <c r="I34" s="46" t="n">
        <v>46086</v>
      </c>
      <c r="J34" s="4" t="inlineStr">
        <is>
          <t>SIM</t>
        </is>
      </c>
      <c r="K34" s="4" t="inlineStr">
        <is>
          <t>Conformidade</t>
        </is>
      </c>
      <c r="L34" s="4">
        <f>IF(G34="","",IF(G34="SIM",1,0))</f>
        <v/>
      </c>
      <c r="M34" s="4">
        <f>IF(H34="","",IF(H34="SIM",1,0))</f>
        <v/>
      </c>
      <c r="N34" s="4">
        <f>IF(J34="","",IF(J34="SIM",1,0))</f>
        <v/>
      </c>
      <c r="O34" s="4">
        <f>IF(K34="","",IF(K34="Conformidade",1,IF(K34="Não Conformidade",0,IF(K34="Não Conformidade Grave",-1,""))))</f>
        <v/>
      </c>
      <c r="P34" s="48">
        <f>IF(COUNTA(G34,H34,J34,K34)=0,"",ROUND(AVERAGE(L34:O34)*100,0))</f>
        <v/>
      </c>
      <c r="Q34" s="49">
        <f>IFERROR(AVERAGEIF(C$2:C$57,C34,P$2:P$57),"N/A")</f>
        <v/>
      </c>
      <c r="R34" t="inlineStr">
        <is>
          <t>Foi identificada oportunidade de adequação documental.</t>
        </is>
      </c>
      <c r="S34" t="inlineStr">
        <is>
          <t>Adequar ao padrão corporativo</t>
        </is>
      </c>
      <c r="T34" t="inlineStr">
        <is>
          <t>Carla Souza</t>
        </is>
      </c>
      <c r="U34" s="47" t="n">
        <v>46337</v>
      </c>
      <c r="V34" t="inlineStr">
        <is>
          <t>Aguardando validação</t>
        </is>
      </c>
    </row>
    <row r="35" ht="15.75" customHeight="1" s="41">
      <c r="A35" s="4">
        <f>IF(B35="","",ROW()-4)</f>
        <v/>
      </c>
      <c r="B35" s="46" t="n">
        <v>46185</v>
      </c>
      <c r="C35" s="4" t="inlineStr">
        <is>
          <t>Financeiro</t>
        </is>
      </c>
      <c r="D35" s="4" t="inlineStr">
        <is>
          <t>Faturamento</t>
        </is>
      </c>
      <c r="E35" s="4" t="inlineStr">
        <is>
          <t>Checklist de Auditoria</t>
        </is>
      </c>
      <c r="F35" s="4" t="n">
        <v>3</v>
      </c>
      <c r="G35" s="4" t="inlineStr">
        <is>
          <t>SIM</t>
        </is>
      </c>
      <c r="H35" s="4" t="inlineStr">
        <is>
          <t>SIM</t>
        </is>
      </c>
      <c r="I35" s="46" t="n">
        <v>45388</v>
      </c>
      <c r="J35" s="4" t="inlineStr">
        <is>
          <t>NÃO</t>
        </is>
      </c>
      <c r="K35" s="4" t="inlineStr">
        <is>
          <t>Não Conformidade</t>
        </is>
      </c>
      <c r="L35" s="4">
        <f>IF(G35="","",IF(G35="SIM",1,0))</f>
        <v/>
      </c>
      <c r="M35" s="4">
        <f>IF(H35="","",IF(H35="SIM",1,0))</f>
        <v/>
      </c>
      <c r="N35" s="4">
        <f>IF(J35="","",IF(J35="SIM",1,0))</f>
        <v/>
      </c>
      <c r="O35" s="4">
        <f>IF(K35="","",IF(K35="Conformidade",1,IF(K35="Não Conformidade",0,IF(K35="Não Conformidade Grave",-1,""))))</f>
        <v/>
      </c>
      <c r="P35" s="48">
        <f>IF(COUNTA(G35,H35,J35,K35)=0,"",ROUND(AVERAGE(L35:O35)*100,0))</f>
        <v/>
      </c>
      <c r="Q35" s="49">
        <f>IFERROR(AVERAGEIF(C$2:C$57,C35,P$2:P$57),"N/A")</f>
        <v/>
      </c>
      <c r="R35" t="inlineStr">
        <is>
          <t>Foi identificada oportunidade de adequação documental.</t>
        </is>
      </c>
      <c r="S35" t="inlineStr">
        <is>
          <t>Executar validação com a área responsável</t>
        </is>
      </c>
      <c r="T35" t="inlineStr">
        <is>
          <t>Diego Alves</t>
        </is>
      </c>
      <c r="U35" s="47" t="n">
        <v>46277</v>
      </c>
      <c r="V35" t="inlineStr">
        <is>
          <t>Não iniciado</t>
        </is>
      </c>
    </row>
    <row r="36" ht="15.75" customHeight="1" s="41">
      <c r="A36" s="4">
        <f>IF(B36="","",ROW()-4)</f>
        <v/>
      </c>
      <c r="B36" s="46" t="n">
        <v>46216</v>
      </c>
      <c r="C36" s="4" t="inlineStr">
        <is>
          <t>Atendimento</t>
        </is>
      </c>
      <c r="D36" s="4" t="inlineStr">
        <is>
          <t>Compras</t>
        </is>
      </c>
      <c r="E36" s="4" t="inlineStr">
        <is>
          <t>Plano de Continuidade</t>
        </is>
      </c>
      <c r="F36" s="4" t="n">
        <v>4</v>
      </c>
      <c r="G36" s="4" t="inlineStr">
        <is>
          <t>NÃO</t>
        </is>
      </c>
      <c r="H36" s="4" t="inlineStr">
        <is>
          <t>SIM</t>
        </is>
      </c>
      <c r="I36" s="46" t="n">
        <v>45784</v>
      </c>
      <c r="J36" s="4" t="inlineStr">
        <is>
          <t>NÃO</t>
        </is>
      </c>
      <c r="K36" s="4" t="inlineStr">
        <is>
          <t>Conformidade</t>
        </is>
      </c>
      <c r="L36" s="4">
        <f>IF(G36="","",IF(G36="SIM",1,0))</f>
        <v/>
      </c>
      <c r="M36" s="4">
        <f>IF(H36="","",IF(H36="SIM",1,0))</f>
        <v/>
      </c>
      <c r="N36" s="4">
        <f>IF(J36="","",IF(J36="SIM",1,0))</f>
        <v/>
      </c>
      <c r="O36" s="4">
        <f>IF(K36="","",IF(K36="Conformidade",1,IF(K36="Não Conformidade",0,IF(K36="Não Conformidade Grave",-1,""))))</f>
        <v/>
      </c>
      <c r="P36" s="48">
        <f>IF(COUNTA(G36,H36,J36,K36)=0,"",ROUND(AVERAGE(L36:O36)*100,0))</f>
        <v/>
      </c>
      <c r="Q36" s="49">
        <f>IFERROR(AVERAGEIF(C$2:C$57,C36,P$2:P$57),"N/A")</f>
        <v/>
      </c>
      <c r="R36" t="inlineStr">
        <is>
          <t>Foi identificada oportunidade de adequação documental.</t>
        </is>
      </c>
      <c r="S36" t="inlineStr">
        <is>
          <t>Criar documento e obter aprovação</t>
        </is>
      </c>
      <c r="T36" t="inlineStr">
        <is>
          <t>Fernanda Rocha</t>
        </is>
      </c>
      <c r="U36" s="47" t="n">
        <v>46308</v>
      </c>
      <c r="V36" t="inlineStr">
        <is>
          <t>Em andamento</t>
        </is>
      </c>
    </row>
    <row r="37" ht="15.75" customHeight="1" s="41">
      <c r="A37" s="4">
        <f>IF(B37="","",ROW()-4)</f>
        <v/>
      </c>
      <c r="B37" s="46" t="n">
        <v>46248</v>
      </c>
      <c r="C37" s="4" t="inlineStr">
        <is>
          <t>Tecnologia</t>
        </is>
      </c>
      <c r="D37" s="4" t="inlineStr">
        <is>
          <t>Gestão de Incidentes</t>
        </is>
      </c>
      <c r="E37" s="4" t="inlineStr">
        <is>
          <t>Norma de Controle de Acesso</t>
        </is>
      </c>
      <c r="F37" s="4" t="n">
        <v>5</v>
      </c>
      <c r="G37" s="4" t="inlineStr">
        <is>
          <t>SIM</t>
        </is>
      </c>
      <c r="H37" s="4" t="inlineStr">
        <is>
          <t>SIM</t>
        </is>
      </c>
      <c r="I37" s="46" t="n">
        <v>46181</v>
      </c>
      <c r="J37" s="4" t="inlineStr">
        <is>
          <t>SIM</t>
        </is>
      </c>
      <c r="K37" s="4" t="inlineStr">
        <is>
          <t>Conformidade</t>
        </is>
      </c>
      <c r="L37" s="4">
        <f>IF(G37="","",IF(G37="SIM",1,0))</f>
        <v/>
      </c>
      <c r="M37" s="4">
        <f>IF(H37="","",IF(H37="SIM",1,0))</f>
        <v/>
      </c>
      <c r="N37" s="4">
        <f>IF(J37="","",IF(J37="SIM",1,0))</f>
        <v/>
      </c>
      <c r="O37" s="4">
        <f>IF(K37="","",IF(K37="Conformidade",1,IF(K37="Não Conformidade",0,IF(K37="Não Conformidade Grave",-1,""))))</f>
        <v/>
      </c>
      <c r="P37" s="48">
        <f>IF(COUNTA(G37,H37,J37,K37)=0,"",ROUND(AVERAGE(L37:O37)*100,0))</f>
        <v/>
      </c>
      <c r="Q37" s="49">
        <f>IFERROR(AVERAGEIF(C$2:C$57,C37,P$2:P$57),"N/A")</f>
        <v/>
      </c>
      <c r="R37" t="inlineStr">
        <is>
          <t>Documento aderente aos critérios avaliados.</t>
        </is>
      </c>
      <c r="S37" t="inlineStr">
        <is>
          <t>Manter revisão periódica.</t>
        </is>
      </c>
      <c r="T37" t="inlineStr">
        <is>
          <t>Gabriel Martins</t>
        </is>
      </c>
      <c r="U37" s="47" t="n">
        <v>46340</v>
      </c>
      <c r="V37" t="inlineStr">
        <is>
          <t>Concluído</t>
        </is>
      </c>
    </row>
    <row r="38" ht="15.75" customHeight="1" s="41">
      <c r="A38" s="4">
        <f>IF(B38="","",ROW()-4)</f>
        <v/>
      </c>
      <c r="B38" s="46" t="n">
        <v>46188</v>
      </c>
      <c r="C38" s="4" t="inlineStr">
        <is>
          <t>PROCESSOS</t>
        </is>
      </c>
      <c r="D38" s="4" t="inlineStr">
        <is>
          <t>Admissão</t>
        </is>
      </c>
      <c r="E38" s="4" t="inlineStr">
        <is>
          <t>Política de Segurança da Informação</t>
        </is>
      </c>
      <c r="F38" s="4" t="n">
        <v>1</v>
      </c>
      <c r="G38" s="4" t="inlineStr">
        <is>
          <t>SIM</t>
        </is>
      </c>
      <c r="H38" s="4" t="inlineStr">
        <is>
          <t>NÃO</t>
        </is>
      </c>
      <c r="I38" s="46" t="n">
        <v>45482</v>
      </c>
      <c r="J38" s="4" t="inlineStr">
        <is>
          <t>SIM</t>
        </is>
      </c>
      <c r="K38" s="4" t="inlineStr">
        <is>
          <t>Não Conformidade Grave</t>
        </is>
      </c>
      <c r="L38" s="4">
        <f>IF(G38="","",IF(G38="SIM",1,0))</f>
        <v/>
      </c>
      <c r="M38" s="4">
        <f>IF(H38="","",IF(H38="SIM",1,0))</f>
        <v/>
      </c>
      <c r="N38" s="4">
        <f>IF(J38="","",IF(J38="SIM",1,0))</f>
        <v/>
      </c>
      <c r="O38" s="4">
        <f>IF(K38="","",IF(K38="Conformidade",1,IF(K38="Não Conformidade",0,IF(K38="Não Conformidade Grave",-1,""))))</f>
        <v/>
      </c>
      <c r="P38" s="48">
        <f>IF(COUNTA(G38,H38,J38,K38)=0,"",ROUND(AVERAGE(L38:O38)*100,0))</f>
        <v/>
      </c>
      <c r="Q38" s="49">
        <f>IFERROR(AVERAGEIF(C$2:C$57,C38,P$2:P$57),"N/A")</f>
        <v/>
      </c>
      <c r="R38" t="inlineStr">
        <is>
          <t>Foi identificada oportunidade de adequação documental.</t>
        </is>
      </c>
      <c r="S38" t="inlineStr">
        <is>
          <t>Adequar ao padrão corporativo</t>
        </is>
      </c>
      <c r="T38" t="inlineStr">
        <is>
          <t>Ana Lima</t>
        </is>
      </c>
      <c r="U38" s="47" t="n">
        <v>46280</v>
      </c>
      <c r="V38" t="inlineStr">
        <is>
          <t>Não iniciado</t>
        </is>
      </c>
    </row>
    <row r="39" ht="15.75" customHeight="1" s="41">
      <c r="A39" s="4">
        <f>IF(B39="","",ROW()-4)</f>
        <v/>
      </c>
      <c r="B39" s="46" t="n">
        <v>46219</v>
      </c>
      <c r="C39" s="4" t="inlineStr">
        <is>
          <t>Qualidade</t>
        </is>
      </c>
      <c r="D39" s="4" t="inlineStr">
        <is>
          <t>Gestão de Contratos</t>
        </is>
      </c>
      <c r="E39" s="4" t="inlineStr">
        <is>
          <t>Fluxo de Aprovação de Compras</t>
        </is>
      </c>
      <c r="F39" s="4" t="n">
        <v>2</v>
      </c>
      <c r="G39" s="4" t="inlineStr">
        <is>
          <t>SIM</t>
        </is>
      </c>
      <c r="H39" s="4" t="inlineStr">
        <is>
          <t>SIM</t>
        </is>
      </c>
      <c r="I39" s="46" t="n">
        <v>45879</v>
      </c>
      <c r="J39" s="4" t="inlineStr">
        <is>
          <t>SIM</t>
        </is>
      </c>
      <c r="K39" s="4" t="inlineStr">
        <is>
          <t>Conformidade</t>
        </is>
      </c>
      <c r="L39" s="4">
        <f>IF(G39="","",IF(G39="SIM",1,0))</f>
        <v/>
      </c>
      <c r="M39" s="4">
        <f>IF(H39="","",IF(H39="SIM",1,0))</f>
        <v/>
      </c>
      <c r="N39" s="4">
        <f>IF(J39="","",IF(J39="SIM",1,0))</f>
        <v/>
      </c>
      <c r="O39" s="4">
        <f>IF(K39="","",IF(K39="Conformidade",1,IF(K39="Não Conformidade",0,IF(K39="Não Conformidade Grave",-1,""))))</f>
        <v/>
      </c>
      <c r="P39" s="48">
        <f>IF(COUNTA(G39,H39,J39,K39)=0,"",ROUND(AVERAGE(L39:O39)*100,0))</f>
        <v/>
      </c>
      <c r="Q39" s="49">
        <f>IFERROR(AVERAGEIF(C$2:C$57,C39,P$2:P$57),"N/A")</f>
        <v/>
      </c>
      <c r="R39" t="inlineStr">
        <is>
          <t>Documento aderente aos critérios avaliados.</t>
        </is>
      </c>
      <c r="S39" t="inlineStr">
        <is>
          <t>Manter revisão periódica.</t>
        </is>
      </c>
      <c r="T39" t="inlineStr">
        <is>
          <t>Bruno Costa</t>
        </is>
      </c>
      <c r="U39" s="47" t="n">
        <v>46311</v>
      </c>
      <c r="V39" t="inlineStr">
        <is>
          <t>Concluído</t>
        </is>
      </c>
    </row>
    <row r="40" ht="15.75" customHeight="1" s="41">
      <c r="A40" s="4">
        <f>IF(B40="","",ROW()-4)</f>
        <v/>
      </c>
      <c r="B40" s="46" t="n">
        <v>46251</v>
      </c>
      <c r="C40" s="4" t="inlineStr">
        <is>
          <t>Recursos Humanos</t>
        </is>
      </c>
      <c r="D40" s="4" t="inlineStr">
        <is>
          <t>Controle de Acesso</t>
        </is>
      </c>
      <c r="E40" s="4" t="inlineStr">
        <is>
          <t>Checklist de Auditoria</t>
        </is>
      </c>
      <c r="F40" s="4" t="n">
        <v>3</v>
      </c>
      <c r="G40" s="4" t="inlineStr">
        <is>
          <t>SIM</t>
        </is>
      </c>
      <c r="H40" s="4" t="inlineStr">
        <is>
          <t>SIM</t>
        </is>
      </c>
      <c r="I40" s="46" t="n">
        <v>46276</v>
      </c>
      <c r="J40" s="4" t="inlineStr">
        <is>
          <t>NÃO</t>
        </is>
      </c>
      <c r="K40" s="4" t="inlineStr">
        <is>
          <t>Conformidade</t>
        </is>
      </c>
      <c r="L40" s="4">
        <f>IF(G40="","",IF(G40="SIM",1,0))</f>
        <v/>
      </c>
      <c r="M40" s="4">
        <f>IF(H40="","",IF(H40="SIM",1,0))</f>
        <v/>
      </c>
      <c r="N40" s="4">
        <f>IF(J40="","",IF(J40="SIM",1,0))</f>
        <v/>
      </c>
      <c r="O40" s="4">
        <f>IF(K40="","",IF(K40="Conformidade",1,IF(K40="Não Conformidade",0,IF(K40="Não Conformidade Grave",-1,""))))</f>
        <v/>
      </c>
      <c r="P40" s="48">
        <f>IF(COUNTA(G40,H40,J40,K40)=0,"",ROUND(AVERAGE(L40:O40)*100,0))</f>
        <v/>
      </c>
      <c r="Q40" s="49">
        <f>IFERROR(AVERAGEIF(C$2:C$57,C40,P$2:P$57),"N/A")</f>
        <v/>
      </c>
      <c r="R40" t="inlineStr">
        <is>
          <t>Foi identificada oportunidade de adequação documental.</t>
        </is>
      </c>
      <c r="S40" t="inlineStr">
        <is>
          <t>Criar documento e obter aprovação</t>
        </is>
      </c>
      <c r="T40" t="inlineStr">
        <is>
          <t>Carla Souza</t>
        </is>
      </c>
      <c r="U40" s="47" t="n">
        <v>46343</v>
      </c>
      <c r="V40" t="inlineStr">
        <is>
          <t>Aguardando validação</t>
        </is>
      </c>
    </row>
    <row r="41" ht="15.75" customHeight="1" s="41">
      <c r="A41" s="4">
        <f>IF(B41="","",ROW()-4)</f>
        <v/>
      </c>
      <c r="B41" s="46" t="n">
        <v>46191</v>
      </c>
      <c r="C41" s="4" t="inlineStr">
        <is>
          <t>Financeiro</t>
        </is>
      </c>
      <c r="D41" s="4" t="inlineStr">
        <is>
          <t>Auditoria de Processos</t>
        </is>
      </c>
      <c r="E41" s="4" t="inlineStr">
        <is>
          <t>Plano de Continuidade</t>
        </is>
      </c>
      <c r="F41" s="4" t="n">
        <v>4</v>
      </c>
      <c r="G41" s="4" t="inlineStr">
        <is>
          <t>SIM</t>
        </is>
      </c>
      <c r="H41" s="4" t="inlineStr">
        <is>
          <t>NÃO</t>
        </is>
      </c>
      <c r="I41" s="46" t="n">
        <v>45577</v>
      </c>
      <c r="J41" s="4" t="inlineStr">
        <is>
          <t>SIM</t>
        </is>
      </c>
      <c r="K41" s="4" t="inlineStr">
        <is>
          <t>Não Conformidade</t>
        </is>
      </c>
      <c r="L41" s="4">
        <f>IF(G41="","",IF(G41="SIM",1,0))</f>
        <v/>
      </c>
      <c r="M41" s="4">
        <f>IF(H41="","",IF(H41="SIM",1,0))</f>
        <v/>
      </c>
      <c r="N41" s="4">
        <f>IF(J41="","",IF(J41="SIM",1,0))</f>
        <v/>
      </c>
      <c r="O41" s="4">
        <f>IF(K41="","",IF(K41="Conformidade",1,IF(K41="Não Conformidade",0,IF(K41="Não Conformidade Grave",-1,""))))</f>
        <v/>
      </c>
      <c r="P41" s="48">
        <f>IF(COUNTA(G41,H41,J41,K41)=0,"",ROUND(AVERAGE(L41:O41)*100,0))</f>
        <v/>
      </c>
      <c r="Q41" s="49">
        <f>IFERROR(AVERAGEIF(C$2:C$57,C41,P$2:P$57),"N/A")</f>
        <v/>
      </c>
      <c r="R41" t="inlineStr">
        <is>
          <t>Foi identificada oportunidade de adequação documental.</t>
        </is>
      </c>
      <c r="S41" t="inlineStr">
        <is>
          <t>Revisar conteúdo e publicar nova versão</t>
        </is>
      </c>
      <c r="T41" t="inlineStr">
        <is>
          <t>Diego Alves</t>
        </is>
      </c>
      <c r="U41" s="47" t="n">
        <v>46283</v>
      </c>
      <c r="V41" t="inlineStr">
        <is>
          <t>Não iniciado</t>
        </is>
      </c>
    </row>
    <row r="42" ht="15.75" customHeight="1" s="41">
      <c r="A42" s="4">
        <f>IF(B42="","",ROW()-4)</f>
        <v/>
      </c>
      <c r="B42" s="46" t="n">
        <v>46222</v>
      </c>
      <c r="C42" s="4" t="inlineStr">
        <is>
          <t>Atendimento</t>
        </is>
      </c>
      <c r="D42" s="4" t="inlineStr">
        <is>
          <t>Atendimento ao Cliente</t>
        </is>
      </c>
      <c r="E42" s="4" t="inlineStr">
        <is>
          <t>Norma de Controle de Acesso</t>
        </is>
      </c>
      <c r="F42" s="4" t="n">
        <v>5</v>
      </c>
      <c r="G42" s="4" t="inlineStr">
        <is>
          <t>SIM</t>
        </is>
      </c>
      <c r="H42" s="4" t="inlineStr">
        <is>
          <t>SIM</t>
        </is>
      </c>
      <c r="I42" s="46" t="n">
        <v>45974</v>
      </c>
      <c r="J42" s="4" t="inlineStr">
        <is>
          <t>SIM</t>
        </is>
      </c>
      <c r="K42" s="4" t="inlineStr">
        <is>
          <t>Conformidade</t>
        </is>
      </c>
      <c r="L42" s="4">
        <f>IF(G42="","",IF(G42="SIM",1,0))</f>
        <v/>
      </c>
      <c r="M42" s="4">
        <f>IF(H42="","",IF(H42="SIM",1,0))</f>
        <v/>
      </c>
      <c r="N42" s="4">
        <f>IF(J42="","",IF(J42="SIM",1,0))</f>
        <v/>
      </c>
      <c r="O42" s="4">
        <f>IF(K42="","",IF(K42="Conformidade",1,IF(K42="Não Conformidade",0,IF(K42="Não Conformidade Grave",-1,""))))</f>
        <v/>
      </c>
      <c r="P42" s="48">
        <f>IF(COUNTA(G42,H42,J42,K42)=0,"",ROUND(AVERAGE(L42:O42)*100,0))</f>
        <v/>
      </c>
      <c r="Q42" s="49">
        <f>IFERROR(AVERAGEIF(C$2:C$57,C42,P$2:P$57),"N/A")</f>
        <v/>
      </c>
      <c r="R42" t="inlineStr">
        <is>
          <t>Documento aderente aos critérios avaliados.</t>
        </is>
      </c>
      <c r="S42" t="inlineStr">
        <is>
          <t>Manter revisão periódica.</t>
        </is>
      </c>
      <c r="T42" t="inlineStr">
        <is>
          <t>Fernanda Rocha</t>
        </is>
      </c>
      <c r="U42" s="47" t="n">
        <v>46314</v>
      </c>
      <c r="V42" t="inlineStr">
        <is>
          <t>Concluído</t>
        </is>
      </c>
    </row>
    <row r="43" ht="15.75" customHeight="1" s="41">
      <c r="A43" s="4">
        <f>IF(B43="","",ROW()-4)</f>
        <v/>
      </c>
      <c r="B43" s="46" t="n">
        <v>46254</v>
      </c>
      <c r="C43" s="4" t="inlineStr">
        <is>
          <t>Tecnologia</t>
        </is>
      </c>
      <c r="D43" s="4" t="inlineStr">
        <is>
          <t>Contas a Pagar</t>
        </is>
      </c>
      <c r="E43" s="4" t="inlineStr">
        <is>
          <t>Política de Segurança da Informação</t>
        </is>
      </c>
      <c r="F43" s="4" t="n">
        <v>1</v>
      </c>
      <c r="G43" s="4" t="inlineStr">
        <is>
          <t>NÃO</t>
        </is>
      </c>
      <c r="H43" s="4" t="inlineStr">
        <is>
          <t>NÃO</t>
        </is>
      </c>
      <c r="I43" s="46" t="n">
        <v>46370</v>
      </c>
      <c r="J43" s="4" t="inlineStr">
        <is>
          <t>SIM</t>
        </is>
      </c>
      <c r="K43" s="4" t="inlineStr">
        <is>
          <t>Conformidade</t>
        </is>
      </c>
      <c r="L43" s="4">
        <f>IF(G43="","",IF(G43="SIM",1,0))</f>
        <v/>
      </c>
      <c r="M43" s="4">
        <f>IF(H43="","",IF(H43="SIM",1,0))</f>
        <v/>
      </c>
      <c r="N43" s="4">
        <f>IF(J43="","",IF(J43="SIM",1,0))</f>
        <v/>
      </c>
      <c r="O43" s="4">
        <f>IF(K43="","",IF(K43="Conformidade",1,IF(K43="Não Conformidade",0,IF(K43="Não Conformidade Grave",-1,""))))</f>
        <v/>
      </c>
      <c r="P43" s="48">
        <f>IF(COUNTA(G43,H43,J43,K43)=0,"",ROUND(AVERAGE(L43:O43)*100,0))</f>
        <v/>
      </c>
      <c r="Q43" s="49">
        <f>IFERROR(AVERAGEIF(C$2:C$57,C43,P$2:P$57),"N/A")</f>
        <v/>
      </c>
      <c r="R43" t="inlineStr">
        <is>
          <t>Foi identificada oportunidade de adequação documental.</t>
        </is>
      </c>
      <c r="S43" t="inlineStr">
        <is>
          <t>Executar validação com a área responsável</t>
        </is>
      </c>
      <c r="T43" t="inlineStr">
        <is>
          <t>Gabriel Martins</t>
        </is>
      </c>
      <c r="U43" s="47" t="n">
        <v>46346</v>
      </c>
      <c r="V43" t="inlineStr">
        <is>
          <t>Aguardando validação</t>
        </is>
      </c>
    </row>
    <row r="44" ht="15.75" customHeight="1" s="41">
      <c r="A44" s="4">
        <f>IF(B44="","",ROW()-4)</f>
        <v/>
      </c>
      <c r="B44" s="46" t="n">
        <v>46194</v>
      </c>
      <c r="C44" s="4" t="inlineStr">
        <is>
          <t>PROCESSOS</t>
        </is>
      </c>
      <c r="D44" s="4" t="inlineStr">
        <is>
          <t>Treinamento Interno</t>
        </is>
      </c>
      <c r="E44" s="4" t="inlineStr">
        <is>
          <t>Fluxo de Aprovação de Compras</t>
        </is>
      </c>
      <c r="F44" s="4" t="n">
        <v>2</v>
      </c>
      <c r="G44" s="4" t="inlineStr">
        <is>
          <t>SIM</t>
        </is>
      </c>
      <c r="H44" s="4" t="inlineStr">
        <is>
          <t>SIM</t>
        </is>
      </c>
      <c r="I44" s="46" t="n">
        <v>45306</v>
      </c>
      <c r="J44" s="4" t="inlineStr">
        <is>
          <t>NÃO</t>
        </is>
      </c>
      <c r="K44" s="4" t="inlineStr">
        <is>
          <t>Não Conformidade</t>
        </is>
      </c>
      <c r="L44" s="4">
        <f>IF(G44="","",IF(G44="SIM",1,0))</f>
        <v/>
      </c>
      <c r="M44" s="4">
        <f>IF(H44="","",IF(H44="SIM",1,0))</f>
        <v/>
      </c>
      <c r="N44" s="4">
        <f>IF(J44="","",IF(J44="SIM",1,0))</f>
        <v/>
      </c>
      <c r="O44" s="4">
        <f>IF(K44="","",IF(K44="Conformidade",1,IF(K44="Não Conformidade",0,IF(K44="Não Conformidade Grave",-1,""))))</f>
        <v/>
      </c>
      <c r="P44" s="48">
        <f>IF(COUNTA(G44,H44,J44,K44)=0,"",ROUND(AVERAGE(L44:O44)*100,0))</f>
        <v/>
      </c>
      <c r="Q44" s="49">
        <f>IFERROR(AVERAGEIF(C$2:C$57,C44,P$2:P$57),"N/A")</f>
        <v/>
      </c>
      <c r="R44" t="inlineStr">
        <is>
          <t>Foi identificada oportunidade de adequação documental.</t>
        </is>
      </c>
      <c r="S44" t="inlineStr">
        <is>
          <t>Criar documento e obter aprovação</t>
        </is>
      </c>
      <c r="T44" t="inlineStr">
        <is>
          <t>Ana Lima</t>
        </is>
      </c>
      <c r="U44" s="47" t="n">
        <v>46286</v>
      </c>
      <c r="V44" t="inlineStr">
        <is>
          <t>Não iniciado</t>
        </is>
      </c>
    </row>
    <row r="45" ht="15.75" customHeight="1" s="41">
      <c r="A45" s="4">
        <f>IF(B45="","",ROW()-4)</f>
        <v/>
      </c>
      <c r="B45" s="46" t="n">
        <v>46225</v>
      </c>
      <c r="C45" s="4" t="inlineStr">
        <is>
          <t>Qualidade</t>
        </is>
      </c>
      <c r="D45" s="4" t="inlineStr">
        <is>
          <t>Faturamento</t>
        </is>
      </c>
      <c r="E45" s="4" t="inlineStr">
        <is>
          <t>Checklist de Auditoria</t>
        </is>
      </c>
      <c r="F45" s="4" t="n">
        <v>3</v>
      </c>
      <c r="G45" s="4" t="inlineStr">
        <is>
          <t>SIM</t>
        </is>
      </c>
      <c r="H45" s="4" t="inlineStr">
        <is>
          <t>SIM</t>
        </is>
      </c>
      <c r="I45" s="46" t="n">
        <v>45704</v>
      </c>
      <c r="J45" s="4" t="inlineStr">
        <is>
          <t>SIM</t>
        </is>
      </c>
      <c r="K45" s="4" t="inlineStr">
        <is>
          <t>Conformidade</t>
        </is>
      </c>
      <c r="L45" s="4">
        <f>IF(G45="","",IF(G45="SIM",1,0))</f>
        <v/>
      </c>
      <c r="M45" s="4">
        <f>IF(H45="","",IF(H45="SIM",1,0))</f>
        <v/>
      </c>
      <c r="N45" s="4">
        <f>IF(J45="","",IF(J45="SIM",1,0))</f>
        <v/>
      </c>
      <c r="O45" s="4">
        <f>IF(K45="","",IF(K45="Conformidade",1,IF(K45="Não Conformidade",0,IF(K45="Não Conformidade Grave",-1,""))))</f>
        <v/>
      </c>
      <c r="P45" s="48">
        <f>IF(COUNTA(G45,H45,J45,K45)=0,"",ROUND(AVERAGE(L45:O45)*100,0))</f>
        <v/>
      </c>
      <c r="Q45" s="49">
        <f>IFERROR(AVERAGEIF(C$2:C$57,C45,P$2:P$57),"N/A")</f>
        <v/>
      </c>
      <c r="R45" t="inlineStr">
        <is>
          <t>Documento aderente aos critérios avaliados.</t>
        </is>
      </c>
      <c r="S45" t="inlineStr">
        <is>
          <t>Manter revisão periódica.</t>
        </is>
      </c>
      <c r="T45" t="inlineStr">
        <is>
          <t>Bruno Costa</t>
        </is>
      </c>
      <c r="U45" s="47" t="n">
        <v>46317</v>
      </c>
      <c r="V45" t="inlineStr">
        <is>
          <t>Concluído</t>
        </is>
      </c>
    </row>
    <row r="46" ht="15.75" customHeight="1" s="41">
      <c r="A46" s="4">
        <f>IF(B46="","",ROW()-4)</f>
        <v/>
      </c>
      <c r="B46" s="46" t="n">
        <v>46257</v>
      </c>
      <c r="C46" s="4" t="inlineStr">
        <is>
          <t>Recursos Humanos</t>
        </is>
      </c>
      <c r="D46" s="4" t="inlineStr">
        <is>
          <t>Compras</t>
        </is>
      </c>
      <c r="E46" s="4" t="inlineStr">
        <is>
          <t>Plano de Continuidade</t>
        </is>
      </c>
      <c r="F46" s="4" t="n">
        <v>4</v>
      </c>
      <c r="G46" s="4" t="inlineStr">
        <is>
          <t>SIM</t>
        </is>
      </c>
      <c r="H46" s="4" t="inlineStr">
        <is>
          <t>SIM</t>
        </is>
      </c>
      <c r="I46" s="46" t="n">
        <v>46098</v>
      </c>
      <c r="J46" s="4" t="inlineStr">
        <is>
          <t>SIM</t>
        </is>
      </c>
      <c r="K46" s="4" t="inlineStr">
        <is>
          <t>Conformidade</t>
        </is>
      </c>
      <c r="L46" s="4">
        <f>IF(G46="","",IF(G46="SIM",1,0))</f>
        <v/>
      </c>
      <c r="M46" s="4">
        <f>IF(H46="","",IF(H46="SIM",1,0))</f>
        <v/>
      </c>
      <c r="N46" s="4">
        <f>IF(J46="","",IF(J46="SIM",1,0))</f>
        <v/>
      </c>
      <c r="O46" s="4">
        <f>IF(K46="","",IF(K46="Conformidade",1,IF(K46="Não Conformidade",0,IF(K46="Não Conformidade Grave",-1,""))))</f>
        <v/>
      </c>
      <c r="P46" s="48">
        <f>IF(COUNTA(G46,H46,J46,K46)=0,"",ROUND(AVERAGE(L46:O46)*100,0))</f>
        <v/>
      </c>
      <c r="Q46" s="49">
        <f>IFERROR(AVERAGEIF(C$2:C$57,C46,P$2:P$57),"N/A")</f>
        <v/>
      </c>
      <c r="R46" t="inlineStr">
        <is>
          <t>Documento aderente aos critérios avaliados.</t>
        </is>
      </c>
      <c r="S46" t="inlineStr">
        <is>
          <t>Manter revisão periódica.</t>
        </is>
      </c>
      <c r="T46" t="inlineStr">
        <is>
          <t>Carla Souza</t>
        </is>
      </c>
      <c r="U46" s="47" t="n">
        <v>46349</v>
      </c>
      <c r="V46" t="inlineStr">
        <is>
          <t>Concluído</t>
        </is>
      </c>
    </row>
    <row r="47" ht="15.75" customHeight="1" s="41">
      <c r="A47" s="4">
        <f>IF(B47="","",ROW()-4)</f>
        <v/>
      </c>
      <c r="B47" s="46" t="n">
        <v>46197</v>
      </c>
      <c r="C47" s="4" t="inlineStr">
        <is>
          <t>Financeiro</t>
        </is>
      </c>
      <c r="D47" s="4" t="inlineStr">
        <is>
          <t>Gestão de Incidentes</t>
        </is>
      </c>
      <c r="E47" s="4" t="inlineStr">
        <is>
          <t>Norma de Controle de Acesso</t>
        </is>
      </c>
      <c r="F47" s="4" t="n">
        <v>5</v>
      </c>
      <c r="G47" s="4" t="inlineStr">
        <is>
          <t>NÃO</t>
        </is>
      </c>
      <c r="H47" s="4" t="inlineStr">
        <is>
          <t>SIM</t>
        </is>
      </c>
      <c r="I47" s="46" t="n">
        <v>45400</v>
      </c>
      <c r="J47" s="4" t="inlineStr">
        <is>
          <t>SIM</t>
        </is>
      </c>
      <c r="K47" s="4" t="inlineStr">
        <is>
          <t>Não Conformidade</t>
        </is>
      </c>
      <c r="L47" s="4">
        <f>IF(G47="","",IF(G47="SIM",1,0))</f>
        <v/>
      </c>
      <c r="M47" s="4">
        <f>IF(H47="","",IF(H47="SIM",1,0))</f>
        <v/>
      </c>
      <c r="N47" s="4">
        <f>IF(J47="","",IF(J47="SIM",1,0))</f>
        <v/>
      </c>
      <c r="O47" s="4">
        <f>IF(K47="","",IF(K47="Conformidade",1,IF(K47="Não Conformidade",0,IF(K47="Não Conformidade Grave",-1,""))))</f>
        <v/>
      </c>
      <c r="P47" s="48">
        <f>IF(COUNTA(G47,H47,J47,K47)=0,"",ROUND(AVERAGE(L47:O47)*100,0))</f>
        <v/>
      </c>
      <c r="Q47" s="49">
        <f>IFERROR(AVERAGEIF(C$2:C$57,C47,P$2:P$57),"N/A")</f>
        <v/>
      </c>
      <c r="R47" t="inlineStr">
        <is>
          <t>Foi identificada oportunidade de adequação documental.</t>
        </is>
      </c>
      <c r="S47" t="inlineStr">
        <is>
          <t>Executar validação com a área responsável</t>
        </is>
      </c>
      <c r="T47" t="inlineStr">
        <is>
          <t>Diego Alves</t>
        </is>
      </c>
      <c r="U47" s="47" t="n">
        <v>46289</v>
      </c>
      <c r="V47" t="inlineStr">
        <is>
          <t>Não iniciado</t>
        </is>
      </c>
    </row>
    <row r="48" ht="15.75" customHeight="1" s="41">
      <c r="A48" s="4">
        <f>IF(B48="","",ROW()-4)</f>
        <v/>
      </c>
      <c r="B48" s="46" t="n">
        <v>46208</v>
      </c>
      <c r="C48" s="4" t="inlineStr">
        <is>
          <t>Atendimento</t>
        </is>
      </c>
      <c r="D48" s="4" t="inlineStr">
        <is>
          <t>Admissão</t>
        </is>
      </c>
      <c r="E48" s="4" t="inlineStr">
        <is>
          <t>Política de Segurança da Informação</t>
        </is>
      </c>
      <c r="F48" s="4" t="n">
        <v>1</v>
      </c>
      <c r="G48" s="4" t="inlineStr">
        <is>
          <t>SIM</t>
        </is>
      </c>
      <c r="H48" s="4" t="inlineStr">
        <is>
          <t>NÃO</t>
        </is>
      </c>
      <c r="I48" s="46" t="n">
        <v>45796</v>
      </c>
      <c r="J48" s="4" t="inlineStr">
        <is>
          <t>NÃO</t>
        </is>
      </c>
      <c r="K48" s="4" t="inlineStr">
        <is>
          <t>Não Conformidade Grave</t>
        </is>
      </c>
      <c r="L48" s="4">
        <f>IF(G48="","",IF(G48="SIM",1,0))</f>
        <v/>
      </c>
      <c r="M48" s="4">
        <f>IF(H48="","",IF(H48="SIM",1,0))</f>
        <v/>
      </c>
      <c r="N48" s="4">
        <f>IF(J48="","",IF(J48="SIM",1,0))</f>
        <v/>
      </c>
      <c r="O48" s="4">
        <f>IF(K48="","",IF(K48="Conformidade",1,IF(K48="Não Conformidade",0,IF(K48="Não Conformidade Grave",-1,""))))</f>
        <v/>
      </c>
      <c r="P48" s="48">
        <f>IF(COUNTA(G48,H48,J48,K48)=0,"",ROUND(AVERAGE(L48:O48)*100,0))</f>
        <v/>
      </c>
      <c r="Q48" s="49">
        <f>IFERROR(AVERAGEIF(C$2:C$57,C48,P$2:P$57),"N/A")</f>
        <v/>
      </c>
      <c r="R48" t="inlineStr">
        <is>
          <t>Foi identificada oportunidade de adequação documental.</t>
        </is>
      </c>
      <c r="S48" t="inlineStr">
        <is>
          <t>Criar documento e obter aprovação</t>
        </is>
      </c>
      <c r="T48" t="inlineStr">
        <is>
          <t>Fernanda Rocha</t>
        </is>
      </c>
      <c r="U48" s="47" t="n">
        <v>46300</v>
      </c>
      <c r="V48" t="inlineStr">
        <is>
          <t>Em andamento</t>
        </is>
      </c>
    </row>
    <row r="49" ht="15.75" customHeight="1" s="41">
      <c r="A49" s="4">
        <f>IF(B49="","",ROW()-4)</f>
        <v/>
      </c>
      <c r="B49" s="46" t="n">
        <v>46240</v>
      </c>
      <c r="C49" s="4" t="inlineStr">
        <is>
          <t>Tecnologia</t>
        </is>
      </c>
      <c r="D49" s="4" t="inlineStr">
        <is>
          <t>Gestão de Contratos</t>
        </is>
      </c>
      <c r="E49" s="4" t="inlineStr">
        <is>
          <t>Fluxo de Aprovação de Compras</t>
        </is>
      </c>
      <c r="F49" s="4" t="n">
        <v>2</v>
      </c>
      <c r="G49" s="4" t="inlineStr">
        <is>
          <t>SIM</t>
        </is>
      </c>
      <c r="H49" s="4" t="inlineStr">
        <is>
          <t>SIM</t>
        </is>
      </c>
      <c r="I49" s="46" t="n">
        <v>46193</v>
      </c>
      <c r="J49" s="4" t="inlineStr">
        <is>
          <t>SIM</t>
        </is>
      </c>
      <c r="K49" s="4" t="inlineStr">
        <is>
          <t>Conformidade</t>
        </is>
      </c>
      <c r="L49" s="4">
        <f>IF(G49="","",IF(G49="SIM",1,0))</f>
        <v/>
      </c>
      <c r="M49" s="4">
        <f>IF(H49="","",IF(H49="SIM",1,0))</f>
        <v/>
      </c>
      <c r="N49" s="4">
        <f>IF(J49="","",IF(J49="SIM",1,0))</f>
        <v/>
      </c>
      <c r="O49" s="4">
        <f>IF(K49="","",IF(K49="Conformidade",1,IF(K49="Não Conformidade",0,IF(K49="Não Conformidade Grave",-1,""))))</f>
        <v/>
      </c>
      <c r="P49" s="48">
        <f>IF(COUNTA(G49,H49,J49,K49)=0,"",ROUND(AVERAGE(L49:O49)*100,0))</f>
        <v/>
      </c>
      <c r="Q49" s="49">
        <f>IFERROR(AVERAGEIF(C$2:C$57,C49,P$2:P$57),"N/A")</f>
        <v/>
      </c>
      <c r="R49" t="inlineStr">
        <is>
          <t>Documento aderente aos critérios avaliados.</t>
        </is>
      </c>
      <c r="S49" t="inlineStr">
        <is>
          <t>Manter revisão periódica.</t>
        </is>
      </c>
      <c r="T49" t="inlineStr">
        <is>
          <t>Gabriel Martins</t>
        </is>
      </c>
      <c r="U49" s="47" t="n">
        <v>46332</v>
      </c>
      <c r="V49" t="inlineStr">
        <is>
          <t>Concluído</t>
        </is>
      </c>
    </row>
    <row r="50" ht="15.75" customHeight="1" s="41">
      <c r="A50" s="4">
        <f>IF(B50="","",ROW()-4)</f>
        <v/>
      </c>
      <c r="B50" s="46" t="n">
        <v>46180</v>
      </c>
      <c r="C50" s="4" t="inlineStr">
        <is>
          <t>PROCESSOS</t>
        </is>
      </c>
      <c r="D50" s="4" t="inlineStr">
        <is>
          <t>Controle de Acesso</t>
        </is>
      </c>
      <c r="E50" s="4" t="inlineStr">
        <is>
          <t>Checklist de Auditoria</t>
        </is>
      </c>
      <c r="F50" s="4" t="n">
        <v>3</v>
      </c>
      <c r="G50" s="4" t="inlineStr">
        <is>
          <t>NÃO</t>
        </is>
      </c>
      <c r="H50" s="4" t="inlineStr">
        <is>
          <t>SIM</t>
        </is>
      </c>
      <c r="I50" s="46" t="n">
        <v>45494</v>
      </c>
      <c r="J50" s="4" t="inlineStr">
        <is>
          <t>SIM</t>
        </is>
      </c>
      <c r="K50" s="4" t="inlineStr">
        <is>
          <t>Não Conformidade</t>
        </is>
      </c>
      <c r="L50" s="4">
        <f>IF(G50="","",IF(G50="SIM",1,0))</f>
        <v/>
      </c>
      <c r="M50" s="4">
        <f>IF(H50="","",IF(H50="SIM",1,0))</f>
        <v/>
      </c>
      <c r="N50" s="4">
        <f>IF(J50="","",IF(J50="SIM",1,0))</f>
        <v/>
      </c>
      <c r="O50" s="4">
        <f>IF(K50="","",IF(K50="Conformidade",1,IF(K50="Não Conformidade",0,IF(K50="Não Conformidade Grave",-1,""))))</f>
        <v/>
      </c>
      <c r="P50" s="48">
        <f>IF(COUNTA(G50,H50,J50,K50)=0,"",ROUND(AVERAGE(L50:O50)*100,0))</f>
        <v/>
      </c>
      <c r="Q50" s="49">
        <f>IFERROR(AVERAGEIF(C$2:C$57,C50,P$2:P$57),"N/A")</f>
        <v/>
      </c>
      <c r="R50" t="inlineStr">
        <is>
          <t>Foi identificada oportunidade de adequação documental.</t>
        </is>
      </c>
      <c r="S50" t="inlineStr">
        <is>
          <t>Adequar ao padrão corporativo</t>
        </is>
      </c>
      <c r="T50" t="inlineStr">
        <is>
          <t>Ana Lima</t>
        </is>
      </c>
      <c r="U50" s="47" t="n">
        <v>46272</v>
      </c>
      <c r="V50" t="inlineStr">
        <is>
          <t>Não iniciado</t>
        </is>
      </c>
    </row>
    <row r="51" ht="15.75" customHeight="1" s="41">
      <c r="A51" s="4">
        <f>IF(B51="","",ROW()-4)</f>
        <v/>
      </c>
      <c r="B51" s="46" t="n">
        <v>46211</v>
      </c>
      <c r="C51" s="4" t="inlineStr">
        <is>
          <t>Qualidade</t>
        </is>
      </c>
      <c r="D51" s="4" t="inlineStr">
        <is>
          <t>Auditoria de Processos</t>
        </is>
      </c>
      <c r="E51" s="4" t="inlineStr">
        <is>
          <t>Plano de Continuidade</t>
        </is>
      </c>
      <c r="F51" s="4" t="n">
        <v>4</v>
      </c>
      <c r="G51" s="4" t="inlineStr">
        <is>
          <t>SIM</t>
        </is>
      </c>
      <c r="H51" s="4" t="inlineStr">
        <is>
          <t>SIM</t>
        </is>
      </c>
      <c r="I51" s="46" t="n">
        <v>45891</v>
      </c>
      <c r="J51" s="4" t="inlineStr">
        <is>
          <t>SIM</t>
        </is>
      </c>
      <c r="K51" s="4" t="inlineStr">
        <is>
          <t>Conformidade</t>
        </is>
      </c>
      <c r="L51" s="4">
        <f>IF(G51="","",IF(G51="SIM",1,0))</f>
        <v/>
      </c>
      <c r="M51" s="4">
        <f>IF(H51="","",IF(H51="SIM",1,0))</f>
        <v/>
      </c>
      <c r="N51" s="4">
        <f>IF(J51="","",IF(J51="SIM",1,0))</f>
        <v/>
      </c>
      <c r="O51" s="4">
        <f>IF(K51="","",IF(K51="Conformidade",1,IF(K51="Não Conformidade",0,IF(K51="Não Conformidade Grave",-1,""))))</f>
        <v/>
      </c>
      <c r="P51" s="48">
        <f>IF(COUNTA(G51,H51,J51,K51)=0,"",ROUND(AVERAGE(L51:O51)*100,0))</f>
        <v/>
      </c>
      <c r="Q51" s="49">
        <f>IFERROR(AVERAGEIF(C$2:C$57,C51,P$2:P$57),"N/A")</f>
        <v/>
      </c>
      <c r="R51" t="inlineStr">
        <is>
          <t>Documento aderente aos critérios avaliados.</t>
        </is>
      </c>
      <c r="S51" t="inlineStr">
        <is>
          <t>Manter revisão periódica.</t>
        </is>
      </c>
      <c r="T51" t="inlineStr">
        <is>
          <t>Bruno Costa</t>
        </is>
      </c>
      <c r="U51" s="47" t="n">
        <v>46303</v>
      </c>
      <c r="V51" t="inlineStr">
        <is>
          <t>Concluído</t>
        </is>
      </c>
    </row>
    <row r="52" ht="15.75" customHeight="1" s="41">
      <c r="A52" s="4">
        <f>IF(B52="","",ROW()-4)</f>
        <v/>
      </c>
      <c r="B52" s="46" t="n">
        <v>46243</v>
      </c>
      <c r="C52" s="4" t="inlineStr">
        <is>
          <t>Recursos Humanos</t>
        </is>
      </c>
      <c r="D52" s="4" t="inlineStr">
        <is>
          <t>Atendimento ao Cliente</t>
        </is>
      </c>
      <c r="E52" s="4" t="inlineStr">
        <is>
          <t>Norma de Controle de Acesso</t>
        </is>
      </c>
      <c r="F52" s="4" t="n">
        <v>5</v>
      </c>
      <c r="G52" s="4" t="inlineStr">
        <is>
          <t>SIM</t>
        </is>
      </c>
      <c r="H52" s="4" t="inlineStr">
        <is>
          <t>NÃO</t>
        </is>
      </c>
      <c r="I52" s="46" t="n">
        <v>46288</v>
      </c>
      <c r="J52" s="4" t="inlineStr">
        <is>
          <t>NÃO</t>
        </is>
      </c>
      <c r="K52" s="4" t="inlineStr">
        <is>
          <t>Conformidade</t>
        </is>
      </c>
      <c r="L52" s="4">
        <f>IF(G52="","",IF(G52="SIM",1,0))</f>
        <v/>
      </c>
      <c r="M52" s="4">
        <f>IF(H52="","",IF(H52="SIM",1,0))</f>
        <v/>
      </c>
      <c r="N52" s="4">
        <f>IF(J52="","",IF(J52="SIM",1,0))</f>
        <v/>
      </c>
      <c r="O52" s="4">
        <f>IF(K52="","",IF(K52="Conformidade",1,IF(K52="Não Conformidade",0,IF(K52="Não Conformidade Grave",-1,""))))</f>
        <v/>
      </c>
      <c r="P52" s="48">
        <f>IF(COUNTA(G52,H52,J52,K52)=0,"",ROUND(AVERAGE(L52:O52)*100,0))</f>
        <v/>
      </c>
      <c r="Q52" s="49">
        <f>IFERROR(AVERAGEIF(C$2:C$57,C52,P$2:P$57),"N/A")</f>
        <v/>
      </c>
      <c r="R52" t="inlineStr">
        <is>
          <t>Foi identificada oportunidade de adequação documental.</t>
        </is>
      </c>
      <c r="S52" t="inlineStr">
        <is>
          <t>Criar documento e obter aprovação</t>
        </is>
      </c>
      <c r="T52" t="inlineStr">
        <is>
          <t>Carla Souza</t>
        </is>
      </c>
      <c r="U52" s="47" t="n">
        <v>46335</v>
      </c>
      <c r="V52" t="inlineStr">
        <is>
          <t>Aguardando validação</t>
        </is>
      </c>
    </row>
    <row r="53" ht="15.75" customHeight="1" s="41">
      <c r="A53" s="4">
        <f>IF(B53="","",ROW()-4)</f>
        <v/>
      </c>
      <c r="B53" s="46" t="n">
        <v>46183</v>
      </c>
      <c r="C53" s="4" t="inlineStr">
        <is>
          <t>Financeiro</t>
        </is>
      </c>
      <c r="D53" s="4" t="inlineStr">
        <is>
          <t>Contas a Pagar</t>
        </is>
      </c>
      <c r="E53" s="4" t="inlineStr">
        <is>
          <t>Política de Segurança da Informação</t>
        </is>
      </c>
      <c r="F53" s="4" t="n">
        <v>1</v>
      </c>
      <c r="G53" s="4" t="inlineStr">
        <is>
          <t>SIM</t>
        </is>
      </c>
      <c r="H53" s="4" t="inlineStr">
        <is>
          <t>NÃO</t>
        </is>
      </c>
      <c r="I53" s="46" t="n">
        <v>45589</v>
      </c>
      <c r="J53" s="4" t="inlineStr">
        <is>
          <t>NÃO</t>
        </is>
      </c>
      <c r="K53" s="4" t="inlineStr">
        <is>
          <t>Não Conformidade</t>
        </is>
      </c>
      <c r="L53" s="4">
        <f>IF(G53="","",IF(G53="SIM",1,0))</f>
        <v/>
      </c>
      <c r="M53" s="4">
        <f>IF(H53="","",IF(H53="SIM",1,0))</f>
        <v/>
      </c>
      <c r="N53" s="4">
        <f>IF(J53="","",IF(J53="SIM",1,0))</f>
        <v/>
      </c>
      <c r="O53" s="4">
        <f>IF(K53="","",IF(K53="Conformidade",1,IF(K53="Não Conformidade",0,IF(K53="Não Conformidade Grave",-1,""))))</f>
        <v/>
      </c>
      <c r="P53" s="48">
        <f>IF(COUNTA(G53,H53,J53,K53)=0,"",ROUND(AVERAGE(L53:O53)*100,0))</f>
        <v/>
      </c>
      <c r="Q53" s="49">
        <f>IFERROR(AVERAGEIF(C$2:C$57,C53,P$2:P$57),"N/A")</f>
        <v/>
      </c>
      <c r="R53" t="inlineStr">
        <is>
          <t>Foi identificada oportunidade de adequação documental.</t>
        </is>
      </c>
      <c r="S53" t="inlineStr">
        <is>
          <t>Revisar conteúdo e publicar nova versão</t>
        </is>
      </c>
      <c r="T53" t="inlineStr">
        <is>
          <t>Diego Alves</t>
        </is>
      </c>
      <c r="U53" s="47" t="n">
        <v>46275</v>
      </c>
      <c r="V53" t="inlineStr">
        <is>
          <t>Não iniciado</t>
        </is>
      </c>
    </row>
    <row r="54" ht="15.75" customHeight="1" s="41">
      <c r="A54" s="4">
        <f>IF(B54="","",ROW()-4)</f>
        <v/>
      </c>
      <c r="B54" s="46" t="n">
        <v>46214</v>
      </c>
      <c r="C54" s="4" t="inlineStr">
        <is>
          <t>Atendimento</t>
        </is>
      </c>
      <c r="D54" s="4" t="inlineStr">
        <is>
          <t>Treinamento Interno</t>
        </is>
      </c>
      <c r="E54" s="4" t="inlineStr">
        <is>
          <t>Fluxo de Aprovação de Compras</t>
        </is>
      </c>
      <c r="F54" s="4" t="n">
        <v>2</v>
      </c>
      <c r="G54" s="4" t="inlineStr">
        <is>
          <t>SIM</t>
        </is>
      </c>
      <c r="H54" s="4" t="inlineStr">
        <is>
          <t>SIM</t>
        </is>
      </c>
      <c r="I54" s="46" t="n">
        <v>45986</v>
      </c>
      <c r="J54" s="4" t="inlineStr">
        <is>
          <t>SIM</t>
        </is>
      </c>
      <c r="K54" s="4" t="inlineStr">
        <is>
          <t>Conformidade</t>
        </is>
      </c>
      <c r="L54" s="4">
        <f>IF(G54="","",IF(G54="SIM",1,0))</f>
        <v/>
      </c>
      <c r="M54" s="4">
        <f>IF(H54="","",IF(H54="SIM",1,0))</f>
        <v/>
      </c>
      <c r="N54" s="4">
        <f>IF(J54="","",IF(J54="SIM",1,0))</f>
        <v/>
      </c>
      <c r="O54" s="4">
        <f>IF(K54="","",IF(K54="Conformidade",1,IF(K54="Não Conformidade",0,IF(K54="Não Conformidade Grave",-1,""))))</f>
        <v/>
      </c>
      <c r="P54" s="48">
        <f>IF(COUNTA(G54,H54,J54,K54)=0,"",ROUND(AVERAGE(L54:O54)*100,0))</f>
        <v/>
      </c>
      <c r="Q54" s="49">
        <f>IFERROR(AVERAGEIF(C$2:C$57,C54,P$2:P$57),"N/A")</f>
        <v/>
      </c>
      <c r="R54" t="inlineStr">
        <is>
          <t>Documento aderente aos critérios avaliados.</t>
        </is>
      </c>
      <c r="S54" t="inlineStr">
        <is>
          <t>Manter revisão periódica.</t>
        </is>
      </c>
      <c r="T54" t="inlineStr">
        <is>
          <t>Fernanda Rocha</t>
        </is>
      </c>
      <c r="U54" s="47" t="n">
        <v>46306</v>
      </c>
      <c r="V54" t="inlineStr">
        <is>
          <t>Concluído</t>
        </is>
      </c>
    </row>
    <row r="55" ht="15.75" customHeight="1" s="41">
      <c r="A55" s="4">
        <f>IF(B55="","",ROW()-4)</f>
        <v/>
      </c>
      <c r="B55" s="46" t="n">
        <v>46246</v>
      </c>
      <c r="C55" s="4" t="inlineStr">
        <is>
          <t>Tecnologia</t>
        </is>
      </c>
      <c r="D55" s="4" t="inlineStr">
        <is>
          <t>Faturamento</t>
        </is>
      </c>
      <c r="E55" s="4" t="inlineStr">
        <is>
          <t>Checklist de Auditoria</t>
        </is>
      </c>
      <c r="F55" s="4" t="n">
        <v>3</v>
      </c>
      <c r="G55" s="4" t="inlineStr">
        <is>
          <t>SIM</t>
        </is>
      </c>
      <c r="H55" s="4" t="inlineStr">
        <is>
          <t>SIM</t>
        </is>
      </c>
      <c r="I55" s="46" t="n">
        <v>46382</v>
      </c>
      <c r="J55" s="4" t="inlineStr">
        <is>
          <t>SIM</t>
        </is>
      </c>
      <c r="K55" s="4" t="inlineStr">
        <is>
          <t>Conformidade</t>
        </is>
      </c>
      <c r="L55" s="4">
        <f>IF(G55="","",IF(G55="SIM",1,0))</f>
        <v/>
      </c>
      <c r="M55" s="4">
        <f>IF(H55="","",IF(H55="SIM",1,0))</f>
        <v/>
      </c>
      <c r="N55" s="4">
        <f>IF(J55="","",IF(J55="SIM",1,0))</f>
        <v/>
      </c>
      <c r="O55" s="4">
        <f>IF(K55="","",IF(K55="Conformidade",1,IF(K55="Não Conformidade",0,IF(K55="Não Conformidade Grave",-1,""))))</f>
        <v/>
      </c>
      <c r="P55" s="48">
        <f>IF(COUNTA(G55,H55,J55,K55)=0,"",ROUND(AVERAGE(L55:O55)*100,0))</f>
        <v/>
      </c>
      <c r="Q55" s="49">
        <f>IFERROR(AVERAGEIF(C$2:C$57,C55,P$2:P$57),"N/A")</f>
        <v/>
      </c>
      <c r="R55" t="inlineStr">
        <is>
          <t>Documento aderente aos critérios avaliados.</t>
        </is>
      </c>
      <c r="S55" t="inlineStr">
        <is>
          <t>Manter revisão periódica.</t>
        </is>
      </c>
      <c r="T55" t="inlineStr">
        <is>
          <t>Gabriel Martins</t>
        </is>
      </c>
      <c r="U55" s="47" t="n">
        <v>46338</v>
      </c>
      <c r="V55" t="inlineStr">
        <is>
          <t>Concluído</t>
        </is>
      </c>
    </row>
    <row r="56" ht="15.75" customHeight="1" s="41">
      <c r="A56" s="4">
        <f>IF(B56="","",ROW()-4)</f>
        <v/>
      </c>
      <c r="B56" s="46" t="n">
        <v>46186</v>
      </c>
      <c r="C56" s="4" t="inlineStr">
        <is>
          <t>PROCESSOS</t>
        </is>
      </c>
      <c r="D56" s="4" t="inlineStr">
        <is>
          <t>Compras</t>
        </is>
      </c>
      <c r="E56" s="4" t="inlineStr">
        <is>
          <t>Plano de Continuidade</t>
        </is>
      </c>
      <c r="F56" s="4" t="n">
        <v>4</v>
      </c>
      <c r="G56" s="4" t="inlineStr">
        <is>
          <t>SIM</t>
        </is>
      </c>
      <c r="H56" s="4" t="inlineStr">
        <is>
          <t>SIM</t>
        </is>
      </c>
      <c r="I56" s="46" t="n">
        <v>45294</v>
      </c>
      <c r="J56" s="4" t="inlineStr">
        <is>
          <t>NÃO</t>
        </is>
      </c>
      <c r="K56" s="4" t="inlineStr">
        <is>
          <t>Não Conformidade</t>
        </is>
      </c>
      <c r="L56" s="4">
        <f>IF(G56="","",IF(G56="SIM",1,0))</f>
        <v/>
      </c>
      <c r="M56" s="4">
        <f>IF(H56="","",IF(H56="SIM",1,0))</f>
        <v/>
      </c>
      <c r="N56" s="4">
        <f>IF(J56="","",IF(J56="SIM",1,0))</f>
        <v/>
      </c>
      <c r="O56" s="4">
        <f>IF(K56="","",IF(K56="Conformidade",1,IF(K56="Não Conformidade",0,IF(K56="Não Conformidade Grave",-1,""))))</f>
        <v/>
      </c>
      <c r="P56" s="48">
        <f>IF(COUNTA(G56,H56,J56,K56)=0,"",ROUND(AVERAGE(L56:O56)*100,0))</f>
        <v/>
      </c>
      <c r="Q56" s="49">
        <f>IFERROR(AVERAGEIF(C$2:C$57,C56,P$2:P$57),"N/A")</f>
        <v/>
      </c>
      <c r="R56" t="inlineStr">
        <is>
          <t>Foi identificada oportunidade de adequação documental.</t>
        </is>
      </c>
      <c r="S56" t="inlineStr">
        <is>
          <t>Criar documento e obter aprovação</t>
        </is>
      </c>
      <c r="T56" t="inlineStr">
        <is>
          <t>Ana Lima</t>
        </is>
      </c>
      <c r="U56" s="47" t="n">
        <v>46278</v>
      </c>
      <c r="V56" t="inlineStr">
        <is>
          <t>Não iniciado</t>
        </is>
      </c>
    </row>
    <row r="57" ht="15.75" customHeight="1" s="41">
      <c r="A57" s="4">
        <f>IF(B57="","",ROW()-4)</f>
        <v/>
      </c>
      <c r="B57" s="46" t="n">
        <v>46217</v>
      </c>
      <c r="C57" s="4" t="inlineStr">
        <is>
          <t>Qualidade</t>
        </is>
      </c>
      <c r="D57" s="4" t="inlineStr">
        <is>
          <t>Gestão de Incidentes</t>
        </is>
      </c>
      <c r="E57" s="4" t="inlineStr">
        <is>
          <t>Norma de Controle de Acesso</t>
        </is>
      </c>
      <c r="F57" s="4" t="n">
        <v>5</v>
      </c>
      <c r="G57" s="4" t="inlineStr">
        <is>
          <t>NÃO</t>
        </is>
      </c>
      <c r="H57" s="4" t="inlineStr">
        <is>
          <t>SIM</t>
        </is>
      </c>
      <c r="I57" s="46" t="n">
        <v>45692</v>
      </c>
      <c r="J57" s="4" t="inlineStr">
        <is>
          <t>SIM</t>
        </is>
      </c>
      <c r="K57" s="4" t="inlineStr">
        <is>
          <t>Conformidade</t>
        </is>
      </c>
      <c r="L57" s="4">
        <f>IF(G57="","",IF(G57="SIM",1,0))</f>
        <v/>
      </c>
      <c r="M57" s="4">
        <f>IF(H57="","",IF(H57="SIM",1,0))</f>
        <v/>
      </c>
      <c r="N57" s="4">
        <f>IF(J57="","",IF(J57="SIM",1,0))</f>
        <v/>
      </c>
      <c r="O57" s="4">
        <f>IF(K57="","",IF(K57="Conformidade",1,IF(K57="Não Conformidade",0,IF(K57="Não Conformidade Grave",-1,""))))</f>
        <v/>
      </c>
      <c r="P57" s="48">
        <f>IF(COUNTA(G57,H57,J57,K57)=0,"",ROUND(AVERAGE(L57:O57)*100,0))</f>
        <v/>
      </c>
      <c r="Q57" s="49">
        <f>IFERROR(AVERAGEIF(C$2:C$57,C57,P$2:P$57),"N/A")</f>
        <v/>
      </c>
      <c r="R57" t="inlineStr">
        <is>
          <t>Foi identificada oportunidade de adequação documental.</t>
        </is>
      </c>
      <c r="S57" t="inlineStr">
        <is>
          <t>Revisar conteúdo e publicar nova versão</t>
        </is>
      </c>
      <c r="T57" t="inlineStr">
        <is>
          <t>Bruno Costa</t>
        </is>
      </c>
      <c r="U57" s="47" t="n">
        <v>46309</v>
      </c>
      <c r="V57" t="inlineStr">
        <is>
          <t>Em andamento</t>
        </is>
      </c>
    </row>
    <row r="58" ht="15.75" customHeight="1" s="41">
      <c r="A58" t="n">
        <v>1</v>
      </c>
      <c r="B58" t="inlineStr">
        <is>
          <t>18/09/2026</t>
        </is>
      </c>
      <c r="C58" t="inlineStr">
        <is>
          <t>Mobilize</t>
        </is>
      </c>
      <c r="D58" t="inlineStr">
        <is>
          <t>Documentação</t>
        </is>
      </c>
      <c r="E58" t="inlineStr">
        <is>
          <t>Documento NC 01</t>
        </is>
      </c>
      <c r="F58" t="n">
        <v>1</v>
      </c>
      <c r="G58" t="inlineStr">
        <is>
          <t>SIM</t>
        </is>
      </c>
      <c r="H58" t="inlineStr">
        <is>
          <t>NÃO</t>
        </is>
      </c>
      <c r="J58" t="inlineStr">
        <is>
          <t>NÃO</t>
        </is>
      </c>
    </row>
    <row r="59" ht="15.75" customHeight="1" s="41">
      <c r="A59" t="n">
        <v>2</v>
      </c>
      <c r="B59" t="inlineStr">
        <is>
          <t>18/09/2026</t>
        </is>
      </c>
      <c r="C59" t="inlineStr">
        <is>
          <t>Mobilize</t>
        </is>
      </c>
      <c r="D59" t="inlineStr">
        <is>
          <t>Documentação</t>
        </is>
      </c>
      <c r="E59" t="inlineStr">
        <is>
          <t>Documento NC 02</t>
        </is>
      </c>
      <c r="F59" t="n">
        <v>1</v>
      </c>
      <c r="G59" t="inlineStr">
        <is>
          <t>SIM</t>
        </is>
      </c>
      <c r="H59" t="inlineStr">
        <is>
          <t>NÃO</t>
        </is>
      </c>
      <c r="J59" t="inlineStr">
        <is>
          <t>NÃO</t>
        </is>
      </c>
    </row>
    <row r="60" ht="15.75" customHeight="1" s="41">
      <c r="A60" t="n">
        <v>3</v>
      </c>
      <c r="B60" t="inlineStr">
        <is>
          <t>18/09/2026</t>
        </is>
      </c>
      <c r="C60" t="inlineStr">
        <is>
          <t>Mobilize</t>
        </is>
      </c>
      <c r="D60" t="inlineStr">
        <is>
          <t>Documentação</t>
        </is>
      </c>
      <c r="E60" t="inlineStr">
        <is>
          <t>Documento NC 03</t>
        </is>
      </c>
      <c r="F60" t="n">
        <v>1</v>
      </c>
      <c r="G60" t="inlineStr">
        <is>
          <t>SIM</t>
        </is>
      </c>
      <c r="H60" t="inlineStr">
        <is>
          <t>NÃO</t>
        </is>
      </c>
      <c r="J60" t="inlineStr">
        <is>
          <t>NÃO</t>
        </is>
      </c>
    </row>
    <row r="61" ht="15.75" customHeight="1" s="41">
      <c r="A61" t="n">
        <v>4</v>
      </c>
      <c r="B61" t="inlineStr">
        <is>
          <t>18/09/2026</t>
        </is>
      </c>
      <c r="C61" t="inlineStr">
        <is>
          <t>Mobilize</t>
        </is>
      </c>
      <c r="D61" t="inlineStr">
        <is>
          <t>Documentação</t>
        </is>
      </c>
      <c r="E61" t="inlineStr">
        <is>
          <t>Documento NC 04</t>
        </is>
      </c>
      <c r="F61" t="n">
        <v>1</v>
      </c>
      <c r="G61" t="inlineStr">
        <is>
          <t>SIM</t>
        </is>
      </c>
      <c r="H61" t="inlineStr">
        <is>
          <t>NÃO</t>
        </is>
      </c>
      <c r="J61" t="inlineStr">
        <is>
          <t>NÃO</t>
        </is>
      </c>
    </row>
    <row r="62" ht="15.75" customHeight="1" s="41">
      <c r="A62" t="n">
        <v>5</v>
      </c>
      <c r="B62" t="inlineStr">
        <is>
          <t>18/09/2026</t>
        </is>
      </c>
      <c r="C62" t="inlineStr">
        <is>
          <t>Mobilize</t>
        </is>
      </c>
      <c r="D62" t="inlineStr">
        <is>
          <t>Documentação</t>
        </is>
      </c>
      <c r="E62" t="inlineStr">
        <is>
          <t>Documento NC 05</t>
        </is>
      </c>
      <c r="F62" t="n">
        <v>1</v>
      </c>
      <c r="G62" t="inlineStr">
        <is>
          <t>SIM</t>
        </is>
      </c>
      <c r="H62" t="inlineStr">
        <is>
          <t>NÃO</t>
        </is>
      </c>
      <c r="J62" t="inlineStr">
        <is>
          <t>NÃO</t>
        </is>
      </c>
    </row>
    <row r="63" ht="15.75" customHeight="1" s="41">
      <c r="A63" t="n">
        <v>6</v>
      </c>
      <c r="B63" t="inlineStr">
        <is>
          <t>18/09/2026</t>
        </is>
      </c>
      <c r="C63" t="inlineStr">
        <is>
          <t>Mobilize</t>
        </is>
      </c>
      <c r="D63" t="inlineStr">
        <is>
          <t>Processos</t>
        </is>
      </c>
      <c r="E63" t="inlineStr">
        <is>
          <t>Documento NC 06</t>
        </is>
      </c>
      <c r="F63" t="n">
        <v>1</v>
      </c>
      <c r="G63" t="inlineStr">
        <is>
          <t>SIM</t>
        </is>
      </c>
      <c r="H63" t="inlineStr">
        <is>
          <t>NÃO</t>
        </is>
      </c>
      <c r="J63" t="inlineStr">
        <is>
          <t>NÃO</t>
        </is>
      </c>
    </row>
    <row r="64" ht="15.75" customHeight="1" s="41">
      <c r="A64" t="n">
        <v>7</v>
      </c>
      <c r="B64" t="inlineStr">
        <is>
          <t>18/09/2026</t>
        </is>
      </c>
      <c r="C64" t="inlineStr">
        <is>
          <t>Mobilize</t>
        </is>
      </c>
      <c r="D64" t="inlineStr">
        <is>
          <t>Indicadores</t>
        </is>
      </c>
      <c r="E64" t="inlineStr">
        <is>
          <t>Documento NC 07</t>
        </is>
      </c>
      <c r="F64" t="n">
        <v>1</v>
      </c>
      <c r="G64" t="inlineStr">
        <is>
          <t>SIM</t>
        </is>
      </c>
      <c r="H64" t="inlineStr">
        <is>
          <t>NÃO</t>
        </is>
      </c>
      <c r="J64" t="inlineStr">
        <is>
          <t>NÃO</t>
        </is>
      </c>
    </row>
    <row r="65" ht="15.75" customHeight="1" s="41">
      <c r="A65" t="n">
        <v>8</v>
      </c>
      <c r="B65" t="inlineStr">
        <is>
          <t>18/09/2026</t>
        </is>
      </c>
      <c r="C65" t="inlineStr">
        <is>
          <t>Mobilize</t>
        </is>
      </c>
      <c r="D65" t="inlineStr">
        <is>
          <t>Treinamento</t>
        </is>
      </c>
      <c r="E65" t="inlineStr">
        <is>
          <t>Documento NC 08</t>
        </is>
      </c>
      <c r="F65" t="n">
        <v>1</v>
      </c>
      <c r="G65" t="inlineStr">
        <is>
          <t>SIM</t>
        </is>
      </c>
      <c r="H65" t="inlineStr">
        <is>
          <t>NÃO</t>
        </is>
      </c>
      <c r="J65" t="inlineStr">
        <is>
          <t>NÃO</t>
        </is>
      </c>
    </row>
    <row r="66" ht="15.75" customHeight="1" s="41">
      <c r="A66" t="n">
        <v>9</v>
      </c>
      <c r="B66" t="inlineStr">
        <is>
          <t>18/09/2026</t>
        </is>
      </c>
      <c r="C66" t="inlineStr">
        <is>
          <t>Mobilize</t>
        </is>
      </c>
      <c r="D66" t="inlineStr">
        <is>
          <t>Clube FIQ</t>
        </is>
      </c>
      <c r="E66" t="inlineStr">
        <is>
          <t>Documento NC 09</t>
        </is>
      </c>
      <c r="F66" t="n">
        <v>1</v>
      </c>
      <c r="G66" t="inlineStr">
        <is>
          <t>SIM</t>
        </is>
      </c>
      <c r="H66" t="inlineStr">
        <is>
          <t>NÃO</t>
        </is>
      </c>
      <c r="J66" t="inlineStr">
        <is>
          <t>NÃO</t>
        </is>
      </c>
    </row>
    <row r="67" ht="15.75" customHeight="1" s="41">
      <c r="A67" t="n">
        <v>10</v>
      </c>
      <c r="B67" t="inlineStr">
        <is>
          <t>18/09/2026</t>
        </is>
      </c>
      <c r="C67" t="inlineStr">
        <is>
          <t>Mobilize</t>
        </is>
      </c>
      <c r="D67" t="inlineStr">
        <is>
          <t>Documentação</t>
        </is>
      </c>
      <c r="E67" t="inlineStr">
        <is>
          <t>D.C.231.EXTE</t>
        </is>
      </c>
      <c r="F67" t="n">
        <v>1</v>
      </c>
      <c r="G67" t="inlineStr">
        <is>
          <t>SIM</t>
        </is>
      </c>
      <c r="H67" t="inlineStr">
        <is>
          <t>NÃO</t>
        </is>
      </c>
      <c r="J67" t="inlineStr">
        <is>
          <t>NÃO</t>
        </is>
      </c>
    </row>
    <row r="68" ht="15.75" customHeight="1" s="41">
      <c r="A68" t="n">
        <v>11</v>
      </c>
      <c r="B68" t="inlineStr">
        <is>
          <t>18/09/2026</t>
        </is>
      </c>
      <c r="C68" t="inlineStr">
        <is>
          <t>Mobilize</t>
        </is>
      </c>
      <c r="D68" t="inlineStr">
        <is>
          <t>Documentação</t>
        </is>
      </c>
      <c r="E68" t="inlineStr">
        <is>
          <t>D.C.232.EXTE</t>
        </is>
      </c>
      <c r="F68" t="n">
        <v>1</v>
      </c>
      <c r="G68" t="inlineStr">
        <is>
          <t>SIM</t>
        </is>
      </c>
      <c r="H68" t="inlineStr">
        <is>
          <t>NÃO</t>
        </is>
      </c>
      <c r="J68" t="inlineStr">
        <is>
          <t>NÃO</t>
        </is>
      </c>
    </row>
    <row r="69" ht="15.75" customHeight="1" s="41">
      <c r="A69" t="n">
        <v>12</v>
      </c>
      <c r="B69" t="inlineStr">
        <is>
          <t>18/09/2026</t>
        </is>
      </c>
      <c r="C69" t="inlineStr">
        <is>
          <t>Mobilize</t>
        </is>
      </c>
      <c r="D69" t="inlineStr">
        <is>
          <t>Documentação</t>
        </is>
      </c>
      <c r="E69" t="inlineStr">
        <is>
          <t>D.C.1504.EXTE</t>
        </is>
      </c>
      <c r="F69" t="n">
        <v>1</v>
      </c>
      <c r="G69" t="inlineStr">
        <is>
          <t>SIM</t>
        </is>
      </c>
      <c r="H69" t="inlineStr">
        <is>
          <t>NÃO</t>
        </is>
      </c>
      <c r="J69" t="inlineStr">
        <is>
          <t>NÃO</t>
        </is>
      </c>
    </row>
    <row r="70" ht="15.75" customHeight="1" s="41">
      <c r="A70" t="n">
        <v>13</v>
      </c>
      <c r="B70" t="inlineStr">
        <is>
          <t>18/09/2026</t>
        </is>
      </c>
      <c r="C70" t="inlineStr">
        <is>
          <t>Mobilize</t>
        </is>
      </c>
      <c r="D70" t="inlineStr">
        <is>
          <t>Documentação</t>
        </is>
      </c>
      <c r="E70" t="inlineStr">
        <is>
          <t>D.C.2480.EXTE</t>
        </is>
      </c>
      <c r="F70" t="n">
        <v>1</v>
      </c>
      <c r="G70" t="inlineStr">
        <is>
          <t>SIM</t>
        </is>
      </c>
      <c r="H70" t="inlineStr">
        <is>
          <t>NÃO</t>
        </is>
      </c>
      <c r="J70" t="inlineStr">
        <is>
          <t>NÃO</t>
        </is>
      </c>
    </row>
    <row r="71" ht="15.75" customHeight="1" s="41">
      <c r="A71" t="n">
        <v>14</v>
      </c>
      <c r="B71" t="inlineStr">
        <is>
          <t>18/09/2026</t>
        </is>
      </c>
      <c r="C71" t="inlineStr">
        <is>
          <t>Mobilize</t>
        </is>
      </c>
      <c r="D71" t="inlineStr">
        <is>
          <t>Documentação</t>
        </is>
      </c>
      <c r="E71" t="inlineStr">
        <is>
          <t>D.C.1517.EXTE</t>
        </is>
      </c>
      <c r="F71" t="n">
        <v>1</v>
      </c>
      <c r="G71" t="inlineStr">
        <is>
          <t>SIM</t>
        </is>
      </c>
      <c r="H71" t="inlineStr">
        <is>
          <t>NÃO</t>
        </is>
      </c>
      <c r="J71" t="inlineStr">
        <is>
          <t>NÃO</t>
        </is>
      </c>
    </row>
    <row r="72" ht="15.75" customHeight="1" s="41">
      <c r="A72" t="n">
        <v>15</v>
      </c>
      <c r="B72" t="inlineStr">
        <is>
          <t>18/09/2026</t>
        </is>
      </c>
      <c r="C72" t="inlineStr">
        <is>
          <t>Mobilize</t>
        </is>
      </c>
      <c r="D72" t="inlineStr">
        <is>
          <t>Documentação</t>
        </is>
      </c>
      <c r="E72" t="inlineStr">
        <is>
          <t>D.C.136.EXTE</t>
        </is>
      </c>
      <c r="F72" t="n">
        <v>1</v>
      </c>
      <c r="G72" t="inlineStr">
        <is>
          <t>SIM</t>
        </is>
      </c>
      <c r="H72" t="inlineStr">
        <is>
          <t>NÃO</t>
        </is>
      </c>
      <c r="J72" t="inlineStr">
        <is>
          <t>NÃO</t>
        </is>
      </c>
    </row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autoFilter ref="A1:P57"/>
  <conditionalFormatting sqref="G2:H57 K4:K1000">
    <cfRule type="cellIs" priority="2" operator="equal" dxfId="0">
      <formula>"SIM"</formula>
    </cfRule>
    <cfRule type="cellIs" priority="3" operator="equal" dxfId="2">
      <formula>"NÃO"</formula>
    </cfRule>
  </conditionalFormatting>
  <conditionalFormatting sqref="J2:K3 J4:J57">
    <cfRule type="cellIs" priority="4" operator="equal" dxfId="0">
      <formula>"SIM"</formula>
    </cfRule>
    <cfRule type="cellIs" priority="5" operator="equal" dxfId="2">
      <formula>"NÃO"</formula>
    </cfRule>
  </conditionalFormatting>
  <conditionalFormatting sqref="P2:Q57 Q58:Q1000">
    <cfRule type="cellIs" priority="6" operator="lessThan" dxfId="2">
      <formula>50</formula>
    </cfRule>
    <cfRule type="cellIs" priority="7" operator="between" dxfId="1">
      <formula>50</formula>
      <formula>79</formula>
    </cfRule>
    <cfRule type="cellIs" priority="8" operator="greaterThanOrEqual" dxfId="0">
      <formula>80</formula>
    </cfRule>
  </conditionalFormatting>
  <dataValidations count="5">
    <dataValidation sqref="K2:K1000" showDropDown="0" showInputMessage="0" showErrorMessage="0" allowBlank="1" type="list">
      <formula1>"Não Conformidade Grave,Não Conformidade,Conformidade,Observação"</formula1>
      <formula2>0</formula2>
    </dataValidation>
    <dataValidation sqref="G2:H7 J2:J7" showDropDown="0" showInputMessage="0" showErrorMessage="0" allowBlank="1" type="list">
      <formula1>"SIM,NÃO"</formula1>
      <formula2>0</formula2>
    </dataValidation>
    <dataValidation sqref="B2:B7 I2:I7" showDropDown="0" showInputMessage="0" showErrorMessage="0" allowBlank="1" type="date">
      <formula1>DATE(2000,1,1)</formula1>
      <formula2>DATE(2100,12,31)</formula2>
    </dataValidation>
    <dataValidation sqref="F2:F7" showDropDown="0" showInputMessage="0" showErrorMessage="0" allowBlank="1" type="decimal" operator="greaterThanOrEqual">
      <formula1>0</formula1>
      <formula2>0</formula2>
    </dataValidation>
    <dataValidation sqref="V2:V1000" showDropDown="0" showInputMessage="0" showErrorMessage="0" allowBlank="1" type="list">
      <formula1>"Aberto,Em andamento,Concluído"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U211"/>
  <sheetViews>
    <sheetView topLeftCell="F1" zoomScaleNormal="100" workbookViewId="0">
      <pane ySplit="1" topLeftCell="A3" activePane="bottomLeft" state="frozen"/>
      <selection pane="bottomLeft" activeCell="P3" sqref="P3"/>
    </sheetView>
  </sheetViews>
  <sheetFormatPr baseColWidth="8" defaultColWidth="8.7109375" defaultRowHeight="15"/>
  <cols>
    <col width="13" customWidth="1" style="41" min="1" max="1"/>
    <col width="16" customWidth="1" style="41" min="2" max="2"/>
    <col width="22" customWidth="1" style="41" min="3" max="3"/>
    <col width="28" customWidth="1" style="41" min="4" max="4"/>
    <col width="30" customWidth="1" style="41" min="5" max="5"/>
    <col width="13" customWidth="1" style="41" min="6" max="6"/>
    <col width="16" customWidth="1" style="41" min="7" max="7"/>
    <col width="18" customWidth="1" style="41" min="8" max="8"/>
    <col width="12" customWidth="1" style="41" min="9" max="9"/>
    <col width="17" customWidth="1" style="41" min="10" max="10"/>
    <col width="13" customWidth="1" style="41" min="11" max="12"/>
    <col width="11" customWidth="1" style="41" min="13" max="13"/>
    <col width="14" customWidth="1" style="41" min="14" max="14"/>
    <col width="16" customWidth="1" style="41" min="15" max="15"/>
    <col width="10" customWidth="1" style="41" min="16" max="16"/>
    <col width="22" customWidth="1" style="41" min="17" max="17"/>
  </cols>
  <sheetData>
    <row r="1" ht="15" customHeight="1" s="41">
      <c r="A1" s="1" t="inlineStr">
        <is>
          <t>ID Avaliação</t>
        </is>
      </c>
      <c r="B1" s="1" t="inlineStr">
        <is>
          <t>Data da avaliação</t>
        </is>
      </c>
      <c r="C1" s="1" t="inlineStr">
        <is>
          <t>Operação</t>
        </is>
      </c>
      <c r="D1" s="1" t="inlineStr">
        <is>
          <t>Processo avaliado</t>
        </is>
      </c>
      <c r="E1" s="1" t="inlineStr">
        <is>
          <t>Nome_Indicador</t>
        </is>
      </c>
      <c r="F1" s="1" t="inlineStr">
        <is>
          <t>Quantidade</t>
        </is>
      </c>
      <c r="G1" s="7" t="inlineStr">
        <is>
          <t>Existe indicador?</t>
        </is>
      </c>
      <c r="H1" s="7" t="inlineStr">
        <is>
          <t>Como é atualizado?</t>
        </is>
      </c>
      <c r="I1" s="7" t="inlineStr">
        <is>
          <t>No padrão?</t>
        </is>
      </c>
      <c r="J1" s="7" t="inlineStr">
        <is>
          <t>Conforme?</t>
        </is>
      </c>
      <c r="K1" s="7" t="inlineStr">
        <is>
          <t>Existência</t>
        </is>
      </c>
      <c r="L1" s="7" t="inlineStr">
        <is>
          <t>Atualização</t>
        </is>
      </c>
      <c r="M1" s="7" t="inlineStr">
        <is>
          <t>Padrão</t>
        </is>
      </c>
      <c r="N1" s="7" t="inlineStr">
        <is>
          <t>Conformidade</t>
        </is>
      </c>
      <c r="O1" s="7" t="inlineStr">
        <is>
          <t>Score Indicadores</t>
        </is>
      </c>
      <c r="P1" s="7" t="inlineStr">
        <is>
          <t>Geral</t>
        </is>
      </c>
      <c r="Q1" s="7" t="inlineStr">
        <is>
          <t>Observação</t>
        </is>
      </c>
      <c r="R1" t="inlineStr">
        <is>
          <t>Plano de Ação</t>
        </is>
      </c>
      <c r="S1" t="inlineStr">
        <is>
          <t>Responsável</t>
        </is>
      </c>
      <c r="T1" t="inlineStr">
        <is>
          <t>Prazo</t>
        </is>
      </c>
      <c r="U1" t="inlineStr">
        <is>
          <t>Status da Ação</t>
        </is>
      </c>
    </row>
    <row r="2" hidden="1" ht="15" customHeight="1" s="41">
      <c r="A2" s="8">
        <f>IF(B2="","",ROW()-1)</f>
        <v/>
      </c>
      <c r="B2" s="9" t="n">
        <v>46247</v>
      </c>
      <c r="C2" s="10" t="inlineStr">
        <is>
          <t>Qualidade</t>
        </is>
      </c>
      <c r="D2" s="10" t="inlineStr">
        <is>
          <t>Admissão</t>
        </is>
      </c>
      <c r="E2" s="10" t="inlineStr">
        <is>
          <t>Taxa de Absenteísmo</t>
        </is>
      </c>
      <c r="F2" s="10" t="n">
        <v>1</v>
      </c>
      <c r="G2" s="10" t="inlineStr">
        <is>
          <t>SIM</t>
        </is>
      </c>
      <c r="H2" s="10" t="inlineStr">
        <is>
          <t>Automático</t>
        </is>
      </c>
      <c r="I2" s="10" t="inlineStr">
        <is>
          <t>SIM</t>
        </is>
      </c>
      <c r="J2" s="10" t="inlineStr">
        <is>
          <t>Conformidade</t>
        </is>
      </c>
      <c r="K2" s="8">
        <f>IF(G2="","",IF(G2="SIM",1,0))</f>
        <v/>
      </c>
      <c r="L2" s="8">
        <f>IF(H2="","",IF(H2="Automático",1,IF(H2="Manual",0.5,IF(H2="Não atualizado",0,""))))</f>
        <v/>
      </c>
      <c r="M2" s="8">
        <f>IF(I2="","",IF(I2="SIM",1,0))</f>
        <v/>
      </c>
      <c r="N2" s="8">
        <f>IF(J2="","",IF(J2="Conformidade",1,IF(J2="Não Conformidade",0,IF(J2="Não Conformidade Grave",-1,""))))</f>
        <v/>
      </c>
      <c r="O2" s="8">
        <f>IF(COUNTA(G2:J2)=0,"",ROUND(AVERAGE(K2:N2)*100,0))</f>
        <v/>
      </c>
      <c r="P2" s="8">
        <f>IFERROR(AVERAGEIF(C$2:C$201,C2,O$2:O$201),"N/A")</f>
        <v/>
      </c>
      <c r="Q2" s="10" t="inlineStr">
        <is>
          <t>Linha de exemplo - substitua pelos dados reais</t>
        </is>
      </c>
    </row>
    <row r="3" ht="15" customHeight="1" s="41">
      <c r="A3" s="8">
        <f>IF(B3="","",ROW()-1)</f>
        <v/>
      </c>
      <c r="B3" s="50" t="n">
        <v>46179</v>
      </c>
      <c r="C3" s="10" t="inlineStr">
        <is>
          <t>PROCESSOS</t>
        </is>
      </c>
      <c r="D3" s="10" t="inlineStr">
        <is>
          <t>Admissão</t>
        </is>
      </c>
      <c r="E3" s="10" t="inlineStr">
        <is>
          <t>Taxa de Absenteísmo</t>
        </is>
      </c>
      <c r="F3" s="10" t="n">
        <v>1</v>
      </c>
      <c r="G3" s="10" t="inlineStr">
        <is>
          <t>NÃO</t>
        </is>
      </c>
      <c r="H3" s="10" t="inlineStr">
        <is>
          <t>Não atualizado</t>
        </is>
      </c>
      <c r="I3" s="10" t="inlineStr">
        <is>
          <t>NÃO</t>
        </is>
      </c>
      <c r="J3" s="10" t="inlineStr">
        <is>
          <t>Não Conformidade Grave</t>
        </is>
      </c>
      <c r="K3" s="8">
        <f>IF(G3="","",IF(G3="SIM",1,0))</f>
        <v/>
      </c>
      <c r="L3" s="8">
        <f>IF(H3="","",IF(H3="Automático",1,IF(H3="Manual",0.5,IF(H3="Não atualizado",0,""))))</f>
        <v/>
      </c>
      <c r="M3" s="8">
        <f>IF(I3="","",IF(I3="SIM",1,0))</f>
        <v/>
      </c>
      <c r="N3" s="8">
        <f>IF(J3="","",IF(J3="Conformidade",1,IF(J3="Não Conformidade",0,IF(J3="Não Conformidade Grave",-1,""))))</f>
        <v/>
      </c>
      <c r="O3" s="51">
        <f>IF(COUNTA(G3:J3)=0,"",ROUND(AVERAGE(K3:N3)*100,0))</f>
        <v/>
      </c>
      <c r="P3" s="51">
        <f>IFERROR(AVERAGEIF(C$2:C$201,C3,O$2:O$201),"N/A")</f>
        <v/>
      </c>
      <c r="Q3" s="10" t="inlineStr">
        <is>
          <t>Indicador requer melhoria de definição, atualização ou aderência.</t>
        </is>
      </c>
      <c r="R3" t="inlineStr">
        <is>
          <t>Formalizar indicador e definir responsável</t>
        </is>
      </c>
      <c r="S3" t="inlineStr">
        <is>
          <t>Ana Lima</t>
        </is>
      </c>
      <c r="T3" s="47" t="n">
        <v>46273</v>
      </c>
      <c r="U3" t="inlineStr">
        <is>
          <t>Não iniciado</t>
        </is>
      </c>
    </row>
    <row r="4" hidden="1" ht="15" customHeight="1" s="41">
      <c r="A4" s="8">
        <f>IF(B4="","",ROW()-1)</f>
        <v/>
      </c>
      <c r="B4" s="50" t="n">
        <v>46210</v>
      </c>
      <c r="C4" s="10" t="inlineStr">
        <is>
          <t>Qualidade</t>
        </is>
      </c>
      <c r="D4" s="10" t="inlineStr">
        <is>
          <t>Gestão de Contratos</t>
        </is>
      </c>
      <c r="E4" s="10" t="inlineStr">
        <is>
          <t>Índice de Retrabalho</t>
        </is>
      </c>
      <c r="F4" s="10" t="n">
        <v>2</v>
      </c>
      <c r="G4" s="10" t="inlineStr">
        <is>
          <t>SIM</t>
        </is>
      </c>
      <c r="H4" s="10" t="inlineStr">
        <is>
          <t>Automático</t>
        </is>
      </c>
      <c r="I4" s="10" t="inlineStr">
        <is>
          <t>SIM</t>
        </is>
      </c>
      <c r="J4" s="10" t="inlineStr">
        <is>
          <t>Conformidade</t>
        </is>
      </c>
      <c r="K4" s="8">
        <f>IF(G4="","",IF(G4="SIM",1,0))</f>
        <v/>
      </c>
      <c r="L4" s="8">
        <f>IF(H4="","",IF(H4="Automático",1,IF(H4="Manual",0.5,IF(H4="Não atualizado",0,""))))</f>
        <v/>
      </c>
      <c r="M4" s="8">
        <f>IF(I4="","",IF(I4="SIM",1,0))</f>
        <v/>
      </c>
      <c r="N4" s="8">
        <f>IF(J4="","",IF(J4="Conformidade",1,IF(J4="Não Conformidade",0,IF(J4="Não Conformidade Grave",-1,""))))</f>
        <v/>
      </c>
      <c r="O4" s="51">
        <f>IF(COUNTA(G4:J4)=0,"",ROUND(AVERAGE(K4:N4)*100,0))</f>
        <v/>
      </c>
      <c r="P4" s="51">
        <f>IFERROR(AVERAGEIF(C$2:C$201,C4,O$2:O$201),"N/A")</f>
        <v/>
      </c>
      <c r="Q4" s="10" t="inlineStr">
        <is>
          <t>Indicador formalizado e acompanhado regularmente.</t>
        </is>
      </c>
      <c r="R4" t="inlineStr">
        <is>
          <t>Manter acompanhamento mensal.</t>
        </is>
      </c>
      <c r="S4" t="inlineStr">
        <is>
          <t>Bruno Costa</t>
        </is>
      </c>
      <c r="T4" s="47" t="n">
        <v>46304</v>
      </c>
      <c r="U4" t="inlineStr">
        <is>
          <t>Concluído</t>
        </is>
      </c>
    </row>
    <row r="5" hidden="1" ht="15" customHeight="1" s="41">
      <c r="A5" s="8">
        <f>IF(B5="","",ROW()-1)</f>
        <v/>
      </c>
      <c r="B5" s="50" t="n">
        <v>46242</v>
      </c>
      <c r="C5" s="10" t="inlineStr">
        <is>
          <t>Recursos Humanos</t>
        </is>
      </c>
      <c r="D5" s="10" t="inlineStr">
        <is>
          <t>Controle de Acesso</t>
        </is>
      </c>
      <c r="E5" s="10" t="inlineStr">
        <is>
          <t>Taxa de Conversão</t>
        </is>
      </c>
      <c r="F5" s="10" t="n">
        <v>3</v>
      </c>
      <c r="G5" s="10" t="inlineStr">
        <is>
          <t>SIM</t>
        </is>
      </c>
      <c r="H5" s="10" t="inlineStr">
        <is>
          <t>Automático</t>
        </is>
      </c>
      <c r="I5" s="10" t="inlineStr">
        <is>
          <t>SIM</t>
        </is>
      </c>
      <c r="J5" s="10" t="inlineStr">
        <is>
          <t>Conformidade</t>
        </is>
      </c>
      <c r="K5" s="8">
        <f>IF(G5="","",IF(G5="SIM",1,0))</f>
        <v/>
      </c>
      <c r="L5" s="8">
        <f>IF(H5="","",IF(H5="Automático",1,IF(H5="Manual",0.5,IF(H5="Não atualizado",0,""))))</f>
        <v/>
      </c>
      <c r="M5" s="8">
        <f>IF(I5="","",IF(I5="SIM",1,0))</f>
        <v/>
      </c>
      <c r="N5" s="8">
        <f>IF(J5="","",IF(J5="Conformidade",1,IF(J5="Não Conformidade",0,IF(J5="Não Conformidade Grave",-1,""))))</f>
        <v/>
      </c>
      <c r="O5" s="51">
        <f>IF(COUNTA(G5:J5)=0,"",ROUND(AVERAGE(K5:N5)*100,0))</f>
        <v/>
      </c>
      <c r="P5" s="51">
        <f>IFERROR(AVERAGEIF(C$2:C$201,C5,O$2:O$201),"N/A")</f>
        <v/>
      </c>
      <c r="Q5" s="10" t="inlineStr">
        <is>
          <t>Indicador formalizado e acompanhado regularmente.</t>
        </is>
      </c>
      <c r="R5" t="inlineStr">
        <is>
          <t>Manter acompanhamento mensal.</t>
        </is>
      </c>
      <c r="S5" t="inlineStr">
        <is>
          <t>Carla Souza</t>
        </is>
      </c>
      <c r="T5" s="47" t="n">
        <v>46336</v>
      </c>
      <c r="U5" t="inlineStr">
        <is>
          <t>Concluído</t>
        </is>
      </c>
    </row>
    <row r="6" hidden="1" ht="15" customHeight="1" s="41">
      <c r="A6" s="8">
        <f>IF(B6="","",ROW()-1)</f>
        <v/>
      </c>
      <c r="B6" s="50" t="n">
        <v>46182</v>
      </c>
      <c r="C6" s="10" t="inlineStr">
        <is>
          <t>Financeiro</t>
        </is>
      </c>
      <c r="D6" s="10" t="inlineStr">
        <is>
          <t>Auditoria de Processos</t>
        </is>
      </c>
      <c r="E6" s="10" t="inlineStr">
        <is>
          <t>Índice de Satisfação</t>
        </is>
      </c>
      <c r="F6" s="10" t="n">
        <v>4</v>
      </c>
      <c r="G6" s="10" t="inlineStr">
        <is>
          <t>SIM</t>
        </is>
      </c>
      <c r="H6" s="10" t="inlineStr">
        <is>
          <t>Manual</t>
        </is>
      </c>
      <c r="I6" s="10" t="inlineStr">
        <is>
          <t>SIM</t>
        </is>
      </c>
      <c r="J6" s="10" t="inlineStr">
        <is>
          <t>Conformidade</t>
        </is>
      </c>
      <c r="K6" s="8">
        <f>IF(G6="","",IF(G6="SIM",1,0))</f>
        <v/>
      </c>
      <c r="L6" s="8">
        <f>IF(H6="","",IF(H6="Automático",1,IF(H6="Manual",0.5,IF(H6="Não atualizado",0,""))))</f>
        <v/>
      </c>
      <c r="M6" s="8">
        <f>IF(I6="","",IF(I6="SIM",1,0))</f>
        <v/>
      </c>
      <c r="N6" s="8">
        <f>IF(J6="","",IF(J6="Conformidade",1,IF(J6="Não Conformidade",0,IF(J6="Não Conformidade Grave",-1,""))))</f>
        <v/>
      </c>
      <c r="O6" s="51">
        <f>IF(COUNTA(G6:J6)=0,"",ROUND(AVERAGE(K6:N6)*100,0))</f>
        <v/>
      </c>
      <c r="P6" s="51">
        <f>IFERROR(AVERAGEIF(C$2:C$201,C6,O$2:O$201),"N/A")</f>
        <v/>
      </c>
      <c r="Q6" s="10" t="inlineStr">
        <is>
          <t>Indicador formalizado e acompanhado regularmente.</t>
        </is>
      </c>
      <c r="R6" t="inlineStr">
        <is>
          <t>Manter acompanhamento mensal.</t>
        </is>
      </c>
      <c r="S6" t="inlineStr">
        <is>
          <t>Diego Alves</t>
        </is>
      </c>
      <c r="T6" s="47" t="n">
        <v>46276</v>
      </c>
      <c r="U6" t="inlineStr">
        <is>
          <t>Concluído</t>
        </is>
      </c>
    </row>
    <row r="7" hidden="1" ht="15" customHeight="1" s="41">
      <c r="A7" s="8">
        <f>IF(B7="","",ROW()-1)</f>
        <v/>
      </c>
      <c r="B7" s="50" t="n">
        <v>46213</v>
      </c>
      <c r="C7" s="10" t="inlineStr">
        <is>
          <t>Atendimento</t>
        </is>
      </c>
      <c r="D7" s="10" t="inlineStr">
        <is>
          <t>Atendimento ao Cliente</t>
        </is>
      </c>
      <c r="E7" s="10" t="inlineStr">
        <is>
          <t>Aderência ao Procedimento</t>
        </is>
      </c>
      <c r="F7" s="10" t="n">
        <v>5</v>
      </c>
      <c r="G7" s="10" t="inlineStr">
        <is>
          <t>SIM</t>
        </is>
      </c>
      <c r="H7" s="10" t="inlineStr">
        <is>
          <t>Automático</t>
        </is>
      </c>
      <c r="I7" s="10" t="inlineStr">
        <is>
          <t>NÃO</t>
        </is>
      </c>
      <c r="J7" s="10" t="inlineStr">
        <is>
          <t>Não Conformidade</t>
        </is>
      </c>
      <c r="K7" s="8">
        <f>IF(G7="","",IF(G7="SIM",1,0))</f>
        <v/>
      </c>
      <c r="L7" s="8">
        <f>IF(H7="","",IF(H7="Automático",1,IF(H7="Manual",0.5,IF(H7="Não atualizado",0,""))))</f>
        <v/>
      </c>
      <c r="M7" s="8">
        <f>IF(I7="","",IF(I7="SIM",1,0))</f>
        <v/>
      </c>
      <c r="N7" s="8">
        <f>IF(J7="","",IF(J7="Conformidade",1,IF(J7="Não Conformidade",0,IF(J7="Não Conformidade Grave",-1,""))))</f>
        <v/>
      </c>
      <c r="O7" s="51">
        <f>IF(COUNTA(G7:J7)=0,"",ROUND(AVERAGE(K7:N7)*100,0))</f>
        <v/>
      </c>
      <c r="P7" s="51">
        <f>IFERROR(AVERAGEIF(C$2:C$201,C7,O$2:O$201),"N/A")</f>
        <v/>
      </c>
      <c r="Q7" s="10" t="inlineStr">
        <is>
          <t>Indicador requer melhoria de definição, atualização ou aderência.</t>
        </is>
      </c>
      <c r="R7" t="inlineStr">
        <is>
          <t>Formalizar indicador e definir responsável</t>
        </is>
      </c>
      <c r="S7" t="inlineStr">
        <is>
          <t>Fernanda Rocha</t>
        </is>
      </c>
      <c r="T7" s="47" t="n">
        <v>46307</v>
      </c>
      <c r="U7" t="inlineStr">
        <is>
          <t>Em andamento</t>
        </is>
      </c>
    </row>
    <row r="8" hidden="1" ht="15" customHeight="1" s="41">
      <c r="A8" s="8">
        <f>IF(B8="","",ROW()-1)</f>
        <v/>
      </c>
      <c r="B8" s="50" t="n">
        <v>46245</v>
      </c>
      <c r="C8" s="10" t="inlineStr">
        <is>
          <t>Tecnologia</t>
        </is>
      </c>
      <c r="D8" s="10" t="inlineStr">
        <is>
          <t>Contas a Pagar</t>
        </is>
      </c>
      <c r="E8" s="10" t="inlineStr">
        <is>
          <t>Taxa de Absenteísmo</t>
        </is>
      </c>
      <c r="F8" s="10" t="n">
        <v>6</v>
      </c>
      <c r="G8" s="10" t="inlineStr">
        <is>
          <t>SIM</t>
        </is>
      </c>
      <c r="H8" s="10" t="inlineStr">
        <is>
          <t>Não atualizado</t>
        </is>
      </c>
      <c r="I8" s="10" t="inlineStr">
        <is>
          <t>SIM</t>
        </is>
      </c>
      <c r="J8" s="10" t="inlineStr">
        <is>
          <t>Conformidade</t>
        </is>
      </c>
      <c r="K8" s="8">
        <f>IF(G8="","",IF(G8="SIM",1,0))</f>
        <v/>
      </c>
      <c r="L8" s="8">
        <f>IF(H8="","",IF(H8="Automático",1,IF(H8="Manual",0.5,IF(H8="Não atualizado",0,""))))</f>
        <v/>
      </c>
      <c r="M8" s="8">
        <f>IF(I8="","",IF(I8="SIM",1,0))</f>
        <v/>
      </c>
      <c r="N8" s="8">
        <f>IF(J8="","",IF(J8="Conformidade",1,IF(J8="Não Conformidade",0,IF(J8="Não Conformidade Grave",-1,""))))</f>
        <v/>
      </c>
      <c r="O8" s="51">
        <f>IF(COUNTA(G8:J8)=0,"",ROUND(AVERAGE(K8:N8)*100,0))</f>
        <v/>
      </c>
      <c r="P8" s="51">
        <f>IFERROR(AVERAGEIF(C$2:C$201,C8,O$2:O$201),"N/A")</f>
        <v/>
      </c>
      <c r="Q8" s="10" t="inlineStr">
        <is>
          <t>Indicador requer melhoria de definição, atualização ou aderência.</t>
        </is>
      </c>
      <c r="R8" t="inlineStr">
        <is>
          <t>Automatizar rotina de atualização</t>
        </is>
      </c>
      <c r="S8" t="inlineStr">
        <is>
          <t>Gabriel Martins</t>
        </is>
      </c>
      <c r="T8" s="47" t="n">
        <v>46339</v>
      </c>
      <c r="U8" t="inlineStr">
        <is>
          <t>Aguardando validação</t>
        </is>
      </c>
    </row>
    <row r="9" ht="15" customHeight="1" s="41">
      <c r="A9" s="8">
        <f>IF(B9="","",ROW()-1)</f>
        <v/>
      </c>
      <c r="B9" s="50" t="n">
        <v>46185</v>
      </c>
      <c r="C9" s="10" t="inlineStr">
        <is>
          <t>PROCESSOS</t>
        </is>
      </c>
      <c r="D9" s="10" t="inlineStr">
        <is>
          <t>Treinamento Interno</t>
        </is>
      </c>
      <c r="E9" s="10" t="inlineStr">
        <is>
          <t>Índice de Retrabalho</t>
        </is>
      </c>
      <c r="F9" s="10" t="n">
        <v>7</v>
      </c>
      <c r="G9" s="10" t="inlineStr">
        <is>
          <t>SIM</t>
        </is>
      </c>
      <c r="H9" s="10" t="inlineStr">
        <is>
          <t>Manual</t>
        </is>
      </c>
      <c r="I9" s="10" t="inlineStr">
        <is>
          <t>SIM</t>
        </is>
      </c>
      <c r="J9" s="10" t="inlineStr">
        <is>
          <t>Conformidade</t>
        </is>
      </c>
      <c r="K9" s="8">
        <f>IF(G9="","",IF(G9="SIM",1,0))</f>
        <v/>
      </c>
      <c r="L9" s="8">
        <f>IF(H9="","",IF(H9="Automático",1,IF(H9="Manual",0.5,IF(H9="Não atualizado",0,""))))</f>
        <v/>
      </c>
      <c r="M9" s="8">
        <f>IF(I9="","",IF(I9="SIM",1,0))</f>
        <v/>
      </c>
      <c r="N9" s="8">
        <f>IF(J9="","",IF(J9="Conformidade",1,IF(J9="Não Conformidade",0,IF(J9="Não Conformidade Grave",-1,""))))</f>
        <v/>
      </c>
      <c r="O9" s="51">
        <f>IF(COUNTA(G9:J9)=0,"",ROUND(AVERAGE(K9:N9)*100,0))</f>
        <v/>
      </c>
      <c r="P9" s="51">
        <f>IFERROR(AVERAGEIF(C$2:C$201,C9,O$2:O$201),"N/A")</f>
        <v/>
      </c>
      <c r="Q9" s="10" t="inlineStr">
        <is>
          <t>Indicador formalizado e acompanhado regularmente.</t>
        </is>
      </c>
      <c r="R9" t="inlineStr">
        <is>
          <t>Manter acompanhamento mensal.</t>
        </is>
      </c>
      <c r="S9" t="inlineStr">
        <is>
          <t>Ana Lima</t>
        </is>
      </c>
      <c r="T9" s="47" t="n">
        <v>46279</v>
      </c>
      <c r="U9" t="inlineStr">
        <is>
          <t>Concluído</t>
        </is>
      </c>
    </row>
    <row r="10" hidden="1" ht="15" customHeight="1" s="41">
      <c r="A10" s="8">
        <f>IF(B10="","",ROW()-1)</f>
        <v/>
      </c>
      <c r="B10" s="50" t="n">
        <v>46216</v>
      </c>
      <c r="C10" s="10" t="inlineStr">
        <is>
          <t>Qualidade</t>
        </is>
      </c>
      <c r="D10" s="10" t="inlineStr">
        <is>
          <t>Faturamento</t>
        </is>
      </c>
      <c r="E10" s="10" t="inlineStr">
        <is>
          <t>Taxa de Conversão</t>
        </is>
      </c>
      <c r="F10" s="10" t="n">
        <v>8</v>
      </c>
      <c r="G10" s="10" t="inlineStr">
        <is>
          <t>SIM</t>
        </is>
      </c>
      <c r="H10" s="10" t="inlineStr">
        <is>
          <t>Automático</t>
        </is>
      </c>
      <c r="I10" s="10" t="inlineStr">
        <is>
          <t>SIM</t>
        </is>
      </c>
      <c r="J10" s="10" t="inlineStr">
        <is>
          <t>Conformidade</t>
        </is>
      </c>
      <c r="K10" s="8">
        <f>IF(G10="","",IF(G10="SIM",1,0))</f>
        <v/>
      </c>
      <c r="L10" s="8">
        <f>IF(H10="","",IF(H10="Automático",1,IF(H10="Manual",0.5,IF(H10="Não atualizado",0,""))))</f>
        <v/>
      </c>
      <c r="M10" s="8">
        <f>IF(I10="","",IF(I10="SIM",1,0))</f>
        <v/>
      </c>
      <c r="N10" s="8">
        <f>IF(J10="","",IF(J10="Conformidade",1,IF(J10="Não Conformidade",0,IF(J10="Não Conformidade Grave",-1,""))))</f>
        <v/>
      </c>
      <c r="O10" s="51">
        <f>IF(COUNTA(G10:J10)=0,"",ROUND(AVERAGE(K10:N10)*100,0))</f>
        <v/>
      </c>
      <c r="P10" s="51">
        <f>IFERROR(AVERAGEIF(C$2:C$201,C10,O$2:O$201),"N/A")</f>
        <v/>
      </c>
      <c r="Q10" s="10" t="inlineStr">
        <is>
          <t>Indicador formalizado e acompanhado regularmente.</t>
        </is>
      </c>
      <c r="R10" t="inlineStr">
        <is>
          <t>Manter acompanhamento mensal.</t>
        </is>
      </c>
      <c r="S10" t="inlineStr">
        <is>
          <t>Bruno Costa</t>
        </is>
      </c>
      <c r="T10" s="47" t="n">
        <v>46310</v>
      </c>
      <c r="U10" t="inlineStr">
        <is>
          <t>Concluído</t>
        </is>
      </c>
    </row>
    <row r="11" hidden="1" ht="15" customHeight="1" s="41">
      <c r="A11" s="8">
        <f>IF(B11="","",ROW()-1)</f>
        <v/>
      </c>
      <c r="B11" s="50" t="n">
        <v>46248</v>
      </c>
      <c r="C11" s="10" t="inlineStr">
        <is>
          <t>Recursos Humanos</t>
        </is>
      </c>
      <c r="D11" s="10" t="inlineStr">
        <is>
          <t>Compras</t>
        </is>
      </c>
      <c r="E11" s="10" t="inlineStr">
        <is>
          <t>Índice de Satisfação</t>
        </is>
      </c>
      <c r="F11" s="10" t="n">
        <v>1</v>
      </c>
      <c r="G11" s="10" t="inlineStr">
        <is>
          <t>SIM</t>
        </is>
      </c>
      <c r="H11" s="10" t="inlineStr">
        <is>
          <t>Automático</t>
        </is>
      </c>
      <c r="I11" s="10" t="inlineStr">
        <is>
          <t>NÃO</t>
        </is>
      </c>
      <c r="J11" s="10" t="inlineStr">
        <is>
          <t>Não Conformidade</t>
        </is>
      </c>
      <c r="K11" s="8">
        <f>IF(G11="","",IF(G11="SIM",1,0))</f>
        <v/>
      </c>
      <c r="L11" s="8">
        <f>IF(H11="","",IF(H11="Automático",1,IF(H11="Manual",0.5,IF(H11="Não atualizado",0,""))))</f>
        <v/>
      </c>
      <c r="M11" s="8">
        <f>IF(I11="","",IF(I11="SIM",1,0))</f>
        <v/>
      </c>
      <c r="N11" s="8">
        <f>IF(J11="","",IF(J11="Conformidade",1,IF(J11="Não Conformidade",0,IF(J11="Não Conformidade Grave",-1,""))))</f>
        <v/>
      </c>
      <c r="O11" s="51">
        <f>IF(COUNTA(G11:J11)=0,"",ROUND(AVERAGE(K11:N11)*100,0))</f>
        <v/>
      </c>
      <c r="P11" s="51">
        <f>IFERROR(AVERAGEIF(C$2:C$201,C11,O$2:O$201),"N/A")</f>
        <v/>
      </c>
      <c r="Q11" s="10" t="inlineStr">
        <is>
          <t>Indicador requer melhoria de definição, atualização ou aderência.</t>
        </is>
      </c>
      <c r="R11" t="inlineStr">
        <is>
          <t>Formalizar indicador e definir responsável</t>
        </is>
      </c>
      <c r="S11" t="inlineStr">
        <is>
          <t>Carla Souza</t>
        </is>
      </c>
      <c r="T11" s="47" t="n">
        <v>46342</v>
      </c>
      <c r="U11" t="inlineStr">
        <is>
          <t>Aguardando validação</t>
        </is>
      </c>
    </row>
    <row r="12" hidden="1" ht="15" customHeight="1" s="41">
      <c r="A12" s="8">
        <f>IF(B12="","",ROW()-1)</f>
        <v/>
      </c>
      <c r="B12" s="50" t="n">
        <v>46188</v>
      </c>
      <c r="C12" s="10" t="inlineStr">
        <is>
          <t>Financeiro</t>
        </is>
      </c>
      <c r="D12" s="10" t="inlineStr">
        <is>
          <t>Gestão de Incidentes</t>
        </is>
      </c>
      <c r="E12" s="10" t="inlineStr">
        <is>
          <t>Aderência ao Procedimento</t>
        </is>
      </c>
      <c r="F12" s="10" t="n">
        <v>2</v>
      </c>
      <c r="G12" s="10" t="inlineStr">
        <is>
          <t>NÃO</t>
        </is>
      </c>
      <c r="H12" s="10" t="inlineStr">
        <is>
          <t>Não atualizado</t>
        </is>
      </c>
      <c r="I12" s="10" t="inlineStr">
        <is>
          <t>SIM</t>
        </is>
      </c>
      <c r="J12" s="10" t="inlineStr">
        <is>
          <t>Conformidade</t>
        </is>
      </c>
      <c r="K12" s="8">
        <f>IF(G12="","",IF(G12="SIM",1,0))</f>
        <v/>
      </c>
      <c r="L12" s="8">
        <f>IF(H12="","",IF(H12="Automático",1,IF(H12="Manual",0.5,IF(H12="Não atualizado",0,""))))</f>
        <v/>
      </c>
      <c r="M12" s="8">
        <f>IF(I12="","",IF(I12="SIM",1,0))</f>
        <v/>
      </c>
      <c r="N12" s="8">
        <f>IF(J12="","",IF(J12="Conformidade",1,IF(J12="Não Conformidade",0,IF(J12="Não Conformidade Grave",-1,""))))</f>
        <v/>
      </c>
      <c r="O12" s="51">
        <f>IF(COUNTA(G12:J12)=0,"",ROUND(AVERAGE(K12:N12)*100,0))</f>
        <v/>
      </c>
      <c r="P12" s="51">
        <f>IFERROR(AVERAGEIF(C$2:C$201,C12,O$2:O$201),"N/A")</f>
        <v/>
      </c>
      <c r="Q12" s="10" t="inlineStr">
        <is>
          <t>Indicador requer melhoria de definição, atualização ou aderência.</t>
        </is>
      </c>
      <c r="R12" t="inlineStr">
        <is>
          <t>Automatizar rotina de atualização</t>
        </is>
      </c>
      <c r="S12" t="inlineStr">
        <is>
          <t>Diego Alves</t>
        </is>
      </c>
      <c r="T12" s="47" t="n">
        <v>46282</v>
      </c>
      <c r="U12" t="inlineStr">
        <is>
          <t>Não iniciado</t>
        </is>
      </c>
    </row>
    <row r="13" hidden="1" ht="15" customHeight="1" s="41">
      <c r="A13" s="8">
        <f>IF(B13="","",ROW()-1)</f>
        <v/>
      </c>
      <c r="B13" s="50" t="n">
        <v>46219</v>
      </c>
      <c r="C13" s="10" t="inlineStr">
        <is>
          <t>Atendimento</t>
        </is>
      </c>
      <c r="D13" s="10" t="inlineStr">
        <is>
          <t>Admissão</t>
        </is>
      </c>
      <c r="E13" s="10" t="inlineStr">
        <is>
          <t>Taxa de Absenteísmo</t>
        </is>
      </c>
      <c r="F13" s="10" t="n">
        <v>3</v>
      </c>
      <c r="G13" s="10" t="inlineStr">
        <is>
          <t>SIM</t>
        </is>
      </c>
      <c r="H13" s="10" t="inlineStr">
        <is>
          <t>Não atualizado</t>
        </is>
      </c>
      <c r="I13" s="10" t="inlineStr">
        <is>
          <t>SIM</t>
        </is>
      </c>
      <c r="J13" s="10" t="inlineStr">
        <is>
          <t>Conformidade</t>
        </is>
      </c>
      <c r="K13" s="8">
        <f>IF(G13="","",IF(G13="SIM",1,0))</f>
        <v/>
      </c>
      <c r="L13" s="8">
        <f>IF(H13="","",IF(H13="Automático",1,IF(H13="Manual",0.5,IF(H13="Não atualizado",0,""))))</f>
        <v/>
      </c>
      <c r="M13" s="8">
        <f>IF(I13="","",IF(I13="SIM",1,0))</f>
        <v/>
      </c>
      <c r="N13" s="8">
        <f>IF(J13="","",IF(J13="Conformidade",1,IF(J13="Não Conformidade",0,IF(J13="Não Conformidade Grave",-1,""))))</f>
        <v/>
      </c>
      <c r="O13" s="51">
        <f>IF(COUNTA(G13:J13)=0,"",ROUND(AVERAGE(K13:N13)*100,0))</f>
        <v/>
      </c>
      <c r="P13" s="51">
        <f>IFERROR(AVERAGEIF(C$2:C$201,C13,O$2:O$201),"N/A")</f>
        <v/>
      </c>
      <c r="Q13" s="10" t="inlineStr">
        <is>
          <t>Indicador requer melhoria de definição, atualização ou aderência.</t>
        </is>
      </c>
      <c r="R13" t="inlineStr">
        <is>
          <t>Documentar meta, fórmula e periodicidade</t>
        </is>
      </c>
      <c r="S13" t="inlineStr">
        <is>
          <t>Fernanda Rocha</t>
        </is>
      </c>
      <c r="T13" s="47" t="n">
        <v>46313</v>
      </c>
      <c r="U13" t="inlineStr">
        <is>
          <t>Em andamento</t>
        </is>
      </c>
    </row>
    <row r="14" hidden="1" ht="15" customHeight="1" s="41">
      <c r="A14" s="8">
        <f>IF(B14="","",ROW()-1)</f>
        <v/>
      </c>
      <c r="B14" s="50" t="n">
        <v>46251</v>
      </c>
      <c r="C14" s="10" t="inlineStr">
        <is>
          <t>Tecnologia</t>
        </is>
      </c>
      <c r="D14" s="10" t="inlineStr">
        <is>
          <t>Gestão de Contratos</t>
        </is>
      </c>
      <c r="E14" s="10" t="inlineStr">
        <is>
          <t>Índice de Retrabalho</t>
        </is>
      </c>
      <c r="F14" s="10" t="n">
        <v>4</v>
      </c>
      <c r="G14" s="10" t="inlineStr">
        <is>
          <t>SIM</t>
        </is>
      </c>
      <c r="H14" s="10" t="inlineStr">
        <is>
          <t>Automático</t>
        </is>
      </c>
      <c r="I14" s="10" t="inlineStr">
        <is>
          <t>NÃO</t>
        </is>
      </c>
      <c r="J14" s="10" t="inlineStr">
        <is>
          <t>Conformidade</t>
        </is>
      </c>
      <c r="K14" s="8">
        <f>IF(G14="","",IF(G14="SIM",1,0))</f>
        <v/>
      </c>
      <c r="L14" s="8">
        <f>IF(H14="","",IF(H14="Automático",1,IF(H14="Manual",0.5,IF(H14="Não atualizado",0,""))))</f>
        <v/>
      </c>
      <c r="M14" s="8">
        <f>IF(I14="","",IF(I14="SIM",1,0))</f>
        <v/>
      </c>
      <c r="N14" s="8">
        <f>IF(J14="","",IF(J14="Conformidade",1,IF(J14="Não Conformidade",0,IF(J14="Não Conformidade Grave",-1,""))))</f>
        <v/>
      </c>
      <c r="O14" s="51">
        <f>IF(COUNTA(G14:J14)=0,"",ROUND(AVERAGE(K14:N14)*100,0))</f>
        <v/>
      </c>
      <c r="P14" s="51">
        <f>IFERROR(AVERAGEIF(C$2:C$201,C14,O$2:O$201),"N/A")</f>
        <v/>
      </c>
      <c r="Q14" s="10" t="inlineStr">
        <is>
          <t>Indicador requer melhoria de definição, atualização ou aderência.</t>
        </is>
      </c>
      <c r="R14" t="inlineStr">
        <is>
          <t>Revisar causa da não conformidade</t>
        </is>
      </c>
      <c r="S14" t="inlineStr">
        <is>
          <t>Gabriel Martins</t>
        </is>
      </c>
      <c r="T14" s="47" t="n">
        <v>46345</v>
      </c>
      <c r="U14" t="inlineStr">
        <is>
          <t>Aguardando validação</t>
        </is>
      </c>
    </row>
    <row r="15" ht="15" customHeight="1" s="41">
      <c r="A15" s="8">
        <f>IF(B15="","",ROW()-1)</f>
        <v/>
      </c>
      <c r="B15" s="50" t="n">
        <v>46191</v>
      </c>
      <c r="C15" s="10" t="inlineStr">
        <is>
          <t>PROCESSOS</t>
        </is>
      </c>
      <c r="D15" s="10" t="inlineStr">
        <is>
          <t>Controle de Acesso</t>
        </is>
      </c>
      <c r="E15" s="10" t="inlineStr">
        <is>
          <t>Taxa de Conversão</t>
        </is>
      </c>
      <c r="F15" s="10" t="n">
        <v>5</v>
      </c>
      <c r="G15" s="10" t="inlineStr">
        <is>
          <t>SIM</t>
        </is>
      </c>
      <c r="H15" s="10" t="inlineStr">
        <is>
          <t>Manual</t>
        </is>
      </c>
      <c r="I15" s="10" t="inlineStr">
        <is>
          <t>NÃO</t>
        </is>
      </c>
      <c r="J15" s="10" t="inlineStr">
        <is>
          <t>Não Conformidade</t>
        </is>
      </c>
      <c r="K15" s="8">
        <f>IF(G15="","",IF(G15="SIM",1,0))</f>
        <v/>
      </c>
      <c r="L15" s="8">
        <f>IF(H15="","",IF(H15="Automático",1,IF(H15="Manual",0.5,IF(H15="Não atualizado",0,""))))</f>
        <v/>
      </c>
      <c r="M15" s="8">
        <f>IF(I15="","",IF(I15="SIM",1,0))</f>
        <v/>
      </c>
      <c r="N15" s="8">
        <f>IF(J15="","",IF(J15="Conformidade",1,IF(J15="Não Conformidade",0,IF(J15="Não Conformidade Grave",-1,""))))</f>
        <v/>
      </c>
      <c r="O15" s="51">
        <f>IF(COUNTA(G15:J15)=0,"",ROUND(AVERAGE(K15:N15)*100,0))</f>
        <v/>
      </c>
      <c r="P15" s="51">
        <f>IFERROR(AVERAGEIF(C$2:C$201,C15,O$2:O$201),"N/A")</f>
        <v/>
      </c>
      <c r="Q15" s="10" t="inlineStr">
        <is>
          <t>Indicador requer melhoria de definição, atualização ou aderência.</t>
        </is>
      </c>
      <c r="R15" t="inlineStr">
        <is>
          <t>Formalizar indicador e definir responsável</t>
        </is>
      </c>
      <c r="S15" t="inlineStr">
        <is>
          <t>Ana Lima</t>
        </is>
      </c>
      <c r="T15" s="47" t="n">
        <v>46285</v>
      </c>
      <c r="U15" t="inlineStr">
        <is>
          <t>Não iniciado</t>
        </is>
      </c>
    </row>
    <row r="16" hidden="1" ht="15" customHeight="1" s="41">
      <c r="A16" s="8">
        <f>IF(B16="","",ROW()-1)</f>
        <v/>
      </c>
      <c r="B16" s="50" t="n">
        <v>46222</v>
      </c>
      <c r="C16" s="10" t="inlineStr">
        <is>
          <t>Qualidade</t>
        </is>
      </c>
      <c r="D16" s="10" t="inlineStr">
        <is>
          <t>Auditoria de Processos</t>
        </is>
      </c>
      <c r="E16" s="10" t="inlineStr">
        <is>
          <t>Índice de Satisfação</t>
        </is>
      </c>
      <c r="F16" s="10" t="n">
        <v>6</v>
      </c>
      <c r="G16" s="10" t="inlineStr">
        <is>
          <t>SIM</t>
        </is>
      </c>
      <c r="H16" s="10" t="inlineStr">
        <is>
          <t>Automático</t>
        </is>
      </c>
      <c r="I16" s="10" t="inlineStr">
        <is>
          <t>SIM</t>
        </is>
      </c>
      <c r="J16" s="10" t="inlineStr">
        <is>
          <t>Não Conformidade Grave</t>
        </is>
      </c>
      <c r="K16" s="8">
        <f>IF(G16="","",IF(G16="SIM",1,0))</f>
        <v/>
      </c>
      <c r="L16" s="8">
        <f>IF(H16="","",IF(H16="Automático",1,IF(H16="Manual",0.5,IF(H16="Não atualizado",0,""))))</f>
        <v/>
      </c>
      <c r="M16" s="8">
        <f>IF(I16="","",IF(I16="SIM",1,0))</f>
        <v/>
      </c>
      <c r="N16" s="8">
        <f>IF(J16="","",IF(J16="Conformidade",1,IF(J16="Não Conformidade",0,IF(J16="Não Conformidade Grave",-1,""))))</f>
        <v/>
      </c>
      <c r="O16" s="51">
        <f>IF(COUNTA(G16:J16)=0,"",ROUND(AVERAGE(K16:N16)*100,0))</f>
        <v/>
      </c>
      <c r="P16" s="51">
        <f>IFERROR(AVERAGEIF(C$2:C$201,C16,O$2:O$201),"N/A")</f>
        <v/>
      </c>
      <c r="Q16" s="10" t="inlineStr">
        <is>
          <t>Indicador requer melhoria de definição, atualização ou aderência.</t>
        </is>
      </c>
      <c r="R16" t="inlineStr">
        <is>
          <t>Automatizar rotina de atualização</t>
        </is>
      </c>
      <c r="S16" t="inlineStr">
        <is>
          <t>Bruno Costa</t>
        </is>
      </c>
      <c r="T16" s="47" t="n">
        <v>46316</v>
      </c>
      <c r="U16" t="inlineStr">
        <is>
          <t>Em andamento</t>
        </is>
      </c>
    </row>
    <row r="17" hidden="1" ht="15" customHeight="1" s="41">
      <c r="A17" s="8">
        <f>IF(B17="","",ROW()-1)</f>
        <v/>
      </c>
      <c r="B17" s="50" t="n">
        <v>46254</v>
      </c>
      <c r="C17" s="10" t="inlineStr">
        <is>
          <t>Recursos Humanos</t>
        </is>
      </c>
      <c r="D17" s="10" t="inlineStr">
        <is>
          <t>Atendimento ao Cliente</t>
        </is>
      </c>
      <c r="E17" s="10" t="inlineStr">
        <is>
          <t>Aderência ao Procedimento</t>
        </is>
      </c>
      <c r="F17" s="10" t="n">
        <v>7</v>
      </c>
      <c r="G17" s="10" t="inlineStr">
        <is>
          <t>NÃO</t>
        </is>
      </c>
      <c r="H17" s="10" t="inlineStr">
        <is>
          <t>Não atualizado</t>
        </is>
      </c>
      <c r="I17" s="10" t="inlineStr">
        <is>
          <t>SIM</t>
        </is>
      </c>
      <c r="J17" s="10" t="inlineStr">
        <is>
          <t>Conformidade</t>
        </is>
      </c>
      <c r="K17" s="8">
        <f>IF(G17="","",IF(G17="SIM",1,0))</f>
        <v/>
      </c>
      <c r="L17" s="8">
        <f>IF(H17="","",IF(H17="Automático",1,IF(H17="Manual",0.5,IF(H17="Não atualizado",0,""))))</f>
        <v/>
      </c>
      <c r="M17" s="8">
        <f>IF(I17="","",IF(I17="SIM",1,0))</f>
        <v/>
      </c>
      <c r="N17" s="8">
        <f>IF(J17="","",IF(J17="Conformidade",1,IF(J17="Não Conformidade",0,IF(J17="Não Conformidade Grave",-1,""))))</f>
        <v/>
      </c>
      <c r="O17" s="51">
        <f>IF(COUNTA(G17:J17)=0,"",ROUND(AVERAGE(K17:N17)*100,0))</f>
        <v/>
      </c>
      <c r="P17" s="51">
        <f>IFERROR(AVERAGEIF(C$2:C$201,C17,O$2:O$201),"N/A")</f>
        <v/>
      </c>
      <c r="Q17" s="10" t="inlineStr">
        <is>
          <t>Indicador requer melhoria de definição, atualização ou aderência.</t>
        </is>
      </c>
      <c r="R17" t="inlineStr">
        <is>
          <t>Documentar meta, fórmula e periodicidade</t>
        </is>
      </c>
      <c r="S17" t="inlineStr">
        <is>
          <t>Carla Souza</t>
        </is>
      </c>
      <c r="T17" s="47" t="n">
        <v>46348</v>
      </c>
      <c r="U17" t="inlineStr">
        <is>
          <t>Aguardando validação</t>
        </is>
      </c>
    </row>
    <row r="18" hidden="1" ht="15" customHeight="1" s="41">
      <c r="A18" s="8">
        <f>IF(B18="","",ROW()-1)</f>
        <v/>
      </c>
      <c r="B18" s="50" t="n">
        <v>46194</v>
      </c>
      <c r="C18" s="10" t="inlineStr">
        <is>
          <t>Financeiro</t>
        </is>
      </c>
      <c r="D18" s="10" t="inlineStr">
        <is>
          <t>Contas a Pagar</t>
        </is>
      </c>
      <c r="E18" s="10" t="inlineStr">
        <is>
          <t>Taxa de Absenteísmo</t>
        </is>
      </c>
      <c r="F18" s="10" t="n">
        <v>8</v>
      </c>
      <c r="G18" s="10" t="inlineStr">
        <is>
          <t>SIM</t>
        </is>
      </c>
      <c r="H18" s="10" t="inlineStr">
        <is>
          <t>Não atualizado</t>
        </is>
      </c>
      <c r="I18" s="10" t="inlineStr">
        <is>
          <t>SIM</t>
        </is>
      </c>
      <c r="J18" s="10" t="inlineStr">
        <is>
          <t>Conformidade</t>
        </is>
      </c>
      <c r="K18" s="8">
        <f>IF(G18="","",IF(G18="SIM",1,0))</f>
        <v/>
      </c>
      <c r="L18" s="8">
        <f>IF(H18="","",IF(H18="Automático",1,IF(H18="Manual",0.5,IF(H18="Não atualizado",0,""))))</f>
        <v/>
      </c>
      <c r="M18" s="8">
        <f>IF(I18="","",IF(I18="SIM",1,0))</f>
        <v/>
      </c>
      <c r="N18" s="8">
        <f>IF(J18="","",IF(J18="Conformidade",1,IF(J18="Não Conformidade",0,IF(J18="Não Conformidade Grave",-1,""))))</f>
        <v/>
      </c>
      <c r="O18" s="51">
        <f>IF(COUNTA(G18:J18)=0,"",ROUND(AVERAGE(K18:N18)*100,0))</f>
        <v/>
      </c>
      <c r="P18" s="51">
        <f>IFERROR(AVERAGEIF(C$2:C$201,C18,O$2:O$201),"N/A")</f>
        <v/>
      </c>
      <c r="Q18" s="10" t="inlineStr">
        <is>
          <t>Indicador requer melhoria de definição, atualização ou aderência.</t>
        </is>
      </c>
      <c r="R18" t="inlineStr">
        <is>
          <t>Revisar causa da não conformidade</t>
        </is>
      </c>
      <c r="S18" t="inlineStr">
        <is>
          <t>Diego Alves</t>
        </is>
      </c>
      <c r="T18" s="47" t="n">
        <v>46288</v>
      </c>
      <c r="U18" t="inlineStr">
        <is>
          <t>Não iniciado</t>
        </is>
      </c>
    </row>
    <row r="19" hidden="1" ht="15" customHeight="1" s="41">
      <c r="A19" s="8">
        <f>IF(B19="","",ROW()-1)</f>
        <v/>
      </c>
      <c r="B19" s="50" t="n">
        <v>46225</v>
      </c>
      <c r="C19" s="10" t="inlineStr">
        <is>
          <t>Atendimento</t>
        </is>
      </c>
      <c r="D19" s="10" t="inlineStr">
        <is>
          <t>Treinamento Interno</t>
        </is>
      </c>
      <c r="E19" s="10" t="inlineStr">
        <is>
          <t>Índice de Retrabalho</t>
        </is>
      </c>
      <c r="F19" s="10" t="n">
        <v>1</v>
      </c>
      <c r="G19" s="10" t="inlineStr">
        <is>
          <t>SIM</t>
        </is>
      </c>
      <c r="H19" s="10" t="inlineStr">
        <is>
          <t>Automático</t>
        </is>
      </c>
      <c r="I19" s="10" t="inlineStr">
        <is>
          <t>NÃO</t>
        </is>
      </c>
      <c r="J19" s="10" t="inlineStr">
        <is>
          <t>Não Conformidade</t>
        </is>
      </c>
      <c r="K19" s="8">
        <f>IF(G19="","",IF(G19="SIM",1,0))</f>
        <v/>
      </c>
      <c r="L19" s="8">
        <f>IF(H19="","",IF(H19="Automático",1,IF(H19="Manual",0.5,IF(H19="Não atualizado",0,""))))</f>
        <v/>
      </c>
      <c r="M19" s="8">
        <f>IF(I19="","",IF(I19="SIM",1,0))</f>
        <v/>
      </c>
      <c r="N19" s="8">
        <f>IF(J19="","",IF(J19="Conformidade",1,IF(J19="Não Conformidade",0,IF(J19="Não Conformidade Grave",-1,""))))</f>
        <v/>
      </c>
      <c r="O19" s="51">
        <f>IF(COUNTA(G19:J19)=0,"",ROUND(AVERAGE(K19:N19)*100,0))</f>
        <v/>
      </c>
      <c r="P19" s="51">
        <f>IFERROR(AVERAGEIF(C$2:C$201,C19,O$2:O$201),"N/A")</f>
        <v/>
      </c>
      <c r="Q19" s="10" t="inlineStr">
        <is>
          <t>Indicador requer melhoria de definição, atualização ou aderência.</t>
        </is>
      </c>
      <c r="R19" t="inlineStr">
        <is>
          <t>Formalizar indicador e definir responsável</t>
        </is>
      </c>
      <c r="S19" t="inlineStr">
        <is>
          <t>Fernanda Rocha</t>
        </is>
      </c>
      <c r="T19" s="47" t="n">
        <v>46319</v>
      </c>
      <c r="U19" t="inlineStr">
        <is>
          <t>Em andamento</t>
        </is>
      </c>
    </row>
    <row r="20" hidden="1" ht="15" customHeight="1" s="41">
      <c r="A20" s="8">
        <f>IF(B20="","",ROW()-1)</f>
        <v/>
      </c>
      <c r="B20" s="50" t="n">
        <v>46257</v>
      </c>
      <c r="C20" s="10" t="inlineStr">
        <is>
          <t>Tecnologia</t>
        </is>
      </c>
      <c r="D20" s="10" t="inlineStr">
        <is>
          <t>Faturamento</t>
        </is>
      </c>
      <c r="E20" s="10" t="inlineStr">
        <is>
          <t>Taxa de Conversão</t>
        </is>
      </c>
      <c r="F20" s="10" t="n">
        <v>2</v>
      </c>
      <c r="G20" s="10" t="inlineStr">
        <is>
          <t>SIM</t>
        </is>
      </c>
      <c r="H20" s="10" t="inlineStr">
        <is>
          <t>Automático</t>
        </is>
      </c>
      <c r="I20" s="10" t="inlineStr">
        <is>
          <t>SIM</t>
        </is>
      </c>
      <c r="J20" s="10" t="inlineStr">
        <is>
          <t>Conformidade</t>
        </is>
      </c>
      <c r="K20" s="8">
        <f>IF(G20="","",IF(G20="SIM",1,0))</f>
        <v/>
      </c>
      <c r="L20" s="8">
        <f>IF(H20="","",IF(H20="Automático",1,IF(H20="Manual",0.5,IF(H20="Não atualizado",0,""))))</f>
        <v/>
      </c>
      <c r="M20" s="8">
        <f>IF(I20="","",IF(I20="SIM",1,0))</f>
        <v/>
      </c>
      <c r="N20" s="8">
        <f>IF(J20="","",IF(J20="Conformidade",1,IF(J20="Não Conformidade",0,IF(J20="Não Conformidade Grave",-1,""))))</f>
        <v/>
      </c>
      <c r="O20" s="51">
        <f>IF(COUNTA(G20:J20)=0,"",ROUND(AVERAGE(K20:N20)*100,0))</f>
        <v/>
      </c>
      <c r="P20" s="51">
        <f>IFERROR(AVERAGEIF(C$2:C$201,C20,O$2:O$201),"N/A")</f>
        <v/>
      </c>
      <c r="Q20" s="10" t="inlineStr">
        <is>
          <t>Indicador formalizado e acompanhado regularmente.</t>
        </is>
      </c>
      <c r="R20" t="inlineStr">
        <is>
          <t>Manter acompanhamento mensal.</t>
        </is>
      </c>
      <c r="S20" t="inlineStr">
        <is>
          <t>Gabriel Martins</t>
        </is>
      </c>
      <c r="T20" s="47" t="n">
        <v>46351</v>
      </c>
      <c r="U20" t="inlineStr">
        <is>
          <t>Concluído</t>
        </is>
      </c>
    </row>
    <row r="21" ht="15" customHeight="1" s="41">
      <c r="A21" s="8">
        <f>IF(B21="","",ROW()-1)</f>
        <v/>
      </c>
      <c r="B21" s="50" t="n">
        <v>46197</v>
      </c>
      <c r="C21" s="10" t="inlineStr">
        <is>
          <t>PROCESSOS</t>
        </is>
      </c>
      <c r="D21" s="10" t="inlineStr">
        <is>
          <t>Compras</t>
        </is>
      </c>
      <c r="E21" s="10" t="inlineStr">
        <is>
          <t>Índice de Satisfação</t>
        </is>
      </c>
      <c r="F21" s="10" t="n">
        <v>3</v>
      </c>
      <c r="G21" s="10" t="inlineStr">
        <is>
          <t>NÃO</t>
        </is>
      </c>
      <c r="H21" s="10" t="inlineStr">
        <is>
          <t>Não atualizado</t>
        </is>
      </c>
      <c r="I21" s="10" t="inlineStr">
        <is>
          <t>SIM</t>
        </is>
      </c>
      <c r="J21" s="10" t="inlineStr">
        <is>
          <t>Conformidade</t>
        </is>
      </c>
      <c r="K21" s="8">
        <f>IF(G21="","",IF(G21="SIM",1,0))</f>
        <v/>
      </c>
      <c r="L21" s="8">
        <f>IF(H21="","",IF(H21="Automático",1,IF(H21="Manual",0.5,IF(H21="Não atualizado",0,""))))</f>
        <v/>
      </c>
      <c r="M21" s="8">
        <f>IF(I21="","",IF(I21="SIM",1,0))</f>
        <v/>
      </c>
      <c r="N21" s="8">
        <f>IF(J21="","",IF(J21="Conformidade",1,IF(J21="Não Conformidade",0,IF(J21="Não Conformidade Grave",-1,""))))</f>
        <v/>
      </c>
      <c r="O21" s="51">
        <f>IF(COUNTA(G21:J21)=0,"",ROUND(AVERAGE(K21:N21)*100,0))</f>
        <v/>
      </c>
      <c r="P21" s="51">
        <f>IFERROR(AVERAGEIF(C$2:C$201,C21,O$2:O$201),"N/A")</f>
        <v/>
      </c>
      <c r="Q21" s="10" t="inlineStr">
        <is>
          <t>Indicador requer melhoria de definição, atualização ou aderência.</t>
        </is>
      </c>
      <c r="R21" t="inlineStr">
        <is>
          <t>Documentar meta, fórmula e periodicidade</t>
        </is>
      </c>
      <c r="S21" t="inlineStr">
        <is>
          <t>Ana Lima</t>
        </is>
      </c>
      <c r="T21" s="47" t="n">
        <v>46273</v>
      </c>
      <c r="U21" t="inlineStr">
        <is>
          <t>Não iniciado</t>
        </is>
      </c>
    </row>
    <row r="22" hidden="1" ht="15" customHeight="1" s="41">
      <c r="A22" s="8">
        <f>IF(B22="","",ROW()-1)</f>
        <v/>
      </c>
      <c r="B22" s="50" t="n">
        <v>46228</v>
      </c>
      <c r="C22" s="10" t="inlineStr">
        <is>
          <t>Qualidade</t>
        </is>
      </c>
      <c r="D22" s="10" t="inlineStr">
        <is>
          <t>Gestão de Incidentes</t>
        </is>
      </c>
      <c r="E22" s="10" t="inlineStr">
        <is>
          <t>Aderência ao Procedimento</t>
        </is>
      </c>
      <c r="F22" s="10" t="n">
        <v>4</v>
      </c>
      <c r="G22" s="10" t="inlineStr">
        <is>
          <t>SIM</t>
        </is>
      </c>
      <c r="H22" s="10" t="inlineStr">
        <is>
          <t>Automático</t>
        </is>
      </c>
      <c r="I22" s="10" t="inlineStr">
        <is>
          <t>SIM</t>
        </is>
      </c>
      <c r="J22" s="10" t="inlineStr">
        <is>
          <t>Conformidade</t>
        </is>
      </c>
      <c r="K22" s="8">
        <f>IF(G22="","",IF(G22="SIM",1,0))</f>
        <v/>
      </c>
      <c r="L22" s="8">
        <f>IF(H22="","",IF(H22="Automático",1,IF(H22="Manual",0.5,IF(H22="Não atualizado",0,""))))</f>
        <v/>
      </c>
      <c r="M22" s="8">
        <f>IF(I22="","",IF(I22="SIM",1,0))</f>
        <v/>
      </c>
      <c r="N22" s="8">
        <f>IF(J22="","",IF(J22="Conformidade",1,IF(J22="Não Conformidade",0,IF(J22="Não Conformidade Grave",-1,""))))</f>
        <v/>
      </c>
      <c r="O22" s="51">
        <f>IF(COUNTA(G22:J22)=0,"",ROUND(AVERAGE(K22:N22)*100,0))</f>
        <v/>
      </c>
      <c r="P22" s="51">
        <f>IFERROR(AVERAGEIF(C$2:C$201,C22,O$2:O$201),"N/A")</f>
        <v/>
      </c>
      <c r="Q22" s="10" t="inlineStr">
        <is>
          <t>Indicador formalizado e acompanhado regularmente.</t>
        </is>
      </c>
      <c r="R22" t="inlineStr">
        <is>
          <t>Manter acompanhamento mensal.</t>
        </is>
      </c>
      <c r="S22" t="inlineStr">
        <is>
          <t>Bruno Costa</t>
        </is>
      </c>
      <c r="T22" s="47" t="n">
        <v>46304</v>
      </c>
      <c r="U22" t="inlineStr">
        <is>
          <t>Concluído</t>
        </is>
      </c>
    </row>
    <row r="23" hidden="1" ht="15" customHeight="1" s="41">
      <c r="A23" s="8">
        <f>IF(B23="","",ROW()-1)</f>
        <v/>
      </c>
      <c r="B23" s="50" t="n">
        <v>46240</v>
      </c>
      <c r="C23" s="10" t="inlineStr">
        <is>
          <t>Recursos Humanos</t>
        </is>
      </c>
      <c r="D23" s="10" t="inlineStr">
        <is>
          <t>Admissão</t>
        </is>
      </c>
      <c r="E23" s="10" t="inlineStr">
        <is>
          <t>Taxa de Absenteísmo</t>
        </is>
      </c>
      <c r="F23" s="10" t="n">
        <v>5</v>
      </c>
      <c r="G23" s="10" t="inlineStr">
        <is>
          <t>SIM</t>
        </is>
      </c>
      <c r="H23" s="10" t="inlineStr">
        <is>
          <t>Não atualizado</t>
        </is>
      </c>
      <c r="I23" s="10" t="inlineStr">
        <is>
          <t>NÃO</t>
        </is>
      </c>
      <c r="J23" s="10" t="inlineStr">
        <is>
          <t>Não Conformidade</t>
        </is>
      </c>
      <c r="K23" s="8">
        <f>IF(G23="","",IF(G23="SIM",1,0))</f>
        <v/>
      </c>
      <c r="L23" s="8">
        <f>IF(H23="","",IF(H23="Automático",1,IF(H23="Manual",0.5,IF(H23="Não atualizado",0,""))))</f>
        <v/>
      </c>
      <c r="M23" s="8">
        <f>IF(I23="","",IF(I23="SIM",1,0))</f>
        <v/>
      </c>
      <c r="N23" s="8">
        <f>IF(J23="","",IF(J23="Conformidade",1,IF(J23="Não Conformidade",0,IF(J23="Não Conformidade Grave",-1,""))))</f>
        <v/>
      </c>
      <c r="O23" s="51">
        <f>IF(COUNTA(G23:J23)=0,"",ROUND(AVERAGE(K23:N23)*100,0))</f>
        <v/>
      </c>
      <c r="P23" s="51">
        <f>IFERROR(AVERAGEIF(C$2:C$201,C23,O$2:O$201),"N/A")</f>
        <v/>
      </c>
      <c r="Q23" s="10" t="inlineStr">
        <is>
          <t>Indicador requer melhoria de definição, atualização ou aderência.</t>
        </is>
      </c>
      <c r="R23" t="inlineStr">
        <is>
          <t>Formalizar indicador e definir responsável</t>
        </is>
      </c>
      <c r="S23" t="inlineStr">
        <is>
          <t>Carla Souza</t>
        </is>
      </c>
      <c r="T23" s="47" t="n">
        <v>46336</v>
      </c>
      <c r="U23" t="inlineStr">
        <is>
          <t>Aguardando validação</t>
        </is>
      </c>
    </row>
    <row r="24" hidden="1" ht="15" customHeight="1" s="41">
      <c r="A24" s="8">
        <f>IF(B24="","",ROW()-1)</f>
        <v/>
      </c>
      <c r="B24" s="50" t="n">
        <v>46180</v>
      </c>
      <c r="C24" s="10" t="inlineStr">
        <is>
          <t>Financeiro</t>
        </is>
      </c>
      <c r="D24" s="10" t="inlineStr">
        <is>
          <t>Gestão de Contratos</t>
        </is>
      </c>
      <c r="E24" s="10" t="inlineStr">
        <is>
          <t>Índice de Retrabalho</t>
        </is>
      </c>
      <c r="F24" s="10" t="n">
        <v>6</v>
      </c>
      <c r="G24" s="10" t="inlineStr">
        <is>
          <t>SIM</t>
        </is>
      </c>
      <c r="H24" s="10" t="inlineStr">
        <is>
          <t>Manual</t>
        </is>
      </c>
      <c r="I24" s="10" t="inlineStr">
        <is>
          <t>SIM</t>
        </is>
      </c>
      <c r="J24" s="10" t="inlineStr">
        <is>
          <t>Conformidade</t>
        </is>
      </c>
      <c r="K24" s="8">
        <f>IF(G24="","",IF(G24="SIM",1,0))</f>
        <v/>
      </c>
      <c r="L24" s="8">
        <f>IF(H24="","",IF(H24="Automático",1,IF(H24="Manual",0.5,IF(H24="Não atualizado",0,""))))</f>
        <v/>
      </c>
      <c r="M24" s="8">
        <f>IF(I24="","",IF(I24="SIM",1,0))</f>
        <v/>
      </c>
      <c r="N24" s="8">
        <f>IF(J24="","",IF(J24="Conformidade",1,IF(J24="Não Conformidade",0,IF(J24="Não Conformidade Grave",-1,""))))</f>
        <v/>
      </c>
      <c r="O24" s="51">
        <f>IF(COUNTA(G24:J24)=0,"",ROUND(AVERAGE(K24:N24)*100,0))</f>
        <v/>
      </c>
      <c r="P24" s="51">
        <f>IFERROR(AVERAGEIF(C$2:C$201,C24,O$2:O$201),"N/A")</f>
        <v/>
      </c>
      <c r="Q24" s="10" t="inlineStr">
        <is>
          <t>Indicador formalizado e acompanhado regularmente.</t>
        </is>
      </c>
      <c r="R24" t="inlineStr">
        <is>
          <t>Manter acompanhamento mensal.</t>
        </is>
      </c>
      <c r="S24" t="inlineStr">
        <is>
          <t>Diego Alves</t>
        </is>
      </c>
      <c r="T24" s="47" t="n">
        <v>46276</v>
      </c>
      <c r="U24" t="inlineStr">
        <is>
          <t>Concluído</t>
        </is>
      </c>
    </row>
    <row r="25" hidden="1" ht="15" customHeight="1" s="41">
      <c r="A25" s="8">
        <f>IF(B25="","",ROW()-1)</f>
        <v/>
      </c>
      <c r="B25" s="50" t="n">
        <v>46211</v>
      </c>
      <c r="C25" s="10" t="inlineStr">
        <is>
          <t>Atendimento</t>
        </is>
      </c>
      <c r="D25" s="10" t="inlineStr">
        <is>
          <t>Controle de Acesso</t>
        </is>
      </c>
      <c r="E25" s="10" t="inlineStr">
        <is>
          <t>Taxa de Conversão</t>
        </is>
      </c>
      <c r="F25" s="10" t="n">
        <v>7</v>
      </c>
      <c r="G25" s="10" t="inlineStr">
        <is>
          <t>SIM</t>
        </is>
      </c>
      <c r="H25" s="10" t="inlineStr">
        <is>
          <t>Automático</t>
        </is>
      </c>
      <c r="I25" s="10" t="inlineStr">
        <is>
          <t>NÃO</t>
        </is>
      </c>
      <c r="J25" s="10" t="inlineStr">
        <is>
          <t>Conformidade</t>
        </is>
      </c>
      <c r="K25" s="8">
        <f>IF(G25="","",IF(G25="SIM",1,0))</f>
        <v/>
      </c>
      <c r="L25" s="8">
        <f>IF(H25="","",IF(H25="Automático",1,IF(H25="Manual",0.5,IF(H25="Não atualizado",0,""))))</f>
        <v/>
      </c>
      <c r="M25" s="8">
        <f>IF(I25="","",IF(I25="SIM",1,0))</f>
        <v/>
      </c>
      <c r="N25" s="8">
        <f>IF(J25="","",IF(J25="Conformidade",1,IF(J25="Não Conformidade",0,IF(J25="Não Conformidade Grave",-1,""))))</f>
        <v/>
      </c>
      <c r="O25" s="51">
        <f>IF(COUNTA(G25:J25)=0,"",ROUND(AVERAGE(K25:N25)*100,0))</f>
        <v/>
      </c>
      <c r="P25" s="51">
        <f>IFERROR(AVERAGEIF(C$2:C$201,C25,O$2:O$201),"N/A")</f>
        <v/>
      </c>
      <c r="Q25" s="10" t="inlineStr">
        <is>
          <t>Indicador requer melhoria de definição, atualização ou aderência.</t>
        </is>
      </c>
      <c r="R25" t="inlineStr">
        <is>
          <t>Documentar meta, fórmula e periodicidade</t>
        </is>
      </c>
      <c r="S25" t="inlineStr">
        <is>
          <t>Fernanda Rocha</t>
        </is>
      </c>
      <c r="T25" s="47" t="n">
        <v>46307</v>
      </c>
      <c r="U25" t="inlineStr">
        <is>
          <t>Em andamento</t>
        </is>
      </c>
    </row>
    <row r="26" hidden="1" ht="15" customHeight="1" s="41">
      <c r="A26" s="8">
        <f>IF(B26="","",ROW()-1)</f>
        <v/>
      </c>
      <c r="B26" s="50" t="n">
        <v>46243</v>
      </c>
      <c r="C26" s="10" t="inlineStr">
        <is>
          <t>Tecnologia</t>
        </is>
      </c>
      <c r="D26" s="10" t="inlineStr">
        <is>
          <t>Auditoria de Processos</t>
        </is>
      </c>
      <c r="E26" s="10" t="inlineStr">
        <is>
          <t>Índice de Satisfação</t>
        </is>
      </c>
      <c r="F26" s="10" t="n">
        <v>8</v>
      </c>
      <c r="G26" s="10" t="inlineStr">
        <is>
          <t>SIM</t>
        </is>
      </c>
      <c r="H26" s="10" t="inlineStr">
        <is>
          <t>Automático</t>
        </is>
      </c>
      <c r="I26" s="10" t="inlineStr">
        <is>
          <t>SIM</t>
        </is>
      </c>
      <c r="J26" s="10" t="inlineStr">
        <is>
          <t>Conformidade</t>
        </is>
      </c>
      <c r="K26" s="8">
        <f>IF(G26="","",IF(G26="SIM",1,0))</f>
        <v/>
      </c>
      <c r="L26" s="8">
        <f>IF(H26="","",IF(H26="Automático",1,IF(H26="Manual",0.5,IF(H26="Não atualizado",0,""))))</f>
        <v/>
      </c>
      <c r="M26" s="8">
        <f>IF(I26="","",IF(I26="SIM",1,0))</f>
        <v/>
      </c>
      <c r="N26" s="8">
        <f>IF(J26="","",IF(J26="Conformidade",1,IF(J26="Não Conformidade",0,IF(J26="Não Conformidade Grave",-1,""))))</f>
        <v/>
      </c>
      <c r="O26" s="51">
        <f>IF(COUNTA(G26:J26)=0,"",ROUND(AVERAGE(K26:N26)*100,0))</f>
        <v/>
      </c>
      <c r="P26" s="51">
        <f>IFERROR(AVERAGEIF(C$2:C$201,C26,O$2:O$201),"N/A")</f>
        <v/>
      </c>
      <c r="Q26" s="10" t="inlineStr">
        <is>
          <t>Indicador formalizado e acompanhado regularmente.</t>
        </is>
      </c>
      <c r="R26" t="inlineStr">
        <is>
          <t>Manter acompanhamento mensal.</t>
        </is>
      </c>
      <c r="S26" t="inlineStr">
        <is>
          <t>Gabriel Martins</t>
        </is>
      </c>
      <c r="T26" s="47" t="n">
        <v>46339</v>
      </c>
      <c r="U26" t="inlineStr">
        <is>
          <t>Concluído</t>
        </is>
      </c>
    </row>
    <row r="27" ht="15" customHeight="1" s="41">
      <c r="A27" s="8">
        <f>IF(B27="","",ROW()-1)</f>
        <v/>
      </c>
      <c r="B27" s="50" t="n">
        <v>46183</v>
      </c>
      <c r="C27" s="10" t="inlineStr">
        <is>
          <t>PROCESSOS</t>
        </is>
      </c>
      <c r="D27" s="10" t="inlineStr">
        <is>
          <t>Atendimento ao Cliente</t>
        </is>
      </c>
      <c r="E27" s="10" t="inlineStr">
        <is>
          <t>Aderência ao Procedimento</t>
        </is>
      </c>
      <c r="F27" s="10" t="n">
        <v>1</v>
      </c>
      <c r="G27" s="10" t="inlineStr">
        <is>
          <t>SIM</t>
        </is>
      </c>
      <c r="H27" s="10" t="inlineStr">
        <is>
          <t>Manual</t>
        </is>
      </c>
      <c r="I27" s="10" t="inlineStr">
        <is>
          <t>NÃO</t>
        </is>
      </c>
      <c r="J27" s="10" t="inlineStr">
        <is>
          <t>Não Conformidade</t>
        </is>
      </c>
      <c r="K27" s="8">
        <f>IF(G27="","",IF(G27="SIM",1,0))</f>
        <v/>
      </c>
      <c r="L27" s="8">
        <f>IF(H27="","",IF(H27="Automático",1,IF(H27="Manual",0.5,IF(H27="Não atualizado",0,""))))</f>
        <v/>
      </c>
      <c r="M27" s="8">
        <f>IF(I27="","",IF(I27="SIM",1,0))</f>
        <v/>
      </c>
      <c r="N27" s="8">
        <f>IF(J27="","",IF(J27="Conformidade",1,IF(J27="Não Conformidade",0,IF(J27="Não Conformidade Grave",-1,""))))</f>
        <v/>
      </c>
      <c r="O27" s="51">
        <f>IF(COUNTA(G27:J27)=0,"",ROUND(AVERAGE(K27:N27)*100,0))</f>
        <v/>
      </c>
      <c r="P27" s="51">
        <f>IFERROR(AVERAGEIF(C$2:C$201,C27,O$2:O$201),"N/A")</f>
        <v/>
      </c>
      <c r="Q27" s="10" t="inlineStr">
        <is>
          <t>Indicador requer melhoria de definição, atualização ou aderência.</t>
        </is>
      </c>
      <c r="R27" t="inlineStr">
        <is>
          <t>Formalizar indicador e definir responsável</t>
        </is>
      </c>
      <c r="S27" t="inlineStr">
        <is>
          <t>Ana Lima</t>
        </is>
      </c>
      <c r="T27" s="47" t="n">
        <v>46279</v>
      </c>
      <c r="U27" t="inlineStr">
        <is>
          <t>Não iniciado</t>
        </is>
      </c>
    </row>
    <row r="28" hidden="1" ht="15" customHeight="1" s="41">
      <c r="A28" s="8">
        <f>IF(B28="","",ROW()-1)</f>
        <v/>
      </c>
      <c r="B28" s="50" t="n">
        <v>46214</v>
      </c>
      <c r="C28" s="10" t="inlineStr">
        <is>
          <t>Qualidade</t>
        </is>
      </c>
      <c r="D28" s="10" t="inlineStr">
        <is>
          <t>Contas a Pagar</t>
        </is>
      </c>
      <c r="E28" s="10" t="inlineStr">
        <is>
          <t>Taxa de Absenteísmo</t>
        </is>
      </c>
      <c r="F28" s="10" t="n">
        <v>2</v>
      </c>
      <c r="G28" s="10" t="inlineStr">
        <is>
          <t>SIM</t>
        </is>
      </c>
      <c r="H28" s="10" t="inlineStr">
        <is>
          <t>Não atualizado</t>
        </is>
      </c>
      <c r="I28" s="10" t="inlineStr">
        <is>
          <t>SIM</t>
        </is>
      </c>
      <c r="J28" s="10" t="inlineStr">
        <is>
          <t>Conformidade</t>
        </is>
      </c>
      <c r="K28" s="8">
        <f>IF(G28="","",IF(G28="SIM",1,0))</f>
        <v/>
      </c>
      <c r="L28" s="8">
        <f>IF(H28="","",IF(H28="Automático",1,IF(H28="Manual",0.5,IF(H28="Não atualizado",0,""))))</f>
        <v/>
      </c>
      <c r="M28" s="8">
        <f>IF(I28="","",IF(I28="SIM",1,0))</f>
        <v/>
      </c>
      <c r="N28" s="8">
        <f>IF(J28="","",IF(J28="Conformidade",1,IF(J28="Não Conformidade",0,IF(J28="Não Conformidade Grave",-1,""))))</f>
        <v/>
      </c>
      <c r="O28" s="51">
        <f>IF(COUNTA(G28:J28)=0,"",ROUND(AVERAGE(K28:N28)*100,0))</f>
        <v/>
      </c>
      <c r="P28" s="51">
        <f>IFERROR(AVERAGEIF(C$2:C$201,C28,O$2:O$201),"N/A")</f>
        <v/>
      </c>
      <c r="Q28" s="10" t="inlineStr">
        <is>
          <t>Indicador requer melhoria de definição, atualização ou aderência.</t>
        </is>
      </c>
      <c r="R28" t="inlineStr">
        <is>
          <t>Automatizar rotina de atualização</t>
        </is>
      </c>
      <c r="S28" t="inlineStr">
        <is>
          <t>Bruno Costa</t>
        </is>
      </c>
      <c r="T28" s="47" t="n">
        <v>46310</v>
      </c>
      <c r="U28" t="inlineStr">
        <is>
          <t>Em andamento</t>
        </is>
      </c>
    </row>
    <row r="29" hidden="1" ht="15" customHeight="1" s="41">
      <c r="A29" s="8">
        <f>IF(B29="","",ROW()-1)</f>
        <v/>
      </c>
      <c r="B29" s="50" t="n">
        <v>46246</v>
      </c>
      <c r="C29" s="10" t="inlineStr">
        <is>
          <t>Recursos Humanos</t>
        </is>
      </c>
      <c r="D29" s="10" t="inlineStr">
        <is>
          <t>Treinamento Interno</t>
        </is>
      </c>
      <c r="E29" s="10" t="inlineStr">
        <is>
          <t>Índice de Retrabalho</t>
        </is>
      </c>
      <c r="F29" s="10" t="n">
        <v>3</v>
      </c>
      <c r="G29" s="10" t="inlineStr">
        <is>
          <t>SIM</t>
        </is>
      </c>
      <c r="H29" s="10" t="inlineStr">
        <is>
          <t>Automático</t>
        </is>
      </c>
      <c r="I29" s="10" t="inlineStr">
        <is>
          <t>SIM</t>
        </is>
      </c>
      <c r="J29" s="10" t="inlineStr">
        <is>
          <t>Não Conformidade Grave</t>
        </is>
      </c>
      <c r="K29" s="8">
        <f>IF(G29="","",IF(G29="SIM",1,0))</f>
        <v/>
      </c>
      <c r="L29" s="8">
        <f>IF(H29="","",IF(H29="Automático",1,IF(H29="Manual",0.5,IF(H29="Não atualizado",0,""))))</f>
        <v/>
      </c>
      <c r="M29" s="8">
        <f>IF(I29="","",IF(I29="SIM",1,0))</f>
        <v/>
      </c>
      <c r="N29" s="8">
        <f>IF(J29="","",IF(J29="Conformidade",1,IF(J29="Não Conformidade",0,IF(J29="Não Conformidade Grave",-1,""))))</f>
        <v/>
      </c>
      <c r="O29" s="51">
        <f>IF(COUNTA(G29:J29)=0,"",ROUND(AVERAGE(K29:N29)*100,0))</f>
        <v/>
      </c>
      <c r="P29" s="51">
        <f>IFERROR(AVERAGEIF(C$2:C$201,C29,O$2:O$201),"N/A")</f>
        <v/>
      </c>
      <c r="Q29" s="10" t="inlineStr">
        <is>
          <t>Indicador requer melhoria de definição, atualização ou aderência.</t>
        </is>
      </c>
      <c r="R29" t="inlineStr">
        <is>
          <t>Documentar meta, fórmula e periodicidade</t>
        </is>
      </c>
      <c r="S29" t="inlineStr">
        <is>
          <t>Carla Souza</t>
        </is>
      </c>
      <c r="T29" s="47" t="n">
        <v>46342</v>
      </c>
      <c r="U29" t="inlineStr">
        <is>
          <t>Aguardando validação</t>
        </is>
      </c>
    </row>
    <row r="30" hidden="1" ht="15" customHeight="1" s="41">
      <c r="A30" s="8">
        <f>IF(B30="","",ROW()-1)</f>
        <v/>
      </c>
      <c r="B30" s="50" t="n">
        <v>46186</v>
      </c>
      <c r="C30" s="10" t="inlineStr">
        <is>
          <t>Financeiro</t>
        </is>
      </c>
      <c r="D30" s="10" t="inlineStr">
        <is>
          <t>Faturamento</t>
        </is>
      </c>
      <c r="E30" s="10" t="inlineStr">
        <is>
          <t>Taxa de Conversão</t>
        </is>
      </c>
      <c r="F30" s="10" t="n">
        <v>4</v>
      </c>
      <c r="G30" s="10" t="inlineStr">
        <is>
          <t>NÃO</t>
        </is>
      </c>
      <c r="H30" s="10" t="inlineStr">
        <is>
          <t>Não atualizado</t>
        </is>
      </c>
      <c r="I30" s="10" t="inlineStr">
        <is>
          <t>SIM</t>
        </is>
      </c>
      <c r="J30" s="10" t="inlineStr">
        <is>
          <t>Conformidade</t>
        </is>
      </c>
      <c r="K30" s="8">
        <f>IF(G30="","",IF(G30="SIM",1,0))</f>
        <v/>
      </c>
      <c r="L30" s="8">
        <f>IF(H30="","",IF(H30="Automático",1,IF(H30="Manual",0.5,IF(H30="Não atualizado",0,""))))</f>
        <v/>
      </c>
      <c r="M30" s="8">
        <f>IF(I30="","",IF(I30="SIM",1,0))</f>
        <v/>
      </c>
      <c r="N30" s="8">
        <f>IF(J30="","",IF(J30="Conformidade",1,IF(J30="Não Conformidade",0,IF(J30="Não Conformidade Grave",-1,""))))</f>
        <v/>
      </c>
      <c r="O30" s="51">
        <f>IF(COUNTA(G30:J30)=0,"",ROUND(AVERAGE(K30:N30)*100,0))</f>
        <v/>
      </c>
      <c r="P30" s="51">
        <f>IFERROR(AVERAGEIF(C$2:C$201,C30,O$2:O$201),"N/A")</f>
        <v/>
      </c>
      <c r="Q30" s="10" t="inlineStr">
        <is>
          <t>Indicador requer melhoria de definição, atualização ou aderência.</t>
        </is>
      </c>
      <c r="R30" t="inlineStr">
        <is>
          <t>Revisar causa da não conformidade</t>
        </is>
      </c>
      <c r="S30" t="inlineStr">
        <is>
          <t>Diego Alves</t>
        </is>
      </c>
      <c r="T30" s="47" t="n">
        <v>46282</v>
      </c>
      <c r="U30" t="inlineStr">
        <is>
          <t>Não iniciado</t>
        </is>
      </c>
    </row>
    <row r="31" hidden="1" ht="15" customHeight="1" s="41">
      <c r="A31" s="8">
        <f>IF(B31="","",ROW()-1)</f>
        <v/>
      </c>
      <c r="B31" s="50" t="n">
        <v>46217</v>
      </c>
      <c r="C31" s="10" t="inlineStr">
        <is>
          <t>Atendimento</t>
        </is>
      </c>
      <c r="D31" s="10" t="inlineStr">
        <is>
          <t>Compras</t>
        </is>
      </c>
      <c r="E31" s="10" t="inlineStr">
        <is>
          <t>Índice de Satisfação</t>
        </is>
      </c>
      <c r="F31" s="10" t="n">
        <v>5</v>
      </c>
      <c r="G31" s="10" t="inlineStr">
        <is>
          <t>NÃO</t>
        </is>
      </c>
      <c r="H31" s="10" t="inlineStr">
        <is>
          <t>Não atualizado</t>
        </is>
      </c>
      <c r="I31" s="10" t="inlineStr">
        <is>
          <t>NÃO</t>
        </is>
      </c>
      <c r="J31" s="10" t="inlineStr">
        <is>
          <t>Não Conformidade</t>
        </is>
      </c>
      <c r="K31" s="8">
        <f>IF(G31="","",IF(G31="SIM",1,0))</f>
        <v/>
      </c>
      <c r="L31" s="8">
        <f>IF(H31="","",IF(H31="Automático",1,IF(H31="Manual",0.5,IF(H31="Não atualizado",0,""))))</f>
        <v/>
      </c>
      <c r="M31" s="8">
        <f>IF(I31="","",IF(I31="SIM",1,0))</f>
        <v/>
      </c>
      <c r="N31" s="8">
        <f>IF(J31="","",IF(J31="Conformidade",1,IF(J31="Não Conformidade",0,IF(J31="Não Conformidade Grave",-1,""))))</f>
        <v/>
      </c>
      <c r="O31" s="51">
        <f>IF(COUNTA(G31:J31)=0,"",ROUND(AVERAGE(K31:N31)*100,0))</f>
        <v/>
      </c>
      <c r="P31" s="51">
        <f>IFERROR(AVERAGEIF(C$2:C$201,C31,O$2:O$201),"N/A")</f>
        <v/>
      </c>
      <c r="Q31" s="10" t="inlineStr">
        <is>
          <t>Indicador requer melhoria de definição, atualização ou aderência.</t>
        </is>
      </c>
      <c r="R31" t="inlineStr">
        <is>
          <t>Formalizar indicador e definir responsável</t>
        </is>
      </c>
      <c r="S31" t="inlineStr">
        <is>
          <t>Fernanda Rocha</t>
        </is>
      </c>
      <c r="T31" s="47" t="n">
        <v>46313</v>
      </c>
      <c r="U31" t="inlineStr">
        <is>
          <t>Em andamento</t>
        </is>
      </c>
    </row>
    <row r="32" hidden="1" ht="15" customHeight="1" s="41">
      <c r="A32" s="8">
        <f>IF(B32="","",ROW()-1)</f>
        <v/>
      </c>
      <c r="B32" s="50" t="n">
        <v>46249</v>
      </c>
      <c r="C32" s="10" t="inlineStr">
        <is>
          <t>Tecnologia</t>
        </is>
      </c>
      <c r="D32" s="10" t="inlineStr">
        <is>
          <t>Gestão de Incidentes</t>
        </is>
      </c>
      <c r="E32" s="10" t="inlineStr">
        <is>
          <t>Aderência ao Procedimento</t>
        </is>
      </c>
      <c r="F32" s="10" t="n">
        <v>6</v>
      </c>
      <c r="G32" s="10" t="inlineStr">
        <is>
          <t>SIM</t>
        </is>
      </c>
      <c r="H32" s="10" t="inlineStr">
        <is>
          <t>Automático</t>
        </is>
      </c>
      <c r="I32" s="10" t="inlineStr">
        <is>
          <t>SIM</t>
        </is>
      </c>
      <c r="J32" s="10" t="inlineStr">
        <is>
          <t>Conformidade</t>
        </is>
      </c>
      <c r="K32" s="8">
        <f>IF(G32="","",IF(G32="SIM",1,0))</f>
        <v/>
      </c>
      <c r="L32" s="8">
        <f>IF(H32="","",IF(H32="Automático",1,IF(H32="Manual",0.5,IF(H32="Não atualizado",0,""))))</f>
        <v/>
      </c>
      <c r="M32" s="8">
        <f>IF(I32="","",IF(I32="SIM",1,0))</f>
        <v/>
      </c>
      <c r="N32" s="8">
        <f>IF(J32="","",IF(J32="Conformidade",1,IF(J32="Não Conformidade",0,IF(J32="Não Conformidade Grave",-1,""))))</f>
        <v/>
      </c>
      <c r="O32" s="51">
        <f>IF(COUNTA(G32:J32)=0,"",ROUND(AVERAGE(K32:N32)*100,0))</f>
        <v/>
      </c>
      <c r="P32" s="51">
        <f>IFERROR(AVERAGEIF(C$2:C$201,C32,O$2:O$201),"N/A")</f>
        <v/>
      </c>
      <c r="Q32" s="10" t="inlineStr">
        <is>
          <t>Indicador formalizado e acompanhado regularmente.</t>
        </is>
      </c>
      <c r="R32" t="inlineStr">
        <is>
          <t>Manter acompanhamento mensal.</t>
        </is>
      </c>
      <c r="S32" t="inlineStr">
        <is>
          <t>Gabriel Martins</t>
        </is>
      </c>
      <c r="T32" s="47" t="n">
        <v>46345</v>
      </c>
      <c r="U32" t="inlineStr">
        <is>
          <t>Concluído</t>
        </is>
      </c>
    </row>
    <row r="33" ht="15" customHeight="1" s="41">
      <c r="A33" s="8">
        <f>IF(B33="","",ROW()-1)</f>
        <v/>
      </c>
      <c r="B33" s="50" t="n">
        <v>46189</v>
      </c>
      <c r="C33" s="10" t="inlineStr">
        <is>
          <t>PROCESSOS</t>
        </is>
      </c>
      <c r="D33" s="10" t="inlineStr">
        <is>
          <t>Admissão</t>
        </is>
      </c>
      <c r="E33" s="10" t="inlineStr">
        <is>
          <t>Taxa de Absenteísmo</t>
        </is>
      </c>
      <c r="F33" s="10" t="n">
        <v>7</v>
      </c>
      <c r="G33" s="10" t="inlineStr">
        <is>
          <t>SIM</t>
        </is>
      </c>
      <c r="H33" s="10" t="inlineStr">
        <is>
          <t>Não atualizado</t>
        </is>
      </c>
      <c r="I33" s="10" t="inlineStr">
        <is>
          <t>SIM</t>
        </is>
      </c>
      <c r="J33" s="10" t="inlineStr">
        <is>
          <t>Conformidade</t>
        </is>
      </c>
      <c r="K33" s="8">
        <f>IF(G33="","",IF(G33="SIM",1,0))</f>
        <v/>
      </c>
      <c r="L33" s="8">
        <f>IF(H33="","",IF(H33="Automático",1,IF(H33="Manual",0.5,IF(H33="Não atualizado",0,""))))</f>
        <v/>
      </c>
      <c r="M33" s="8">
        <f>IF(I33="","",IF(I33="SIM",1,0))</f>
        <v/>
      </c>
      <c r="N33" s="8">
        <f>IF(J33="","",IF(J33="Conformidade",1,IF(J33="Não Conformidade",0,IF(J33="Não Conformidade Grave",-1,""))))</f>
        <v/>
      </c>
      <c r="O33" s="51">
        <f>IF(COUNTA(G33:J33)=0,"",ROUND(AVERAGE(K33:N33)*100,0))</f>
        <v/>
      </c>
      <c r="P33" s="51">
        <f>IFERROR(AVERAGEIF(C$2:C$201,C33,O$2:O$201),"N/A")</f>
        <v/>
      </c>
      <c r="Q33" s="10" t="inlineStr">
        <is>
          <t>Indicador requer melhoria de definição, atualização ou aderência.</t>
        </is>
      </c>
      <c r="R33" t="inlineStr">
        <is>
          <t>Documentar meta, fórmula e periodicidade</t>
        </is>
      </c>
      <c r="S33" t="inlineStr">
        <is>
          <t>Ana Lima</t>
        </is>
      </c>
      <c r="T33" s="47" t="n">
        <v>46285</v>
      </c>
      <c r="U33" t="inlineStr">
        <is>
          <t>Não iniciado</t>
        </is>
      </c>
    </row>
    <row r="34" hidden="1" ht="15" customHeight="1" s="41">
      <c r="A34" s="8">
        <f>IF(B34="","",ROW()-1)</f>
        <v/>
      </c>
      <c r="B34" s="50" t="n">
        <v>46220</v>
      </c>
      <c r="C34" s="10" t="inlineStr">
        <is>
          <t>Qualidade</t>
        </is>
      </c>
      <c r="D34" s="10" t="inlineStr">
        <is>
          <t>Gestão de Contratos</t>
        </is>
      </c>
      <c r="E34" s="10" t="inlineStr">
        <is>
          <t>Índice de Retrabalho</t>
        </is>
      </c>
      <c r="F34" s="10" t="n">
        <v>8</v>
      </c>
      <c r="G34" s="10" t="inlineStr">
        <is>
          <t>SIM</t>
        </is>
      </c>
      <c r="H34" s="10" t="inlineStr">
        <is>
          <t>Automático</t>
        </is>
      </c>
      <c r="I34" s="10" t="inlineStr">
        <is>
          <t>SIM</t>
        </is>
      </c>
      <c r="J34" s="10" t="inlineStr">
        <is>
          <t>Conformidade</t>
        </is>
      </c>
      <c r="K34" s="8">
        <f>IF(G34="","",IF(G34="SIM",1,0))</f>
        <v/>
      </c>
      <c r="L34" s="8">
        <f>IF(H34="","",IF(H34="Automático",1,IF(H34="Manual",0.5,IF(H34="Não atualizado",0,""))))</f>
        <v/>
      </c>
      <c r="M34" s="8">
        <f>IF(I34="","",IF(I34="SIM",1,0))</f>
        <v/>
      </c>
      <c r="N34" s="8">
        <f>IF(J34="","",IF(J34="Conformidade",1,IF(J34="Não Conformidade",0,IF(J34="Não Conformidade Grave",-1,""))))</f>
        <v/>
      </c>
      <c r="O34" s="51">
        <f>IF(COUNTA(G34:J34)=0,"",ROUND(AVERAGE(K34:N34)*100,0))</f>
        <v/>
      </c>
      <c r="P34" s="51">
        <f>IFERROR(AVERAGEIF(C$2:C$201,C34,O$2:O$201),"N/A")</f>
        <v/>
      </c>
      <c r="Q34" s="10" t="inlineStr">
        <is>
          <t>Indicador formalizado e acompanhado regularmente.</t>
        </is>
      </c>
      <c r="R34" t="inlineStr">
        <is>
          <t>Manter acompanhamento mensal.</t>
        </is>
      </c>
      <c r="S34" t="inlineStr">
        <is>
          <t>Bruno Costa</t>
        </is>
      </c>
      <c r="T34" s="47" t="n">
        <v>46316</v>
      </c>
      <c r="U34" t="inlineStr">
        <is>
          <t>Concluído</t>
        </is>
      </c>
    </row>
    <row r="35" hidden="1" ht="15" customHeight="1" s="41">
      <c r="A35" s="8">
        <f>IF(B35="","",ROW()-1)</f>
        <v/>
      </c>
      <c r="B35" s="50" t="n">
        <v>46252</v>
      </c>
      <c r="C35" s="10" t="inlineStr">
        <is>
          <t>Recursos Humanos</t>
        </is>
      </c>
      <c r="D35" s="10" t="inlineStr">
        <is>
          <t>Controle de Acesso</t>
        </is>
      </c>
      <c r="E35" s="10" t="inlineStr">
        <is>
          <t>Taxa de Conversão</t>
        </is>
      </c>
      <c r="F35" s="10" t="n">
        <v>1</v>
      </c>
      <c r="G35" s="10" t="inlineStr">
        <is>
          <t>SIM</t>
        </is>
      </c>
      <c r="H35" s="10" t="inlineStr">
        <is>
          <t>Automático</t>
        </is>
      </c>
      <c r="I35" s="10" t="inlineStr">
        <is>
          <t>NÃO</t>
        </is>
      </c>
      <c r="J35" s="10" t="inlineStr">
        <is>
          <t>Não Conformidade</t>
        </is>
      </c>
      <c r="K35" s="8">
        <f>IF(G35="","",IF(G35="SIM",1,0))</f>
        <v/>
      </c>
      <c r="L35" s="8">
        <f>IF(H35="","",IF(H35="Automático",1,IF(H35="Manual",0.5,IF(H35="Não atualizado",0,""))))</f>
        <v/>
      </c>
      <c r="M35" s="8">
        <f>IF(I35="","",IF(I35="SIM",1,0))</f>
        <v/>
      </c>
      <c r="N35" s="8">
        <f>IF(J35="","",IF(J35="Conformidade",1,IF(J35="Não Conformidade",0,IF(J35="Não Conformidade Grave",-1,""))))</f>
        <v/>
      </c>
      <c r="O35" s="51">
        <f>IF(COUNTA(G35:J35)=0,"",ROUND(AVERAGE(K35:N35)*100,0))</f>
        <v/>
      </c>
      <c r="P35" s="51">
        <f>IFERROR(AVERAGEIF(C$2:C$201,C35,O$2:O$201),"N/A")</f>
        <v/>
      </c>
      <c r="Q35" s="10" t="inlineStr">
        <is>
          <t>Indicador requer melhoria de definição, atualização ou aderência.</t>
        </is>
      </c>
      <c r="R35" t="inlineStr">
        <is>
          <t>Formalizar indicador e definir responsável</t>
        </is>
      </c>
      <c r="S35" t="inlineStr">
        <is>
          <t>Carla Souza</t>
        </is>
      </c>
      <c r="T35" s="47" t="n">
        <v>46348</v>
      </c>
      <c r="U35" t="inlineStr">
        <is>
          <t>Aguardando validação</t>
        </is>
      </c>
    </row>
    <row r="36" hidden="1" ht="15" customHeight="1" s="41">
      <c r="A36" s="8">
        <f>IF(B36="","",ROW()-1)</f>
        <v/>
      </c>
      <c r="B36" s="50" t="n">
        <v>46192</v>
      </c>
      <c r="C36" s="10" t="inlineStr">
        <is>
          <t>Financeiro</t>
        </is>
      </c>
      <c r="D36" s="10" t="inlineStr">
        <is>
          <t>Auditoria de Processos</t>
        </is>
      </c>
      <c r="E36" s="10" t="inlineStr">
        <is>
          <t>Índice de Satisfação</t>
        </is>
      </c>
      <c r="F36" s="10" t="n">
        <v>2</v>
      </c>
      <c r="G36" s="10" t="inlineStr">
        <is>
          <t>SIM</t>
        </is>
      </c>
      <c r="H36" s="10" t="inlineStr">
        <is>
          <t>Manual</t>
        </is>
      </c>
      <c r="I36" s="10" t="inlineStr">
        <is>
          <t>NÃO</t>
        </is>
      </c>
      <c r="J36" s="10" t="inlineStr">
        <is>
          <t>Conformidade</t>
        </is>
      </c>
      <c r="K36" s="8">
        <f>IF(G36="","",IF(G36="SIM",1,0))</f>
        <v/>
      </c>
      <c r="L36" s="8">
        <f>IF(H36="","",IF(H36="Automático",1,IF(H36="Manual",0.5,IF(H36="Não atualizado",0,""))))</f>
        <v/>
      </c>
      <c r="M36" s="8">
        <f>IF(I36="","",IF(I36="SIM",1,0))</f>
        <v/>
      </c>
      <c r="N36" s="8">
        <f>IF(J36="","",IF(J36="Conformidade",1,IF(J36="Não Conformidade",0,IF(J36="Não Conformidade Grave",-1,""))))</f>
        <v/>
      </c>
      <c r="O36" s="51">
        <f>IF(COUNTA(G36:J36)=0,"",ROUND(AVERAGE(K36:N36)*100,0))</f>
        <v/>
      </c>
      <c r="P36" s="51">
        <f>IFERROR(AVERAGEIF(C$2:C$201,C36,O$2:O$201),"N/A")</f>
        <v/>
      </c>
      <c r="Q36" s="10" t="inlineStr">
        <is>
          <t>Indicador requer melhoria de definição, atualização ou aderência.</t>
        </is>
      </c>
      <c r="R36" t="inlineStr">
        <is>
          <t>Automatizar rotina de atualização</t>
        </is>
      </c>
      <c r="S36" t="inlineStr">
        <is>
          <t>Diego Alves</t>
        </is>
      </c>
      <c r="T36" s="47" t="n">
        <v>46288</v>
      </c>
      <c r="U36" t="inlineStr">
        <is>
          <t>Não iniciado</t>
        </is>
      </c>
    </row>
    <row r="37" hidden="1" ht="15" customHeight="1" s="41">
      <c r="A37" s="8">
        <f>IF(B37="","",ROW()-1)</f>
        <v/>
      </c>
      <c r="B37" s="50" t="n">
        <v>46223</v>
      </c>
      <c r="C37" s="10" t="inlineStr">
        <is>
          <t>Atendimento</t>
        </is>
      </c>
      <c r="D37" s="10" t="inlineStr">
        <is>
          <t>Atendimento ao Cliente</t>
        </is>
      </c>
      <c r="E37" s="10" t="inlineStr">
        <is>
          <t>Aderência ao Procedimento</t>
        </is>
      </c>
      <c r="F37" s="10" t="n">
        <v>3</v>
      </c>
      <c r="G37" s="10" t="inlineStr">
        <is>
          <t>SIM</t>
        </is>
      </c>
      <c r="H37" s="10" t="inlineStr">
        <is>
          <t>Automático</t>
        </is>
      </c>
      <c r="I37" s="10" t="inlineStr">
        <is>
          <t>SIM</t>
        </is>
      </c>
      <c r="J37" s="10" t="inlineStr">
        <is>
          <t>Conformidade</t>
        </is>
      </c>
      <c r="K37" s="8">
        <f>IF(G37="","",IF(G37="SIM",1,0))</f>
        <v/>
      </c>
      <c r="L37" s="8">
        <f>IF(H37="","",IF(H37="Automático",1,IF(H37="Manual",0.5,IF(H37="Não atualizado",0,""))))</f>
        <v/>
      </c>
      <c r="M37" s="8">
        <f>IF(I37="","",IF(I37="SIM",1,0))</f>
        <v/>
      </c>
      <c r="N37" s="8">
        <f>IF(J37="","",IF(J37="Conformidade",1,IF(J37="Não Conformidade",0,IF(J37="Não Conformidade Grave",-1,""))))</f>
        <v/>
      </c>
      <c r="O37" s="51">
        <f>IF(COUNTA(G37:J37)=0,"",ROUND(AVERAGE(K37:N37)*100,0))</f>
        <v/>
      </c>
      <c r="P37" s="51">
        <f>IFERROR(AVERAGEIF(C$2:C$201,C37,O$2:O$201),"N/A")</f>
        <v/>
      </c>
      <c r="Q37" s="10" t="inlineStr">
        <is>
          <t>Indicador formalizado e acompanhado regularmente.</t>
        </is>
      </c>
      <c r="R37" t="inlineStr">
        <is>
          <t>Manter acompanhamento mensal.</t>
        </is>
      </c>
      <c r="S37" t="inlineStr">
        <is>
          <t>Fernanda Rocha</t>
        </is>
      </c>
      <c r="T37" s="47" t="n">
        <v>46319</v>
      </c>
      <c r="U37" t="inlineStr">
        <is>
          <t>Concluído</t>
        </is>
      </c>
    </row>
    <row r="38" hidden="1" ht="15" customHeight="1" s="41">
      <c r="A38" s="8">
        <f>IF(B38="","",ROW()-1)</f>
        <v/>
      </c>
      <c r="B38" s="50" t="n">
        <v>46255</v>
      </c>
      <c r="C38" s="10" t="inlineStr">
        <is>
          <t>Tecnologia</t>
        </is>
      </c>
      <c r="D38" s="10" t="inlineStr">
        <is>
          <t>Contas a Pagar</t>
        </is>
      </c>
      <c r="E38" s="10" t="inlineStr">
        <is>
          <t>Taxa de Absenteísmo</t>
        </is>
      </c>
      <c r="F38" s="10" t="n">
        <v>4</v>
      </c>
      <c r="G38" s="10" t="inlineStr">
        <is>
          <t>SIM</t>
        </is>
      </c>
      <c r="H38" s="10" t="inlineStr">
        <is>
          <t>Não atualizado</t>
        </is>
      </c>
      <c r="I38" s="10" t="inlineStr">
        <is>
          <t>SIM</t>
        </is>
      </c>
      <c r="J38" s="10" t="inlineStr">
        <is>
          <t>Conformidade</t>
        </is>
      </c>
      <c r="K38" s="8">
        <f>IF(G38="","",IF(G38="SIM",1,0))</f>
        <v/>
      </c>
      <c r="L38" s="8">
        <f>IF(H38="","",IF(H38="Automático",1,IF(H38="Manual",0.5,IF(H38="Não atualizado",0,""))))</f>
        <v/>
      </c>
      <c r="M38" s="8">
        <f>IF(I38="","",IF(I38="SIM",1,0))</f>
        <v/>
      </c>
      <c r="N38" s="8">
        <f>IF(J38="","",IF(J38="Conformidade",1,IF(J38="Não Conformidade",0,IF(J38="Não Conformidade Grave",-1,""))))</f>
        <v/>
      </c>
      <c r="O38" s="51">
        <f>IF(COUNTA(G38:J38)=0,"",ROUND(AVERAGE(K38:N38)*100,0))</f>
        <v/>
      </c>
      <c r="P38" s="51">
        <f>IFERROR(AVERAGEIF(C$2:C$201,C38,O$2:O$201),"N/A")</f>
        <v/>
      </c>
      <c r="Q38" s="10" t="inlineStr">
        <is>
          <t>Indicador requer melhoria de definição, atualização ou aderência.</t>
        </is>
      </c>
      <c r="R38" t="inlineStr">
        <is>
          <t>Revisar causa da não conformidade</t>
        </is>
      </c>
      <c r="S38" t="inlineStr">
        <is>
          <t>Gabriel Martins</t>
        </is>
      </c>
      <c r="T38" s="47" t="n">
        <v>46351</v>
      </c>
      <c r="U38" t="inlineStr">
        <is>
          <t>Aguardando validação</t>
        </is>
      </c>
    </row>
    <row r="39" ht="15" customHeight="1" s="41">
      <c r="A39" s="8">
        <f>IF(B39="","",ROW()-1)</f>
        <v/>
      </c>
      <c r="B39" s="50" t="n">
        <v>46195</v>
      </c>
      <c r="C39" s="10" t="inlineStr">
        <is>
          <t>PROCESSOS</t>
        </is>
      </c>
      <c r="D39" s="10" t="inlineStr">
        <is>
          <t>Treinamento Interno</t>
        </is>
      </c>
      <c r="E39" s="10" t="inlineStr">
        <is>
          <t>Índice de Retrabalho</t>
        </is>
      </c>
      <c r="F39" s="10" t="n">
        <v>5</v>
      </c>
      <c r="G39" s="10" t="inlineStr">
        <is>
          <t>NÃO</t>
        </is>
      </c>
      <c r="H39" s="10" t="inlineStr">
        <is>
          <t>Não atualizado</t>
        </is>
      </c>
      <c r="I39" s="10" t="inlineStr">
        <is>
          <t>NÃO</t>
        </is>
      </c>
      <c r="J39" s="10" t="inlineStr">
        <is>
          <t>Não Conformidade</t>
        </is>
      </c>
      <c r="K39" s="8">
        <f>IF(G39="","",IF(G39="SIM",1,0))</f>
        <v/>
      </c>
      <c r="L39" s="8">
        <f>IF(H39="","",IF(H39="Automático",1,IF(H39="Manual",0.5,IF(H39="Não atualizado",0,""))))</f>
        <v/>
      </c>
      <c r="M39" s="8">
        <f>IF(I39="","",IF(I39="SIM",1,0))</f>
        <v/>
      </c>
      <c r="N39" s="8">
        <f>IF(J39="","",IF(J39="Conformidade",1,IF(J39="Não Conformidade",0,IF(J39="Não Conformidade Grave",-1,""))))</f>
        <v/>
      </c>
      <c r="O39" s="51">
        <f>IF(COUNTA(G39:J39)=0,"",ROUND(AVERAGE(K39:N39)*100,0))</f>
        <v/>
      </c>
      <c r="P39" s="51">
        <f>IFERROR(AVERAGEIF(C$2:C$201,C39,O$2:O$201),"N/A")</f>
        <v/>
      </c>
      <c r="Q39" s="10" t="inlineStr">
        <is>
          <t>Indicador requer melhoria de definição, atualização ou aderência.</t>
        </is>
      </c>
      <c r="R39" t="inlineStr">
        <is>
          <t>Formalizar indicador e definir responsável</t>
        </is>
      </c>
      <c r="S39" t="inlineStr">
        <is>
          <t>Ana Lima</t>
        </is>
      </c>
      <c r="T39" s="47" t="n">
        <v>46273</v>
      </c>
      <c r="U39" t="inlineStr">
        <is>
          <t>Não iniciado</t>
        </is>
      </c>
    </row>
    <row r="40" hidden="1" ht="15" customHeight="1" s="41">
      <c r="A40" s="8">
        <f>IF(B40="","",ROW()-1)</f>
        <v/>
      </c>
      <c r="B40" s="50" t="n">
        <v>46226</v>
      </c>
      <c r="C40" s="10" t="inlineStr">
        <is>
          <t>Qualidade</t>
        </is>
      </c>
      <c r="D40" s="10" t="inlineStr">
        <is>
          <t>Faturamento</t>
        </is>
      </c>
      <c r="E40" s="10" t="inlineStr">
        <is>
          <t>Taxa de Conversão</t>
        </is>
      </c>
      <c r="F40" s="10" t="n">
        <v>6</v>
      </c>
      <c r="G40" s="10" t="inlineStr">
        <is>
          <t>SIM</t>
        </is>
      </c>
      <c r="H40" s="10" t="inlineStr">
        <is>
          <t>Automático</t>
        </is>
      </c>
      <c r="I40" s="10" t="inlineStr">
        <is>
          <t>SIM</t>
        </is>
      </c>
      <c r="J40" s="10" t="inlineStr">
        <is>
          <t>Conformidade</t>
        </is>
      </c>
      <c r="K40" s="8">
        <f>IF(G40="","",IF(G40="SIM",1,0))</f>
        <v/>
      </c>
      <c r="L40" s="8">
        <f>IF(H40="","",IF(H40="Automático",1,IF(H40="Manual",0.5,IF(H40="Não atualizado",0,""))))</f>
        <v/>
      </c>
      <c r="M40" s="8">
        <f>IF(I40="","",IF(I40="SIM",1,0))</f>
        <v/>
      </c>
      <c r="N40" s="8">
        <f>IF(J40="","",IF(J40="Conformidade",1,IF(J40="Não Conformidade",0,IF(J40="Não Conformidade Grave",-1,""))))</f>
        <v/>
      </c>
      <c r="O40" s="51">
        <f>IF(COUNTA(G40:J40)=0,"",ROUND(AVERAGE(K40:N40)*100,0))</f>
        <v/>
      </c>
      <c r="P40" s="51">
        <f>IFERROR(AVERAGEIF(C$2:C$201,C40,O$2:O$201),"N/A")</f>
        <v/>
      </c>
      <c r="Q40" s="10" t="inlineStr">
        <is>
          <t>Indicador formalizado e acompanhado regularmente.</t>
        </is>
      </c>
      <c r="R40" t="inlineStr">
        <is>
          <t>Manter acompanhamento mensal.</t>
        </is>
      </c>
      <c r="S40" t="inlineStr">
        <is>
          <t>Bruno Costa</t>
        </is>
      </c>
      <c r="T40" s="47" t="n">
        <v>46304</v>
      </c>
      <c r="U40" t="inlineStr">
        <is>
          <t>Concluído</t>
        </is>
      </c>
    </row>
    <row r="41" hidden="1" ht="15" customHeight="1" s="41">
      <c r="A41" s="8">
        <f>IF(B41="","",ROW()-1)</f>
        <v/>
      </c>
      <c r="B41" s="50" t="n">
        <v>46258</v>
      </c>
      <c r="C41" s="10" t="inlineStr">
        <is>
          <t>Recursos Humanos</t>
        </is>
      </c>
      <c r="D41" s="10" t="inlineStr">
        <is>
          <t>Compras</t>
        </is>
      </c>
      <c r="E41" s="10" t="inlineStr">
        <is>
          <t>Índice de Satisfação</t>
        </is>
      </c>
      <c r="F41" s="10" t="n">
        <v>7</v>
      </c>
      <c r="G41" s="10" t="inlineStr">
        <is>
          <t>SIM</t>
        </is>
      </c>
      <c r="H41" s="10" t="inlineStr">
        <is>
          <t>Automático</t>
        </is>
      </c>
      <c r="I41" s="10" t="inlineStr">
        <is>
          <t>SIM</t>
        </is>
      </c>
      <c r="J41" s="10" t="inlineStr">
        <is>
          <t>Conformidade</t>
        </is>
      </c>
      <c r="K41" s="8">
        <f>IF(G41="","",IF(G41="SIM",1,0))</f>
        <v/>
      </c>
      <c r="L41" s="8">
        <f>IF(H41="","",IF(H41="Automático",1,IF(H41="Manual",0.5,IF(H41="Não atualizado",0,""))))</f>
        <v/>
      </c>
      <c r="M41" s="8">
        <f>IF(I41="","",IF(I41="SIM",1,0))</f>
        <v/>
      </c>
      <c r="N41" s="8">
        <f>IF(J41="","",IF(J41="Conformidade",1,IF(J41="Não Conformidade",0,IF(J41="Não Conformidade Grave",-1,""))))</f>
        <v/>
      </c>
      <c r="O41" s="51">
        <f>IF(COUNTA(G41:J41)=0,"",ROUND(AVERAGE(K41:N41)*100,0))</f>
        <v/>
      </c>
      <c r="P41" s="51">
        <f>IFERROR(AVERAGEIF(C$2:C$201,C41,O$2:O$201),"N/A")</f>
        <v/>
      </c>
      <c r="Q41" s="10" t="inlineStr">
        <is>
          <t>Indicador formalizado e acompanhado regularmente.</t>
        </is>
      </c>
      <c r="R41" t="inlineStr">
        <is>
          <t>Manter acompanhamento mensal.</t>
        </is>
      </c>
      <c r="S41" t="inlineStr">
        <is>
          <t>Carla Souza</t>
        </is>
      </c>
      <c r="T41" s="47" t="n">
        <v>46336</v>
      </c>
      <c r="U41" t="inlineStr">
        <is>
          <t>Concluído</t>
        </is>
      </c>
    </row>
    <row r="42" hidden="1" ht="15" customHeight="1" s="41">
      <c r="A42" s="8">
        <f>IF(B42="","",ROW()-1)</f>
        <v/>
      </c>
      <c r="B42" s="50" t="n">
        <v>46198</v>
      </c>
      <c r="C42" s="10" t="inlineStr">
        <is>
          <t>Financeiro</t>
        </is>
      </c>
      <c r="D42" s="10" t="inlineStr">
        <is>
          <t>Gestão de Incidentes</t>
        </is>
      </c>
      <c r="E42" s="10" t="inlineStr">
        <is>
          <t>Aderência ao Procedimento</t>
        </is>
      </c>
      <c r="F42" s="10" t="n">
        <v>8</v>
      </c>
      <c r="G42" s="10" t="inlineStr">
        <is>
          <t>SIM</t>
        </is>
      </c>
      <c r="H42" s="10" t="inlineStr">
        <is>
          <t>Manual</t>
        </is>
      </c>
      <c r="I42" s="10" t="inlineStr">
        <is>
          <t>SIM</t>
        </is>
      </c>
      <c r="J42" s="10" t="inlineStr">
        <is>
          <t>Não Conformidade Grave</t>
        </is>
      </c>
      <c r="K42" s="8">
        <f>IF(G42="","",IF(G42="SIM",1,0))</f>
        <v/>
      </c>
      <c r="L42" s="8">
        <f>IF(H42="","",IF(H42="Automático",1,IF(H42="Manual",0.5,IF(H42="Não atualizado",0,""))))</f>
        <v/>
      </c>
      <c r="M42" s="8">
        <f>IF(I42="","",IF(I42="SIM",1,0))</f>
        <v/>
      </c>
      <c r="N42" s="8">
        <f>IF(J42="","",IF(J42="Conformidade",1,IF(J42="Não Conformidade",0,IF(J42="Não Conformidade Grave",-1,""))))</f>
        <v/>
      </c>
      <c r="O42" s="51">
        <f>IF(COUNTA(G42:J42)=0,"",ROUND(AVERAGE(K42:N42)*100,0))</f>
        <v/>
      </c>
      <c r="P42" s="51">
        <f>IFERROR(AVERAGEIF(C$2:C$201,C42,O$2:O$201),"N/A")</f>
        <v/>
      </c>
      <c r="Q42" s="10" t="inlineStr">
        <is>
          <t>Indicador requer melhoria de definição, atualização ou aderência.</t>
        </is>
      </c>
      <c r="R42" t="inlineStr">
        <is>
          <t>Revisar causa da não conformidade</t>
        </is>
      </c>
      <c r="S42" t="inlineStr">
        <is>
          <t>Diego Alves</t>
        </is>
      </c>
      <c r="T42" s="47" t="n">
        <v>46276</v>
      </c>
      <c r="U42" t="inlineStr">
        <is>
          <t>Não iniciado</t>
        </is>
      </c>
    </row>
    <row r="43" hidden="1" ht="15" customHeight="1" s="41">
      <c r="A43" s="8">
        <f>IF(B43="","",ROW()-1)</f>
        <v/>
      </c>
      <c r="B43" s="50" t="n">
        <v>46209</v>
      </c>
      <c r="C43" s="10" t="inlineStr">
        <is>
          <t>Atendimento</t>
        </is>
      </c>
      <c r="D43" s="10" t="inlineStr">
        <is>
          <t>Admissão</t>
        </is>
      </c>
      <c r="E43" s="10" t="inlineStr">
        <is>
          <t>Taxa de Absenteísmo</t>
        </is>
      </c>
      <c r="F43" s="10" t="n">
        <v>1</v>
      </c>
      <c r="G43" s="10" t="inlineStr">
        <is>
          <t>SIM</t>
        </is>
      </c>
      <c r="H43" s="10" t="inlineStr">
        <is>
          <t>Não atualizado</t>
        </is>
      </c>
      <c r="I43" s="10" t="inlineStr">
        <is>
          <t>NÃO</t>
        </is>
      </c>
      <c r="J43" s="10" t="inlineStr">
        <is>
          <t>Não Conformidade</t>
        </is>
      </c>
      <c r="K43" s="8">
        <f>IF(G43="","",IF(G43="SIM",1,0))</f>
        <v/>
      </c>
      <c r="L43" s="8">
        <f>IF(H43="","",IF(H43="Automático",1,IF(H43="Manual",0.5,IF(H43="Não atualizado",0,""))))</f>
        <v/>
      </c>
      <c r="M43" s="8">
        <f>IF(I43="","",IF(I43="SIM",1,0))</f>
        <v/>
      </c>
      <c r="N43" s="8">
        <f>IF(J43="","",IF(J43="Conformidade",1,IF(J43="Não Conformidade",0,IF(J43="Não Conformidade Grave",-1,""))))</f>
        <v/>
      </c>
      <c r="O43" s="51">
        <f>IF(COUNTA(G43:J43)=0,"",ROUND(AVERAGE(K43:N43)*100,0))</f>
        <v/>
      </c>
      <c r="P43" s="51">
        <f>IFERROR(AVERAGEIF(C$2:C$201,C43,O$2:O$201),"N/A")</f>
        <v/>
      </c>
      <c r="Q43" s="10" t="inlineStr">
        <is>
          <t>Indicador requer melhoria de definição, atualização ou aderência.</t>
        </is>
      </c>
      <c r="R43" t="inlineStr">
        <is>
          <t>Formalizar indicador e definir responsável</t>
        </is>
      </c>
      <c r="S43" t="inlineStr">
        <is>
          <t>Fernanda Rocha</t>
        </is>
      </c>
      <c r="T43" s="47" t="n">
        <v>46307</v>
      </c>
      <c r="U43" t="inlineStr">
        <is>
          <t>Em andamento</t>
        </is>
      </c>
    </row>
    <row r="44" hidden="1" ht="15" customHeight="1" s="41">
      <c r="A44" s="8">
        <f>IF(B44="","",ROW()-1)</f>
        <v/>
      </c>
      <c r="B44" s="50" t="n">
        <v>46241</v>
      </c>
      <c r="C44" s="10" t="inlineStr">
        <is>
          <t>Tecnologia</t>
        </is>
      </c>
      <c r="D44" s="10" t="inlineStr">
        <is>
          <t>Gestão de Contratos</t>
        </is>
      </c>
      <c r="E44" s="10" t="inlineStr">
        <is>
          <t>Índice de Retrabalho</t>
        </is>
      </c>
      <c r="F44" s="10" t="n">
        <v>2</v>
      </c>
      <c r="G44" s="10" t="inlineStr">
        <is>
          <t>SIM</t>
        </is>
      </c>
      <c r="H44" s="10" t="inlineStr">
        <is>
          <t>Automático</t>
        </is>
      </c>
      <c r="I44" s="10" t="inlineStr">
        <is>
          <t>SIM</t>
        </is>
      </c>
      <c r="J44" s="10" t="inlineStr">
        <is>
          <t>Conformidade</t>
        </is>
      </c>
      <c r="K44" s="8">
        <f>IF(G44="","",IF(G44="SIM",1,0))</f>
        <v/>
      </c>
      <c r="L44" s="8">
        <f>IF(H44="","",IF(H44="Automático",1,IF(H44="Manual",0.5,IF(H44="Não atualizado",0,""))))</f>
        <v/>
      </c>
      <c r="M44" s="8">
        <f>IF(I44="","",IF(I44="SIM",1,0))</f>
        <v/>
      </c>
      <c r="N44" s="8">
        <f>IF(J44="","",IF(J44="Conformidade",1,IF(J44="Não Conformidade",0,IF(J44="Não Conformidade Grave",-1,""))))</f>
        <v/>
      </c>
      <c r="O44" s="51">
        <f>IF(COUNTA(G44:J44)=0,"",ROUND(AVERAGE(K44:N44)*100,0))</f>
        <v/>
      </c>
      <c r="P44" s="51">
        <f>IFERROR(AVERAGEIF(C$2:C$201,C44,O$2:O$201),"N/A")</f>
        <v/>
      </c>
      <c r="Q44" s="10" t="inlineStr">
        <is>
          <t>Indicador formalizado e acompanhado regularmente.</t>
        </is>
      </c>
      <c r="R44" t="inlineStr">
        <is>
          <t>Manter acompanhamento mensal.</t>
        </is>
      </c>
      <c r="S44" t="inlineStr">
        <is>
          <t>Gabriel Martins</t>
        </is>
      </c>
      <c r="T44" s="47" t="n">
        <v>46339</v>
      </c>
      <c r="U44" t="inlineStr">
        <is>
          <t>Concluído</t>
        </is>
      </c>
    </row>
    <row r="45" ht="15" customHeight="1" s="41">
      <c r="A45" s="8">
        <f>IF(B45="","",ROW()-1)</f>
        <v/>
      </c>
      <c r="B45" s="50" t="n">
        <v>46181</v>
      </c>
      <c r="C45" s="10" t="inlineStr">
        <is>
          <t>PROCESSOS</t>
        </is>
      </c>
      <c r="D45" s="10" t="inlineStr">
        <is>
          <t>Controle de Acesso</t>
        </is>
      </c>
      <c r="E45" s="10" t="inlineStr">
        <is>
          <t>Taxa de Conversão</t>
        </is>
      </c>
      <c r="F45" s="10" t="n">
        <v>3</v>
      </c>
      <c r="G45" s="10" t="inlineStr">
        <is>
          <t>NÃO</t>
        </is>
      </c>
      <c r="H45" s="10" t="inlineStr">
        <is>
          <t>Não atualizado</t>
        </is>
      </c>
      <c r="I45" s="10" t="inlineStr">
        <is>
          <t>SIM</t>
        </is>
      </c>
      <c r="J45" s="10" t="inlineStr">
        <is>
          <t>Conformidade</t>
        </is>
      </c>
      <c r="K45" s="8">
        <f>IF(G45="","",IF(G45="SIM",1,0))</f>
        <v/>
      </c>
      <c r="L45" s="8">
        <f>IF(H45="","",IF(H45="Automático",1,IF(H45="Manual",0.5,IF(H45="Não atualizado",0,""))))</f>
        <v/>
      </c>
      <c r="M45" s="8">
        <f>IF(I45="","",IF(I45="SIM",1,0))</f>
        <v/>
      </c>
      <c r="N45" s="8">
        <f>IF(J45="","",IF(J45="Conformidade",1,IF(J45="Não Conformidade",0,IF(J45="Não Conformidade Grave",-1,""))))</f>
        <v/>
      </c>
      <c r="O45" s="51">
        <f>IF(COUNTA(G45:J45)=0,"",ROUND(AVERAGE(K45:N45)*100,0))</f>
        <v/>
      </c>
      <c r="P45" s="51">
        <f>IFERROR(AVERAGEIF(C$2:C$201,C45,O$2:O$201),"N/A")</f>
        <v/>
      </c>
      <c r="Q45" s="10" t="inlineStr">
        <is>
          <t>Indicador requer melhoria de definição, atualização ou aderência.</t>
        </is>
      </c>
      <c r="R45" t="inlineStr">
        <is>
          <t>Documentar meta, fórmula e periodicidade</t>
        </is>
      </c>
      <c r="S45" t="inlineStr">
        <is>
          <t>Ana Lima</t>
        </is>
      </c>
      <c r="T45" s="47" t="n">
        <v>46279</v>
      </c>
      <c r="U45" t="inlineStr">
        <is>
          <t>Não iniciado</t>
        </is>
      </c>
    </row>
    <row r="46" hidden="1" ht="15" customHeight="1" s="41">
      <c r="A46" s="8">
        <f>IF(B46="","",ROW()-1)</f>
        <v/>
      </c>
      <c r="B46" s="50" t="n">
        <v>46212</v>
      </c>
      <c r="C46" s="10" t="inlineStr">
        <is>
          <t>Qualidade</t>
        </is>
      </c>
      <c r="D46" s="10" t="inlineStr">
        <is>
          <t>Auditoria de Processos</t>
        </is>
      </c>
      <c r="E46" s="10" t="inlineStr">
        <is>
          <t>Índice de Satisfação</t>
        </is>
      </c>
      <c r="F46" s="10" t="n">
        <v>4</v>
      </c>
      <c r="G46" s="10" t="inlineStr">
        <is>
          <t>SIM</t>
        </is>
      </c>
      <c r="H46" s="10" t="inlineStr">
        <is>
          <t>Automático</t>
        </is>
      </c>
      <c r="I46" s="10" t="inlineStr">
        <is>
          <t>SIM</t>
        </is>
      </c>
      <c r="J46" s="10" t="inlineStr">
        <is>
          <t>Conformidade</t>
        </is>
      </c>
      <c r="K46" s="8">
        <f>IF(G46="","",IF(G46="SIM",1,0))</f>
        <v/>
      </c>
      <c r="L46" s="8">
        <f>IF(H46="","",IF(H46="Automático",1,IF(H46="Manual",0.5,IF(H46="Não atualizado",0,""))))</f>
        <v/>
      </c>
      <c r="M46" s="8">
        <f>IF(I46="","",IF(I46="SIM",1,0))</f>
        <v/>
      </c>
      <c r="N46" s="8">
        <f>IF(J46="","",IF(J46="Conformidade",1,IF(J46="Não Conformidade",0,IF(J46="Não Conformidade Grave",-1,""))))</f>
        <v/>
      </c>
      <c r="O46" s="51">
        <f>IF(COUNTA(G46:J46)=0,"",ROUND(AVERAGE(K46:N46)*100,0))</f>
        <v/>
      </c>
      <c r="P46" s="51">
        <f>IFERROR(AVERAGEIF(C$2:C$201,C46,O$2:O$201),"N/A")</f>
        <v/>
      </c>
      <c r="Q46" s="10" t="inlineStr">
        <is>
          <t>Indicador formalizado e acompanhado regularmente.</t>
        </is>
      </c>
      <c r="R46" t="inlineStr">
        <is>
          <t>Manter acompanhamento mensal.</t>
        </is>
      </c>
      <c r="S46" t="inlineStr">
        <is>
          <t>Bruno Costa</t>
        </is>
      </c>
      <c r="T46" s="47" t="n">
        <v>46310</v>
      </c>
      <c r="U46" t="inlineStr">
        <is>
          <t>Concluído</t>
        </is>
      </c>
    </row>
    <row r="47" hidden="1" ht="15" customHeight="1" s="41">
      <c r="A47" s="8">
        <f>IF(B47="","",ROW()-1)</f>
        <v/>
      </c>
      <c r="B47" s="50" t="n">
        <v>46244</v>
      </c>
      <c r="C47" s="10" t="inlineStr">
        <is>
          <t>Recursos Humanos</t>
        </is>
      </c>
      <c r="D47" s="10" t="inlineStr">
        <is>
          <t>Atendimento ao Cliente</t>
        </is>
      </c>
      <c r="E47" s="10" t="inlineStr">
        <is>
          <t>Aderência ao Procedimento</t>
        </is>
      </c>
      <c r="F47" s="10" t="n">
        <v>5</v>
      </c>
      <c r="G47" s="10" t="inlineStr">
        <is>
          <t>SIM</t>
        </is>
      </c>
      <c r="H47" s="10" t="inlineStr">
        <is>
          <t>Automático</t>
        </is>
      </c>
      <c r="I47" s="10" t="inlineStr">
        <is>
          <t>NÃO</t>
        </is>
      </c>
      <c r="J47" s="10" t="inlineStr">
        <is>
          <t>Não Conformidade</t>
        </is>
      </c>
      <c r="K47" s="8">
        <f>IF(G47="","",IF(G47="SIM",1,0))</f>
        <v/>
      </c>
      <c r="L47" s="8">
        <f>IF(H47="","",IF(H47="Automático",1,IF(H47="Manual",0.5,IF(H47="Não atualizado",0,""))))</f>
        <v/>
      </c>
      <c r="M47" s="8">
        <f>IF(I47="","",IF(I47="SIM",1,0))</f>
        <v/>
      </c>
      <c r="N47" s="8">
        <f>IF(J47="","",IF(J47="Conformidade",1,IF(J47="Não Conformidade",0,IF(J47="Não Conformidade Grave",-1,""))))</f>
        <v/>
      </c>
      <c r="O47" s="51">
        <f>IF(COUNTA(G47:J47)=0,"",ROUND(AVERAGE(K47:N47)*100,0))</f>
        <v/>
      </c>
      <c r="P47" s="51">
        <f>IFERROR(AVERAGEIF(C$2:C$201,C47,O$2:O$201),"N/A")</f>
        <v/>
      </c>
      <c r="Q47" s="10" t="inlineStr">
        <is>
          <t>Indicador requer melhoria de definição, atualização ou aderência.</t>
        </is>
      </c>
      <c r="R47" t="inlineStr">
        <is>
          <t>Formalizar indicador e definir responsável</t>
        </is>
      </c>
      <c r="S47" t="inlineStr">
        <is>
          <t>Carla Souza</t>
        </is>
      </c>
      <c r="T47" s="47" t="n">
        <v>46342</v>
      </c>
      <c r="U47" t="inlineStr">
        <is>
          <t>Aguardando validação</t>
        </is>
      </c>
    </row>
    <row r="48" hidden="1" ht="15" customHeight="1" s="41">
      <c r="A48" s="8">
        <f>IF(B48="","",ROW()-1)</f>
        <v/>
      </c>
      <c r="B48" s="50" t="n">
        <v>46184</v>
      </c>
      <c r="C48" s="10" t="inlineStr">
        <is>
          <t>Financeiro</t>
        </is>
      </c>
      <c r="D48" s="10" t="inlineStr">
        <is>
          <t>Contas a Pagar</t>
        </is>
      </c>
      <c r="E48" s="10" t="inlineStr">
        <is>
          <t>Taxa de Absenteísmo</t>
        </is>
      </c>
      <c r="F48" s="10" t="n">
        <v>6</v>
      </c>
      <c r="G48" s="10" t="inlineStr">
        <is>
          <t>NÃO</t>
        </is>
      </c>
      <c r="H48" s="10" t="inlineStr">
        <is>
          <t>Não atualizado</t>
        </is>
      </c>
      <c r="I48" s="10" t="inlineStr">
        <is>
          <t>SIM</t>
        </is>
      </c>
      <c r="J48" s="10" t="inlineStr">
        <is>
          <t>Conformidade</t>
        </is>
      </c>
      <c r="K48" s="8">
        <f>IF(G48="","",IF(G48="SIM",1,0))</f>
        <v/>
      </c>
      <c r="L48" s="8">
        <f>IF(H48="","",IF(H48="Automático",1,IF(H48="Manual",0.5,IF(H48="Não atualizado",0,""))))</f>
        <v/>
      </c>
      <c r="M48" s="8">
        <f>IF(I48="","",IF(I48="SIM",1,0))</f>
        <v/>
      </c>
      <c r="N48" s="8">
        <f>IF(J48="","",IF(J48="Conformidade",1,IF(J48="Não Conformidade",0,IF(J48="Não Conformidade Grave",-1,""))))</f>
        <v/>
      </c>
      <c r="O48" s="51">
        <f>IF(COUNTA(G48:J48)=0,"",ROUND(AVERAGE(K48:N48)*100,0))</f>
        <v/>
      </c>
      <c r="P48" s="51">
        <f>IFERROR(AVERAGEIF(C$2:C$201,C48,O$2:O$201),"N/A")</f>
        <v/>
      </c>
      <c r="Q48" s="10" t="inlineStr">
        <is>
          <t>Indicador requer melhoria de definição, atualização ou aderência.</t>
        </is>
      </c>
      <c r="R48" t="inlineStr">
        <is>
          <t>Automatizar rotina de atualização</t>
        </is>
      </c>
      <c r="S48" t="inlineStr">
        <is>
          <t>Diego Alves</t>
        </is>
      </c>
      <c r="T48" s="47" t="n">
        <v>46282</v>
      </c>
      <c r="U48" t="inlineStr">
        <is>
          <t>Não iniciado</t>
        </is>
      </c>
    </row>
    <row r="49" hidden="1" ht="15" customHeight="1" s="41">
      <c r="A49" s="8">
        <f>IF(B49="","",ROW()-1)</f>
        <v/>
      </c>
      <c r="B49" s="50" t="n">
        <v>46215</v>
      </c>
      <c r="C49" s="10" t="inlineStr">
        <is>
          <t>Atendimento</t>
        </is>
      </c>
      <c r="D49" s="10" t="inlineStr">
        <is>
          <t>Treinamento Interno</t>
        </is>
      </c>
      <c r="E49" s="10" t="inlineStr">
        <is>
          <t>Índice de Retrabalho</t>
        </is>
      </c>
      <c r="F49" s="10" t="n">
        <v>7</v>
      </c>
      <c r="G49" s="10" t="inlineStr">
        <is>
          <t>SIM</t>
        </is>
      </c>
      <c r="H49" s="10" t="inlineStr">
        <is>
          <t>Automático</t>
        </is>
      </c>
      <c r="I49" s="10" t="inlineStr">
        <is>
          <t>SIM</t>
        </is>
      </c>
      <c r="J49" s="10" t="inlineStr">
        <is>
          <t>Conformidade</t>
        </is>
      </c>
      <c r="K49" s="8">
        <f>IF(G49="","",IF(G49="SIM",1,0))</f>
        <v/>
      </c>
      <c r="L49" s="8">
        <f>IF(H49="","",IF(H49="Automático",1,IF(H49="Manual",0.5,IF(H49="Não atualizado",0,""))))</f>
        <v/>
      </c>
      <c r="M49" s="8">
        <f>IF(I49="","",IF(I49="SIM",1,0))</f>
        <v/>
      </c>
      <c r="N49" s="8">
        <f>IF(J49="","",IF(J49="Conformidade",1,IF(J49="Não Conformidade",0,IF(J49="Não Conformidade Grave",-1,""))))</f>
        <v/>
      </c>
      <c r="O49" s="51">
        <f>IF(COUNTA(G49:J49)=0,"",ROUND(AVERAGE(K49:N49)*100,0))</f>
        <v/>
      </c>
      <c r="P49" s="51">
        <f>IFERROR(AVERAGEIF(C$2:C$201,C49,O$2:O$201),"N/A")</f>
        <v/>
      </c>
      <c r="Q49" s="10" t="inlineStr">
        <is>
          <t>Indicador formalizado e acompanhado regularmente.</t>
        </is>
      </c>
      <c r="R49" t="inlineStr">
        <is>
          <t>Manter acompanhamento mensal.</t>
        </is>
      </c>
      <c r="S49" t="inlineStr">
        <is>
          <t>Fernanda Rocha</t>
        </is>
      </c>
      <c r="T49" s="47" t="n">
        <v>46313</v>
      </c>
      <c r="U49" t="inlineStr">
        <is>
          <t>Concluído</t>
        </is>
      </c>
    </row>
    <row r="50" hidden="1" ht="15" customHeight="1" s="41">
      <c r="A50" s="8">
        <f>IF(B50="","",ROW()-1)</f>
        <v/>
      </c>
      <c r="B50" s="50" t="n">
        <v>46247</v>
      </c>
      <c r="C50" s="10" t="inlineStr">
        <is>
          <t>Tecnologia</t>
        </is>
      </c>
      <c r="D50" s="10" t="inlineStr">
        <is>
          <t>Faturamento</t>
        </is>
      </c>
      <c r="E50" s="10" t="inlineStr">
        <is>
          <t>Taxa de Conversão</t>
        </is>
      </c>
      <c r="F50" s="10" t="n">
        <v>8</v>
      </c>
      <c r="G50" s="10" t="inlineStr">
        <is>
          <t>SIM</t>
        </is>
      </c>
      <c r="H50" s="10" t="inlineStr">
        <is>
          <t>Automático</t>
        </is>
      </c>
      <c r="I50" s="10" t="inlineStr">
        <is>
          <t>SIM</t>
        </is>
      </c>
      <c r="J50" s="10" t="inlineStr">
        <is>
          <t>Conformidade</t>
        </is>
      </c>
      <c r="K50" s="8">
        <f>IF(G50="","",IF(G50="SIM",1,0))</f>
        <v/>
      </c>
      <c r="L50" s="8">
        <f>IF(H50="","",IF(H50="Automático",1,IF(H50="Manual",0.5,IF(H50="Não atualizado",0,""))))</f>
        <v/>
      </c>
      <c r="M50" s="8">
        <f>IF(I50="","",IF(I50="SIM",1,0))</f>
        <v/>
      </c>
      <c r="N50" s="8">
        <f>IF(J50="","",IF(J50="Conformidade",1,IF(J50="Não Conformidade",0,IF(J50="Não Conformidade Grave",-1,""))))</f>
        <v/>
      </c>
      <c r="O50" s="51">
        <f>IF(COUNTA(G50:J50)=0,"",ROUND(AVERAGE(K50:N50)*100,0))</f>
        <v/>
      </c>
      <c r="P50" s="51">
        <f>IFERROR(AVERAGEIF(C$2:C$201,C50,O$2:O$201),"N/A")</f>
        <v/>
      </c>
      <c r="Q50" s="10" t="inlineStr">
        <is>
          <t>Indicador formalizado e acompanhado regularmente.</t>
        </is>
      </c>
      <c r="R50" t="inlineStr">
        <is>
          <t>Manter acompanhamento mensal.</t>
        </is>
      </c>
      <c r="S50" t="inlineStr">
        <is>
          <t>Gabriel Martins</t>
        </is>
      </c>
      <c r="T50" s="47" t="n">
        <v>46345</v>
      </c>
      <c r="U50" t="inlineStr">
        <is>
          <t>Concluído</t>
        </is>
      </c>
    </row>
    <row r="51" ht="15" customHeight="1" s="41">
      <c r="A51" s="8">
        <f>IF(B51="","",ROW()-1)</f>
        <v/>
      </c>
      <c r="B51" s="50" t="n">
        <v>46187</v>
      </c>
      <c r="C51" s="10" t="inlineStr">
        <is>
          <t>PROCESSOS</t>
        </is>
      </c>
      <c r="D51" s="10" t="inlineStr">
        <is>
          <t>Compras</t>
        </is>
      </c>
      <c r="E51" s="10" t="inlineStr">
        <is>
          <t>Índice de Satisfação</t>
        </is>
      </c>
      <c r="F51" s="10" t="n">
        <v>1</v>
      </c>
      <c r="G51" s="10" t="inlineStr">
        <is>
          <t>SIM</t>
        </is>
      </c>
      <c r="H51" s="10" t="inlineStr">
        <is>
          <t>Manual</t>
        </is>
      </c>
      <c r="I51" s="10" t="inlineStr">
        <is>
          <t>NÃO</t>
        </is>
      </c>
      <c r="J51" s="10" t="inlineStr">
        <is>
          <t>Não Conformidade</t>
        </is>
      </c>
      <c r="K51" s="8">
        <f>IF(G51="","",IF(G51="SIM",1,0))</f>
        <v/>
      </c>
      <c r="L51" s="8">
        <f>IF(H51="","",IF(H51="Automático",1,IF(H51="Manual",0.5,IF(H51="Não atualizado",0,""))))</f>
        <v/>
      </c>
      <c r="M51" s="8">
        <f>IF(I51="","",IF(I51="SIM",1,0))</f>
        <v/>
      </c>
      <c r="N51" s="8">
        <f>IF(J51="","",IF(J51="Conformidade",1,IF(J51="Não Conformidade",0,IF(J51="Não Conformidade Grave",-1,""))))</f>
        <v/>
      </c>
      <c r="O51" s="51">
        <f>IF(COUNTA(G51:J51)=0,"",ROUND(AVERAGE(K51:N51)*100,0))</f>
        <v/>
      </c>
      <c r="P51" s="51">
        <f>IFERROR(AVERAGEIF(C$2:C$201,C51,O$2:O$201),"N/A")</f>
        <v/>
      </c>
      <c r="Q51" s="10" t="inlineStr">
        <is>
          <t>Indicador requer melhoria de definição, atualização ou aderência.</t>
        </is>
      </c>
      <c r="R51" t="inlineStr">
        <is>
          <t>Formalizar indicador e definir responsável</t>
        </is>
      </c>
      <c r="S51" t="inlineStr">
        <is>
          <t>Ana Lima</t>
        </is>
      </c>
      <c r="T51" s="47" t="n">
        <v>46285</v>
      </c>
      <c r="U51" t="inlineStr">
        <is>
          <t>Não iniciado</t>
        </is>
      </c>
    </row>
    <row r="52" hidden="1" ht="15" customHeight="1" s="41">
      <c r="A52" s="8">
        <f>IF(B52="","",ROW()-1)</f>
        <v/>
      </c>
      <c r="B52" s="50" t="n">
        <v>46218</v>
      </c>
      <c r="C52" s="10" t="inlineStr">
        <is>
          <t>Qualidade</t>
        </is>
      </c>
      <c r="D52" s="10" t="inlineStr">
        <is>
          <t>Gestão de Incidentes</t>
        </is>
      </c>
      <c r="E52" s="10" t="inlineStr">
        <is>
          <t>Aderência ao Procedimento</t>
        </is>
      </c>
      <c r="F52" s="10" t="n">
        <v>2</v>
      </c>
      <c r="G52" s="10" t="inlineStr">
        <is>
          <t>SIM</t>
        </is>
      </c>
      <c r="H52" s="10" t="inlineStr">
        <is>
          <t>Automático</t>
        </is>
      </c>
      <c r="I52" s="10" t="inlineStr">
        <is>
          <t>SIM</t>
        </is>
      </c>
      <c r="J52" s="10" t="inlineStr">
        <is>
          <t>Conformidade</t>
        </is>
      </c>
      <c r="K52" s="8">
        <f>IF(G52="","",IF(G52="SIM",1,0))</f>
        <v/>
      </c>
      <c r="L52" s="8">
        <f>IF(H52="","",IF(H52="Automático",1,IF(H52="Manual",0.5,IF(H52="Não atualizado",0,""))))</f>
        <v/>
      </c>
      <c r="M52" s="8">
        <f>IF(I52="","",IF(I52="SIM",1,0))</f>
        <v/>
      </c>
      <c r="N52" s="8">
        <f>IF(J52="","",IF(J52="Conformidade",1,IF(J52="Não Conformidade",0,IF(J52="Não Conformidade Grave",-1,""))))</f>
        <v/>
      </c>
      <c r="O52" s="51">
        <f>IF(COUNTA(G52:J52)=0,"",ROUND(AVERAGE(K52:N52)*100,0))</f>
        <v/>
      </c>
      <c r="P52" s="51">
        <f>IFERROR(AVERAGEIF(C$2:C$201,C52,O$2:O$201),"N/A")</f>
        <v/>
      </c>
      <c r="Q52" s="10" t="inlineStr">
        <is>
          <t>Indicador formalizado e acompanhado regularmente.</t>
        </is>
      </c>
      <c r="R52" t="inlineStr">
        <is>
          <t>Manter acompanhamento mensal.</t>
        </is>
      </c>
      <c r="S52" t="inlineStr">
        <is>
          <t>Bruno Costa</t>
        </is>
      </c>
      <c r="T52" s="47" t="n">
        <v>46316</v>
      </c>
      <c r="U52" t="inlineStr">
        <is>
          <t>Concluído</t>
        </is>
      </c>
    </row>
    <row r="53" hidden="1" ht="15" customHeight="1" s="41">
      <c r="A53" s="8">
        <f>IF(B53="","",ROW()-1)</f>
        <v/>
      </c>
      <c r="B53" s="11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>
        <f>IF(G53="","",IF(G53="SIM",1,0))</f>
        <v/>
      </c>
      <c r="L53" s="8">
        <f>IF(H53="","",IF(H53="Automático",1,IF(H53="Manual",0.5,IF(H53="Não atualizado",0,""))))</f>
        <v/>
      </c>
      <c r="M53" s="8">
        <f>IF(I53="","",IF(I53="SIM",1,0))</f>
        <v/>
      </c>
      <c r="N53" s="8">
        <f>IF(J53="","",IF(J53="Conformidade",1,IF(J53="Não Conformidade",0,IF(J53="Não Conformidade Grave",-1,""))))</f>
        <v/>
      </c>
      <c r="O53" s="8">
        <f>IF(COUNTA(G53:J53)=0,"",ROUND(AVERAGE(K53:N53)*100,0))</f>
        <v/>
      </c>
      <c r="P53" s="8">
        <f>IFERROR(AVERAGEIF(C$2:C$201,C53,O$2:O$201),"N/A")</f>
        <v/>
      </c>
      <c r="Q53" s="8" t="n"/>
    </row>
    <row r="54" hidden="1" ht="15" customHeight="1" s="41">
      <c r="A54" s="8">
        <f>IF(B54="","",ROW()-1)</f>
        <v/>
      </c>
      <c r="B54" s="11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>
        <f>IF(G54="","",IF(G54="SIM",1,0))</f>
        <v/>
      </c>
      <c r="L54" s="8">
        <f>IF(H54="","",IF(H54="Automático",1,IF(H54="Manual",0.5,IF(H54="Não atualizado",0,""))))</f>
        <v/>
      </c>
      <c r="M54" s="8">
        <f>IF(I54="","",IF(I54="SIM",1,0))</f>
        <v/>
      </c>
      <c r="N54" s="8">
        <f>IF(J54="","",IF(J54="Conformidade",1,IF(J54="Não Conformidade",0,IF(J54="Não Conformidade Grave",-1,""))))</f>
        <v/>
      </c>
      <c r="O54" s="8">
        <f>IF(COUNTA(G54:J54)=0,"",ROUND(AVERAGE(K54:N54)*100,0))</f>
        <v/>
      </c>
      <c r="P54" s="8">
        <f>IFERROR(AVERAGEIF(C$2:C$201,C54,O$2:O$201),"N/A")</f>
        <v/>
      </c>
      <c r="Q54" s="8" t="n"/>
    </row>
    <row r="55" hidden="1" ht="15" customHeight="1" s="41">
      <c r="A55" s="8">
        <f>IF(B55="","",ROW()-1)</f>
        <v/>
      </c>
      <c r="B55" s="11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>
        <f>IF(G55="","",IF(G55="SIM",1,0))</f>
        <v/>
      </c>
      <c r="L55" s="8">
        <f>IF(H55="","",IF(H55="Automático",1,IF(H55="Manual",0.5,IF(H55="Não atualizado",0,""))))</f>
        <v/>
      </c>
      <c r="M55" s="8">
        <f>IF(I55="","",IF(I55="SIM",1,0))</f>
        <v/>
      </c>
      <c r="N55" s="8">
        <f>IF(J55="","",IF(J55="Conformidade",1,IF(J55="Não Conformidade",0,IF(J55="Não Conformidade Grave",-1,""))))</f>
        <v/>
      </c>
      <c r="O55" s="8">
        <f>IF(COUNTA(G55:J55)=0,"",ROUND(AVERAGE(K55:N55)*100,0))</f>
        <v/>
      </c>
      <c r="P55" s="8">
        <f>IFERROR(AVERAGEIF(C$2:C$201,C55,O$2:O$201),"N/A")</f>
        <v/>
      </c>
      <c r="Q55" s="8" t="n"/>
    </row>
    <row r="56" hidden="1" ht="15" customHeight="1" s="41">
      <c r="A56" s="8">
        <f>IF(B56="","",ROW()-1)</f>
        <v/>
      </c>
      <c r="B56" s="11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>
        <f>IF(G56="","",IF(G56="SIM",1,0))</f>
        <v/>
      </c>
      <c r="L56" s="8">
        <f>IF(H56="","",IF(H56="Automático",1,IF(H56="Manual",0.5,IF(H56="Não atualizado",0,""))))</f>
        <v/>
      </c>
      <c r="M56" s="8">
        <f>IF(I56="","",IF(I56="SIM",1,0))</f>
        <v/>
      </c>
      <c r="N56" s="8">
        <f>IF(J56="","",IF(J56="Conformidade",1,IF(J56="Não Conformidade",0,IF(J56="Não Conformidade Grave",-1,""))))</f>
        <v/>
      </c>
      <c r="O56" s="8">
        <f>IF(COUNTA(G56:J56)=0,"",ROUND(AVERAGE(K56:N56)*100,0))</f>
        <v/>
      </c>
      <c r="P56" s="8">
        <f>IFERROR(AVERAGEIF(C$2:C$201,C56,O$2:O$201),"N/A")</f>
        <v/>
      </c>
      <c r="Q56" s="8" t="n"/>
    </row>
    <row r="57" hidden="1" ht="15" customHeight="1" s="41">
      <c r="A57" s="8">
        <f>IF(B57="","",ROW()-1)</f>
        <v/>
      </c>
      <c r="B57" s="11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>
        <f>IF(G57="","",IF(G57="SIM",1,0))</f>
        <v/>
      </c>
      <c r="L57" s="8">
        <f>IF(H57="","",IF(H57="Automático",1,IF(H57="Manual",0.5,IF(H57="Não atualizado",0,""))))</f>
        <v/>
      </c>
      <c r="M57" s="8">
        <f>IF(I57="","",IF(I57="SIM",1,0))</f>
        <v/>
      </c>
      <c r="N57" s="8">
        <f>IF(J57="","",IF(J57="Conformidade",1,IF(J57="Não Conformidade",0,IF(J57="Não Conformidade Grave",-1,""))))</f>
        <v/>
      </c>
      <c r="O57" s="8">
        <f>IF(COUNTA(G57:J57)=0,"",ROUND(AVERAGE(K57:N57)*100,0))</f>
        <v/>
      </c>
      <c r="P57" s="8">
        <f>IFERROR(AVERAGEIF(C$2:C$201,C57,O$2:O$201),"N/A")</f>
        <v/>
      </c>
      <c r="Q57" s="8" t="n"/>
    </row>
    <row r="58" hidden="1" ht="15" customHeight="1" s="41">
      <c r="A58" s="8">
        <f>IF(B58="","",ROW()-1)</f>
        <v/>
      </c>
      <c r="B58" s="11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>
        <f>IF(G58="","",IF(G58="SIM",1,0))</f>
        <v/>
      </c>
      <c r="L58" s="8">
        <f>IF(H58="","",IF(H58="Automático",1,IF(H58="Manual",0.5,IF(H58="Não atualizado",0,""))))</f>
        <v/>
      </c>
      <c r="M58" s="8">
        <f>IF(I58="","",IF(I58="SIM",1,0))</f>
        <v/>
      </c>
      <c r="N58" s="8">
        <f>IF(J58="","",IF(J58="Conformidade",1,IF(J58="Não Conformidade",0,IF(J58="Não Conformidade Grave",-1,""))))</f>
        <v/>
      </c>
      <c r="O58" s="8">
        <f>IF(COUNTA(G58:J58)=0,"",ROUND(AVERAGE(K58:N58)*100,0))</f>
        <v/>
      </c>
      <c r="P58" s="8">
        <f>IFERROR(AVERAGEIF(C$2:C$201,C58,O$2:O$201),"N/A")</f>
        <v/>
      </c>
      <c r="Q58" s="8" t="n"/>
    </row>
    <row r="59" hidden="1" ht="15" customHeight="1" s="41">
      <c r="A59" s="8">
        <f>IF(B59="","",ROW()-1)</f>
        <v/>
      </c>
      <c r="B59" s="11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>
        <f>IF(G59="","",IF(G59="SIM",1,0))</f>
        <v/>
      </c>
      <c r="L59" s="8">
        <f>IF(H59="","",IF(H59="Automático",1,IF(H59="Manual",0.5,IF(H59="Não atualizado",0,""))))</f>
        <v/>
      </c>
      <c r="M59" s="8">
        <f>IF(I59="","",IF(I59="SIM",1,0))</f>
        <v/>
      </c>
      <c r="N59" s="8">
        <f>IF(J59="","",IF(J59="Conformidade",1,IF(J59="Não Conformidade",0,IF(J59="Não Conformidade Grave",-1,""))))</f>
        <v/>
      </c>
      <c r="O59" s="8">
        <f>IF(COUNTA(G59:J59)=0,"",ROUND(AVERAGE(K59:N59)*100,0))</f>
        <v/>
      </c>
      <c r="P59" s="8">
        <f>IFERROR(AVERAGEIF(C$2:C$201,C59,O$2:O$201),"N/A")</f>
        <v/>
      </c>
      <c r="Q59" s="8" t="n"/>
    </row>
    <row r="60" hidden="1" ht="15" customHeight="1" s="41">
      <c r="A60" s="8">
        <f>IF(B60="","",ROW()-1)</f>
        <v/>
      </c>
      <c r="B60" s="11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>
        <f>IF(G60="","",IF(G60="SIM",1,0))</f>
        <v/>
      </c>
      <c r="L60" s="8">
        <f>IF(H60="","",IF(H60="Automático",1,IF(H60="Manual",0.5,IF(H60="Não atualizado",0,""))))</f>
        <v/>
      </c>
      <c r="M60" s="8">
        <f>IF(I60="","",IF(I60="SIM",1,0))</f>
        <v/>
      </c>
      <c r="N60" s="8">
        <f>IF(J60="","",IF(J60="Conformidade",1,IF(J60="Não Conformidade",0,IF(J60="Não Conformidade Grave",-1,""))))</f>
        <v/>
      </c>
      <c r="O60" s="8">
        <f>IF(COUNTA(G60:J60)=0,"",ROUND(AVERAGE(K60:N60)*100,0))</f>
        <v/>
      </c>
      <c r="P60" s="8">
        <f>IFERROR(AVERAGEIF(C$2:C$201,C60,O$2:O$201),"N/A")</f>
        <v/>
      </c>
      <c r="Q60" s="8" t="n"/>
    </row>
    <row r="61" hidden="1" ht="15" customHeight="1" s="41">
      <c r="A61" s="8">
        <f>IF(B61="","",ROW()-1)</f>
        <v/>
      </c>
      <c r="B61" s="11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>
        <f>IF(G61="","",IF(G61="SIM",1,0))</f>
        <v/>
      </c>
      <c r="L61" s="8">
        <f>IF(H61="","",IF(H61="Automático",1,IF(H61="Manual",0.5,IF(H61="Não atualizado",0,""))))</f>
        <v/>
      </c>
      <c r="M61" s="8">
        <f>IF(I61="","",IF(I61="SIM",1,0))</f>
        <v/>
      </c>
      <c r="N61" s="8">
        <f>IF(J61="","",IF(J61="Conformidade",1,IF(J61="Não Conformidade",0,IF(J61="Não Conformidade Grave",-1,""))))</f>
        <v/>
      </c>
      <c r="O61" s="8">
        <f>IF(COUNTA(G61:J61)=0,"",ROUND(AVERAGE(K61:N61)*100,0))</f>
        <v/>
      </c>
      <c r="P61" s="8">
        <f>IFERROR(AVERAGEIF(C$2:C$201,C61,O$2:O$201),"N/A")</f>
        <v/>
      </c>
      <c r="Q61" s="8" t="n"/>
    </row>
    <row r="62" hidden="1" ht="15" customHeight="1" s="41">
      <c r="A62" s="8">
        <f>IF(B62="","",ROW()-1)</f>
        <v/>
      </c>
      <c r="B62" s="11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>
        <f>IF(G62="","",IF(G62="SIM",1,0))</f>
        <v/>
      </c>
      <c r="L62" s="8">
        <f>IF(H62="","",IF(H62="Automático",1,IF(H62="Manual",0.5,IF(H62="Não atualizado",0,""))))</f>
        <v/>
      </c>
      <c r="M62" s="8">
        <f>IF(I62="","",IF(I62="SIM",1,0))</f>
        <v/>
      </c>
      <c r="N62" s="8">
        <f>IF(J62="","",IF(J62="Conformidade",1,IF(J62="Não Conformidade",0,IF(J62="Não Conformidade Grave",-1,""))))</f>
        <v/>
      </c>
      <c r="O62" s="8">
        <f>IF(COUNTA(G62:J62)=0,"",ROUND(AVERAGE(K62:N62)*100,0))</f>
        <v/>
      </c>
      <c r="P62" s="8">
        <f>IFERROR(AVERAGEIF(C$2:C$201,C62,O$2:O$201),"N/A")</f>
        <v/>
      </c>
      <c r="Q62" s="8" t="n"/>
    </row>
    <row r="63" hidden="1" ht="15" customHeight="1" s="41">
      <c r="A63" s="8">
        <f>IF(B63="","",ROW()-1)</f>
        <v/>
      </c>
      <c r="B63" s="11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>
        <f>IF(G63="","",IF(G63="SIM",1,0))</f>
        <v/>
      </c>
      <c r="L63" s="8">
        <f>IF(H63="","",IF(H63="Automático",1,IF(H63="Manual",0.5,IF(H63="Não atualizado",0,""))))</f>
        <v/>
      </c>
      <c r="M63" s="8">
        <f>IF(I63="","",IF(I63="SIM",1,0))</f>
        <v/>
      </c>
      <c r="N63" s="8">
        <f>IF(J63="","",IF(J63="Conformidade",1,IF(J63="Não Conformidade",0,IF(J63="Não Conformidade Grave",-1,""))))</f>
        <v/>
      </c>
      <c r="O63" s="8">
        <f>IF(COUNTA(G63:J63)=0,"",ROUND(AVERAGE(K63:N63)*100,0))</f>
        <v/>
      </c>
      <c r="P63" s="8">
        <f>IFERROR(AVERAGEIF(C$2:C$201,C63,O$2:O$201),"N/A")</f>
        <v/>
      </c>
      <c r="Q63" s="8" t="n"/>
    </row>
    <row r="64" hidden="1" ht="15" customHeight="1" s="41">
      <c r="A64" s="8">
        <f>IF(B64="","",ROW()-1)</f>
        <v/>
      </c>
      <c r="B64" s="11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>
        <f>IF(G64="","",IF(G64="SIM",1,0))</f>
        <v/>
      </c>
      <c r="L64" s="8">
        <f>IF(H64="","",IF(H64="Automático",1,IF(H64="Manual",0.5,IF(H64="Não atualizado",0,""))))</f>
        <v/>
      </c>
      <c r="M64" s="8">
        <f>IF(I64="","",IF(I64="SIM",1,0))</f>
        <v/>
      </c>
      <c r="N64" s="8">
        <f>IF(J64="","",IF(J64="Conformidade",1,IF(J64="Não Conformidade",0,IF(J64="Não Conformidade Grave",-1,""))))</f>
        <v/>
      </c>
      <c r="O64" s="8">
        <f>IF(COUNTA(G64:J64)=0,"",ROUND(AVERAGE(K64:N64)*100,0))</f>
        <v/>
      </c>
      <c r="P64" s="8">
        <f>IFERROR(AVERAGEIF(C$2:C$201,C64,O$2:O$201),"N/A")</f>
        <v/>
      </c>
      <c r="Q64" s="8" t="n"/>
    </row>
    <row r="65" hidden="1" ht="15" customHeight="1" s="41">
      <c r="A65" s="8">
        <f>IF(B65="","",ROW()-1)</f>
        <v/>
      </c>
      <c r="B65" s="11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>
        <f>IF(G65="","",IF(G65="SIM",1,0))</f>
        <v/>
      </c>
      <c r="L65" s="8">
        <f>IF(H65="","",IF(H65="Automático",1,IF(H65="Manual",0.5,IF(H65="Não atualizado",0,""))))</f>
        <v/>
      </c>
      <c r="M65" s="8">
        <f>IF(I65="","",IF(I65="SIM",1,0))</f>
        <v/>
      </c>
      <c r="N65" s="8">
        <f>IF(J65="","",IF(J65="Conformidade",1,IF(J65="Não Conformidade",0,IF(J65="Não Conformidade Grave",-1,""))))</f>
        <v/>
      </c>
      <c r="O65" s="8">
        <f>IF(COUNTA(G65:J65)=0,"",ROUND(AVERAGE(K65:N65)*100,0))</f>
        <v/>
      </c>
      <c r="P65" s="8">
        <f>IFERROR(AVERAGEIF(C$2:C$201,C65,O$2:O$201),"N/A")</f>
        <v/>
      </c>
      <c r="Q65" s="8" t="n"/>
    </row>
    <row r="66" hidden="1" ht="15" customHeight="1" s="41">
      <c r="A66" s="8">
        <f>IF(B66="","",ROW()-1)</f>
        <v/>
      </c>
      <c r="B66" s="11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>
        <f>IF(G66="","",IF(G66="SIM",1,0))</f>
        <v/>
      </c>
      <c r="L66" s="8">
        <f>IF(H66="","",IF(H66="Automático",1,IF(H66="Manual",0.5,IF(H66="Não atualizado",0,""))))</f>
        <v/>
      </c>
      <c r="M66" s="8">
        <f>IF(I66="","",IF(I66="SIM",1,0))</f>
        <v/>
      </c>
      <c r="N66" s="8">
        <f>IF(J66="","",IF(J66="Conformidade",1,IF(J66="Não Conformidade",0,IF(J66="Não Conformidade Grave",-1,""))))</f>
        <v/>
      </c>
      <c r="O66" s="8">
        <f>IF(COUNTA(G66:J66)=0,"",ROUND(AVERAGE(K66:N66)*100,0))</f>
        <v/>
      </c>
      <c r="P66" s="8">
        <f>IFERROR(AVERAGEIF(C$2:C$201,C66,O$2:O$201),"N/A")</f>
        <v/>
      </c>
      <c r="Q66" s="8" t="n"/>
    </row>
    <row r="67" hidden="1" ht="15" customHeight="1" s="41">
      <c r="A67" s="8">
        <f>IF(B67="","",ROW()-1)</f>
        <v/>
      </c>
      <c r="B67" s="11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>
        <f>IF(G67="","",IF(G67="SIM",1,0))</f>
        <v/>
      </c>
      <c r="L67" s="8">
        <f>IF(H67="","",IF(H67="Automático",1,IF(H67="Manual",0.5,IF(H67="Não atualizado",0,""))))</f>
        <v/>
      </c>
      <c r="M67" s="8">
        <f>IF(I67="","",IF(I67="SIM",1,0))</f>
        <v/>
      </c>
      <c r="N67" s="8">
        <f>IF(J67="","",IF(J67="Conformidade",1,IF(J67="Não Conformidade",0,IF(J67="Não Conformidade Grave",-1,""))))</f>
        <v/>
      </c>
      <c r="O67" s="8">
        <f>IF(COUNTA(G67:J67)=0,"",ROUND(AVERAGE(K67:N67)*100,0))</f>
        <v/>
      </c>
      <c r="P67" s="8">
        <f>IFERROR(AVERAGEIF(C$2:C$201,C67,O$2:O$201),"N/A")</f>
        <v/>
      </c>
      <c r="Q67" s="8" t="n"/>
    </row>
    <row r="68" hidden="1" ht="15" customHeight="1" s="41">
      <c r="A68" s="8">
        <f>IF(B68="","",ROW()-1)</f>
        <v/>
      </c>
      <c r="B68" s="11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>
        <f>IF(G68="","",IF(G68="SIM",1,0))</f>
        <v/>
      </c>
      <c r="L68" s="8">
        <f>IF(H68="","",IF(H68="Automático",1,IF(H68="Manual",0.5,IF(H68="Não atualizado",0,""))))</f>
        <v/>
      </c>
      <c r="M68" s="8">
        <f>IF(I68="","",IF(I68="SIM",1,0))</f>
        <v/>
      </c>
      <c r="N68" s="8">
        <f>IF(J68="","",IF(J68="Conformidade",1,IF(J68="Não Conformidade",0,IF(J68="Não Conformidade Grave",-1,""))))</f>
        <v/>
      </c>
      <c r="O68" s="8">
        <f>IF(COUNTA(G68:J68)=0,"",ROUND(AVERAGE(K68:N68)*100,0))</f>
        <v/>
      </c>
      <c r="P68" s="8">
        <f>IFERROR(AVERAGEIF(C$2:C$201,C68,O$2:O$201),"N/A")</f>
        <v/>
      </c>
      <c r="Q68" s="8" t="n"/>
    </row>
    <row r="69" hidden="1" ht="15" customHeight="1" s="41">
      <c r="A69" s="8">
        <f>IF(B69="","",ROW()-1)</f>
        <v/>
      </c>
      <c r="B69" s="11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>
        <f>IF(G69="","",IF(G69="SIM",1,0))</f>
        <v/>
      </c>
      <c r="L69" s="8">
        <f>IF(H69="","",IF(H69="Automático",1,IF(H69="Manual",0.5,IF(H69="Não atualizado",0,""))))</f>
        <v/>
      </c>
      <c r="M69" s="8">
        <f>IF(I69="","",IF(I69="SIM",1,0))</f>
        <v/>
      </c>
      <c r="N69" s="8">
        <f>IF(J69="","",IF(J69="Conformidade",1,IF(J69="Não Conformidade",0,IF(J69="Não Conformidade Grave",-1,""))))</f>
        <v/>
      </c>
      <c r="O69" s="8">
        <f>IF(COUNTA(G69:J69)=0,"",ROUND(AVERAGE(K69:N69)*100,0))</f>
        <v/>
      </c>
      <c r="P69" s="8">
        <f>IFERROR(AVERAGEIF(C$2:C$201,C69,O$2:O$201),"N/A")</f>
        <v/>
      </c>
      <c r="Q69" s="8" t="n"/>
    </row>
    <row r="70" hidden="1" ht="15" customHeight="1" s="41">
      <c r="A70" s="8">
        <f>IF(B70="","",ROW()-1)</f>
        <v/>
      </c>
      <c r="B70" s="11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>
        <f>IF(G70="","",IF(G70="SIM",1,0))</f>
        <v/>
      </c>
      <c r="L70" s="8">
        <f>IF(H70="","",IF(H70="Automático",1,IF(H70="Manual",0.5,IF(H70="Não atualizado",0,""))))</f>
        <v/>
      </c>
      <c r="M70" s="8">
        <f>IF(I70="","",IF(I70="SIM",1,0))</f>
        <v/>
      </c>
      <c r="N70" s="8">
        <f>IF(J70="","",IF(J70="Conformidade",1,IF(J70="Não Conformidade",0,IF(J70="Não Conformidade Grave",-1,""))))</f>
        <v/>
      </c>
      <c r="O70" s="8">
        <f>IF(COUNTA(G70:J70)=0,"",ROUND(AVERAGE(K70:N70)*100,0))</f>
        <v/>
      </c>
      <c r="P70" s="8">
        <f>IFERROR(AVERAGEIF(C$2:C$201,C70,O$2:O$201),"N/A")</f>
        <v/>
      </c>
      <c r="Q70" s="8" t="n"/>
    </row>
    <row r="71" hidden="1" ht="15" customHeight="1" s="41">
      <c r="A71" s="8">
        <f>IF(B71="","",ROW()-1)</f>
        <v/>
      </c>
      <c r="B71" s="11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>
        <f>IF(G71="","",IF(G71="SIM",1,0))</f>
        <v/>
      </c>
      <c r="L71" s="8">
        <f>IF(H71="","",IF(H71="Automático",1,IF(H71="Manual",0.5,IF(H71="Não atualizado",0,""))))</f>
        <v/>
      </c>
      <c r="M71" s="8">
        <f>IF(I71="","",IF(I71="SIM",1,0))</f>
        <v/>
      </c>
      <c r="N71" s="8">
        <f>IF(J71="","",IF(J71="Conformidade",1,IF(J71="Não Conformidade",0,IF(J71="Não Conformidade Grave",-1,""))))</f>
        <v/>
      </c>
      <c r="O71" s="8">
        <f>IF(COUNTA(G71:J71)=0,"",ROUND(AVERAGE(K71:N71)*100,0))</f>
        <v/>
      </c>
      <c r="P71" s="8">
        <f>IFERROR(AVERAGEIF(C$2:C$201,C71,O$2:O$201),"N/A")</f>
        <v/>
      </c>
      <c r="Q71" s="8" t="n"/>
    </row>
    <row r="72" hidden="1" ht="15" customHeight="1" s="41">
      <c r="A72" s="8">
        <f>IF(B72="","",ROW()-1)</f>
        <v/>
      </c>
      <c r="B72" s="11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>
        <f>IF(G72="","",IF(G72="SIM",1,0))</f>
        <v/>
      </c>
      <c r="L72" s="8">
        <f>IF(H72="","",IF(H72="Automático",1,IF(H72="Manual",0.5,IF(H72="Não atualizado",0,""))))</f>
        <v/>
      </c>
      <c r="M72" s="8">
        <f>IF(I72="","",IF(I72="SIM",1,0))</f>
        <v/>
      </c>
      <c r="N72" s="8">
        <f>IF(J72="","",IF(J72="Conformidade",1,IF(J72="Não Conformidade",0,IF(J72="Não Conformidade Grave",-1,""))))</f>
        <v/>
      </c>
      <c r="O72" s="8">
        <f>IF(COUNTA(G72:J72)=0,"",ROUND(AVERAGE(K72:N72)*100,0))</f>
        <v/>
      </c>
      <c r="P72" s="8">
        <f>IFERROR(AVERAGEIF(C$2:C$201,C72,O$2:O$201),"N/A")</f>
        <v/>
      </c>
      <c r="Q72" s="8" t="n"/>
    </row>
    <row r="73" hidden="1" ht="15" customHeight="1" s="41">
      <c r="A73" s="8">
        <f>IF(B73="","",ROW()-1)</f>
        <v/>
      </c>
      <c r="B73" s="11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>
        <f>IF(G73="","",IF(G73="SIM",1,0))</f>
        <v/>
      </c>
      <c r="L73" s="8">
        <f>IF(H73="","",IF(H73="Automático",1,IF(H73="Manual",0.5,IF(H73="Não atualizado",0,""))))</f>
        <v/>
      </c>
      <c r="M73" s="8">
        <f>IF(I73="","",IF(I73="SIM",1,0))</f>
        <v/>
      </c>
      <c r="N73" s="8">
        <f>IF(J73="","",IF(J73="Conformidade",1,IF(J73="Não Conformidade",0,IF(J73="Não Conformidade Grave",-1,""))))</f>
        <v/>
      </c>
      <c r="O73" s="8">
        <f>IF(COUNTA(G73:J73)=0,"",ROUND(AVERAGE(K73:N73)*100,0))</f>
        <v/>
      </c>
      <c r="P73" s="8">
        <f>IFERROR(AVERAGEIF(C$2:C$201,C73,O$2:O$201),"N/A")</f>
        <v/>
      </c>
      <c r="Q73" s="8" t="n"/>
    </row>
    <row r="74" hidden="1" ht="15" customHeight="1" s="41">
      <c r="A74" s="8">
        <f>IF(B74="","",ROW()-1)</f>
        <v/>
      </c>
      <c r="B74" s="11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>
        <f>IF(G74="","",IF(G74="SIM",1,0))</f>
        <v/>
      </c>
      <c r="L74" s="8">
        <f>IF(H74="","",IF(H74="Automático",1,IF(H74="Manual",0.5,IF(H74="Não atualizado",0,""))))</f>
        <v/>
      </c>
      <c r="M74" s="8">
        <f>IF(I74="","",IF(I74="SIM",1,0))</f>
        <v/>
      </c>
      <c r="N74" s="8">
        <f>IF(J74="","",IF(J74="Conformidade",1,IF(J74="Não Conformidade",0,IF(J74="Não Conformidade Grave",-1,""))))</f>
        <v/>
      </c>
      <c r="O74" s="8">
        <f>IF(COUNTA(G74:J74)=0,"",ROUND(AVERAGE(K74:N74)*100,0))</f>
        <v/>
      </c>
      <c r="P74" s="8">
        <f>IFERROR(AVERAGEIF(C$2:C$201,C74,O$2:O$201),"N/A")</f>
        <v/>
      </c>
      <c r="Q74" s="8" t="n"/>
    </row>
    <row r="75" hidden="1" ht="15" customHeight="1" s="41">
      <c r="A75" s="8">
        <f>IF(B75="","",ROW()-1)</f>
        <v/>
      </c>
      <c r="B75" s="11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>
        <f>IF(G75="","",IF(G75="SIM",1,0))</f>
        <v/>
      </c>
      <c r="L75" s="8">
        <f>IF(H75="","",IF(H75="Automático",1,IF(H75="Manual",0.5,IF(H75="Não atualizado",0,""))))</f>
        <v/>
      </c>
      <c r="M75" s="8">
        <f>IF(I75="","",IF(I75="SIM",1,0))</f>
        <v/>
      </c>
      <c r="N75" s="8">
        <f>IF(J75="","",IF(J75="Conformidade",1,IF(J75="Não Conformidade",0,IF(J75="Não Conformidade Grave",-1,""))))</f>
        <v/>
      </c>
      <c r="O75" s="8">
        <f>IF(COUNTA(G75:J75)=0,"",ROUND(AVERAGE(K75:N75)*100,0))</f>
        <v/>
      </c>
      <c r="P75" s="8">
        <f>IFERROR(AVERAGEIF(C$2:C$201,C75,O$2:O$201),"N/A")</f>
        <v/>
      </c>
      <c r="Q75" s="8" t="n"/>
    </row>
    <row r="76" hidden="1" ht="15" customHeight="1" s="41">
      <c r="A76" s="8">
        <f>IF(B76="","",ROW()-1)</f>
        <v/>
      </c>
      <c r="B76" s="11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>
        <f>IF(G76="","",IF(G76="SIM",1,0))</f>
        <v/>
      </c>
      <c r="L76" s="8">
        <f>IF(H76="","",IF(H76="Automático",1,IF(H76="Manual",0.5,IF(H76="Não atualizado",0,""))))</f>
        <v/>
      </c>
      <c r="M76" s="8">
        <f>IF(I76="","",IF(I76="SIM",1,0))</f>
        <v/>
      </c>
      <c r="N76" s="8">
        <f>IF(J76="","",IF(J76="Conformidade",1,IF(J76="Não Conformidade",0,IF(J76="Não Conformidade Grave",-1,""))))</f>
        <v/>
      </c>
      <c r="O76" s="8">
        <f>IF(COUNTA(G76:J76)=0,"",ROUND(AVERAGE(K76:N76)*100,0))</f>
        <v/>
      </c>
      <c r="P76" s="8">
        <f>IFERROR(AVERAGEIF(C$2:C$201,C76,O$2:O$201),"N/A")</f>
        <v/>
      </c>
      <c r="Q76" s="8" t="n"/>
    </row>
    <row r="77" hidden="1" ht="15" customHeight="1" s="41">
      <c r="A77" s="8">
        <f>IF(B77="","",ROW()-1)</f>
        <v/>
      </c>
      <c r="B77" s="11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>
        <f>IF(G77="","",IF(G77="SIM",1,0))</f>
        <v/>
      </c>
      <c r="L77" s="8">
        <f>IF(H77="","",IF(H77="Automático",1,IF(H77="Manual",0.5,IF(H77="Não atualizado",0,""))))</f>
        <v/>
      </c>
      <c r="M77" s="8">
        <f>IF(I77="","",IF(I77="SIM",1,0))</f>
        <v/>
      </c>
      <c r="N77" s="8">
        <f>IF(J77="","",IF(J77="Conformidade",1,IF(J77="Não Conformidade",0,IF(J77="Não Conformidade Grave",-1,""))))</f>
        <v/>
      </c>
      <c r="O77" s="8">
        <f>IF(COUNTA(G77:J77)=0,"",ROUND(AVERAGE(K77:N77)*100,0))</f>
        <v/>
      </c>
      <c r="P77" s="8">
        <f>IFERROR(AVERAGEIF(C$2:C$201,C77,O$2:O$201),"N/A")</f>
        <v/>
      </c>
      <c r="Q77" s="8" t="n"/>
    </row>
    <row r="78" hidden="1" ht="15" customHeight="1" s="41">
      <c r="A78" s="8">
        <f>IF(B78="","",ROW()-1)</f>
        <v/>
      </c>
      <c r="B78" s="11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>
        <f>IF(G78="","",IF(G78="SIM",1,0))</f>
        <v/>
      </c>
      <c r="L78" s="8">
        <f>IF(H78="","",IF(H78="Automático",1,IF(H78="Manual",0.5,IF(H78="Não atualizado",0,""))))</f>
        <v/>
      </c>
      <c r="M78" s="8">
        <f>IF(I78="","",IF(I78="SIM",1,0))</f>
        <v/>
      </c>
      <c r="N78" s="8">
        <f>IF(J78="","",IF(J78="Conformidade",1,IF(J78="Não Conformidade",0,IF(J78="Não Conformidade Grave",-1,""))))</f>
        <v/>
      </c>
      <c r="O78" s="8">
        <f>IF(COUNTA(G78:J78)=0,"",ROUND(AVERAGE(K78:N78)*100,0))</f>
        <v/>
      </c>
      <c r="P78" s="8">
        <f>IFERROR(AVERAGEIF(C$2:C$201,C78,O$2:O$201),"N/A")</f>
        <v/>
      </c>
      <c r="Q78" s="8" t="n"/>
    </row>
    <row r="79" hidden="1" ht="15" customHeight="1" s="41">
      <c r="A79" s="8">
        <f>IF(B79="","",ROW()-1)</f>
        <v/>
      </c>
      <c r="B79" s="11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>
        <f>IF(G79="","",IF(G79="SIM",1,0))</f>
        <v/>
      </c>
      <c r="L79" s="8">
        <f>IF(H79="","",IF(H79="Automático",1,IF(H79="Manual",0.5,IF(H79="Não atualizado",0,""))))</f>
        <v/>
      </c>
      <c r="M79" s="8">
        <f>IF(I79="","",IF(I79="SIM",1,0))</f>
        <v/>
      </c>
      <c r="N79" s="8">
        <f>IF(J79="","",IF(J79="Conformidade",1,IF(J79="Não Conformidade",0,IF(J79="Não Conformidade Grave",-1,""))))</f>
        <v/>
      </c>
      <c r="O79" s="8">
        <f>IF(COUNTA(G79:J79)=0,"",ROUND(AVERAGE(K79:N79)*100,0))</f>
        <v/>
      </c>
      <c r="P79" s="8">
        <f>IFERROR(AVERAGEIF(C$2:C$201,C79,O$2:O$201),"N/A")</f>
        <v/>
      </c>
      <c r="Q79" s="8" t="n"/>
    </row>
    <row r="80" hidden="1" ht="15" customHeight="1" s="41">
      <c r="A80" s="8">
        <f>IF(B80="","",ROW()-1)</f>
        <v/>
      </c>
      <c r="B80" s="11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>
        <f>IF(G80="","",IF(G80="SIM",1,0))</f>
        <v/>
      </c>
      <c r="L80" s="8">
        <f>IF(H80="","",IF(H80="Automático",1,IF(H80="Manual",0.5,IF(H80="Não atualizado",0,""))))</f>
        <v/>
      </c>
      <c r="M80" s="8">
        <f>IF(I80="","",IF(I80="SIM",1,0))</f>
        <v/>
      </c>
      <c r="N80" s="8">
        <f>IF(J80="","",IF(J80="Conformidade",1,IF(J80="Não Conformidade",0,IF(J80="Não Conformidade Grave",-1,""))))</f>
        <v/>
      </c>
      <c r="O80" s="8">
        <f>IF(COUNTA(G80:J80)=0,"",ROUND(AVERAGE(K80:N80)*100,0))</f>
        <v/>
      </c>
      <c r="P80" s="8">
        <f>IFERROR(AVERAGEIF(C$2:C$201,C80,O$2:O$201),"N/A")</f>
        <v/>
      </c>
      <c r="Q80" s="8" t="n"/>
    </row>
    <row r="81" hidden="1" ht="15" customHeight="1" s="41">
      <c r="A81" s="8">
        <f>IF(B81="","",ROW()-1)</f>
        <v/>
      </c>
      <c r="B81" s="11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>
        <f>IF(G81="","",IF(G81="SIM",1,0))</f>
        <v/>
      </c>
      <c r="L81" s="8">
        <f>IF(H81="","",IF(H81="Automático",1,IF(H81="Manual",0.5,IF(H81="Não atualizado",0,""))))</f>
        <v/>
      </c>
      <c r="M81" s="8">
        <f>IF(I81="","",IF(I81="SIM",1,0))</f>
        <v/>
      </c>
      <c r="N81" s="8">
        <f>IF(J81="","",IF(J81="Conformidade",1,IF(J81="Não Conformidade",0,IF(J81="Não Conformidade Grave",-1,""))))</f>
        <v/>
      </c>
      <c r="O81" s="8">
        <f>IF(COUNTA(G81:J81)=0,"",ROUND(AVERAGE(K81:N81)*100,0))</f>
        <v/>
      </c>
      <c r="P81" s="8">
        <f>IFERROR(AVERAGEIF(C$2:C$201,C81,O$2:O$201),"N/A")</f>
        <v/>
      </c>
      <c r="Q81" s="8" t="n"/>
    </row>
    <row r="82" hidden="1" ht="15" customHeight="1" s="41">
      <c r="A82" s="8">
        <f>IF(B82="","",ROW()-1)</f>
        <v/>
      </c>
      <c r="B82" s="11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>
        <f>IF(G82="","",IF(G82="SIM",1,0))</f>
        <v/>
      </c>
      <c r="L82" s="8">
        <f>IF(H82="","",IF(H82="Automático",1,IF(H82="Manual",0.5,IF(H82="Não atualizado",0,""))))</f>
        <v/>
      </c>
      <c r="M82" s="8">
        <f>IF(I82="","",IF(I82="SIM",1,0))</f>
        <v/>
      </c>
      <c r="N82" s="8">
        <f>IF(J82="","",IF(J82="Conformidade",1,IF(J82="Não Conformidade",0,IF(J82="Não Conformidade Grave",-1,""))))</f>
        <v/>
      </c>
      <c r="O82" s="8">
        <f>IF(COUNTA(G82:J82)=0,"",ROUND(AVERAGE(K82:N82)*100,0))</f>
        <v/>
      </c>
      <c r="P82" s="8">
        <f>IFERROR(AVERAGEIF(C$2:C$201,C82,O$2:O$201),"N/A")</f>
        <v/>
      </c>
      <c r="Q82" s="8" t="n"/>
    </row>
    <row r="83" hidden="1" ht="15" customHeight="1" s="41">
      <c r="A83" s="8">
        <f>IF(B83="","",ROW()-1)</f>
        <v/>
      </c>
      <c r="B83" s="11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>
        <f>IF(G83="","",IF(G83="SIM",1,0))</f>
        <v/>
      </c>
      <c r="L83" s="8">
        <f>IF(H83="","",IF(H83="Automático",1,IF(H83="Manual",0.5,IF(H83="Não atualizado",0,""))))</f>
        <v/>
      </c>
      <c r="M83" s="8">
        <f>IF(I83="","",IF(I83="SIM",1,0))</f>
        <v/>
      </c>
      <c r="N83" s="8">
        <f>IF(J83="","",IF(J83="Conformidade",1,IF(J83="Não Conformidade",0,IF(J83="Não Conformidade Grave",-1,""))))</f>
        <v/>
      </c>
      <c r="O83" s="8">
        <f>IF(COUNTA(G83:J83)=0,"",ROUND(AVERAGE(K83:N83)*100,0))</f>
        <v/>
      </c>
      <c r="P83" s="8">
        <f>IFERROR(AVERAGEIF(C$2:C$201,C83,O$2:O$201),"N/A")</f>
        <v/>
      </c>
      <c r="Q83" s="8" t="n"/>
    </row>
    <row r="84" hidden="1" ht="15" customHeight="1" s="41">
      <c r="A84" s="8">
        <f>IF(B84="","",ROW()-1)</f>
        <v/>
      </c>
      <c r="B84" s="11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>
        <f>IF(G84="","",IF(G84="SIM",1,0))</f>
        <v/>
      </c>
      <c r="L84" s="8">
        <f>IF(H84="","",IF(H84="Automático",1,IF(H84="Manual",0.5,IF(H84="Não atualizado",0,""))))</f>
        <v/>
      </c>
      <c r="M84" s="8">
        <f>IF(I84="","",IF(I84="SIM",1,0))</f>
        <v/>
      </c>
      <c r="N84" s="8">
        <f>IF(J84="","",IF(J84="Conformidade",1,IF(J84="Não Conformidade",0,IF(J84="Não Conformidade Grave",-1,""))))</f>
        <v/>
      </c>
      <c r="O84" s="8">
        <f>IF(COUNTA(G84:J84)=0,"",ROUND(AVERAGE(K84:N84)*100,0))</f>
        <v/>
      </c>
      <c r="P84" s="8">
        <f>IFERROR(AVERAGEIF(C$2:C$201,C84,O$2:O$201),"N/A")</f>
        <v/>
      </c>
      <c r="Q84" s="8" t="n"/>
    </row>
    <row r="85" hidden="1" ht="15" customHeight="1" s="41">
      <c r="A85" s="8">
        <f>IF(B85="","",ROW()-1)</f>
        <v/>
      </c>
      <c r="B85" s="11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>
        <f>IF(G85="","",IF(G85="SIM",1,0))</f>
        <v/>
      </c>
      <c r="L85" s="8">
        <f>IF(H85="","",IF(H85="Automático",1,IF(H85="Manual",0.5,IF(H85="Não atualizado",0,""))))</f>
        <v/>
      </c>
      <c r="M85" s="8">
        <f>IF(I85="","",IF(I85="SIM",1,0))</f>
        <v/>
      </c>
      <c r="N85" s="8">
        <f>IF(J85="","",IF(J85="Conformidade",1,IF(J85="Não Conformidade",0,IF(J85="Não Conformidade Grave",-1,""))))</f>
        <v/>
      </c>
      <c r="O85" s="8">
        <f>IF(COUNTA(G85:J85)=0,"",ROUND(AVERAGE(K85:N85)*100,0))</f>
        <v/>
      </c>
      <c r="P85" s="8">
        <f>IFERROR(AVERAGEIF(C$2:C$201,C85,O$2:O$201),"N/A")</f>
        <v/>
      </c>
      <c r="Q85" s="8" t="n"/>
    </row>
    <row r="86" hidden="1" ht="15" customHeight="1" s="41">
      <c r="A86" s="8">
        <f>IF(B86="","",ROW()-1)</f>
        <v/>
      </c>
      <c r="B86" s="11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>
        <f>IF(G86="","",IF(G86="SIM",1,0))</f>
        <v/>
      </c>
      <c r="L86" s="8">
        <f>IF(H86="","",IF(H86="Automático",1,IF(H86="Manual",0.5,IF(H86="Não atualizado",0,""))))</f>
        <v/>
      </c>
      <c r="M86" s="8">
        <f>IF(I86="","",IF(I86="SIM",1,0))</f>
        <v/>
      </c>
      <c r="N86" s="8">
        <f>IF(J86="","",IF(J86="Conformidade",1,IF(J86="Não Conformidade",0,IF(J86="Não Conformidade Grave",-1,""))))</f>
        <v/>
      </c>
      <c r="O86" s="8">
        <f>IF(COUNTA(G86:J86)=0,"",ROUND(AVERAGE(K86:N86)*100,0))</f>
        <v/>
      </c>
      <c r="P86" s="8">
        <f>IFERROR(AVERAGEIF(C$2:C$201,C86,O$2:O$201),"N/A")</f>
        <v/>
      </c>
      <c r="Q86" s="8" t="n"/>
    </row>
    <row r="87" hidden="1" ht="15" customHeight="1" s="41">
      <c r="A87" s="8">
        <f>IF(B87="","",ROW()-1)</f>
        <v/>
      </c>
      <c r="B87" s="11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>
        <f>IF(G87="","",IF(G87="SIM",1,0))</f>
        <v/>
      </c>
      <c r="L87" s="8">
        <f>IF(H87="","",IF(H87="Automático",1,IF(H87="Manual",0.5,IF(H87="Não atualizado",0,""))))</f>
        <v/>
      </c>
      <c r="M87" s="8">
        <f>IF(I87="","",IF(I87="SIM",1,0))</f>
        <v/>
      </c>
      <c r="N87" s="8">
        <f>IF(J87="","",IF(J87="Conformidade",1,IF(J87="Não Conformidade",0,IF(J87="Não Conformidade Grave",-1,""))))</f>
        <v/>
      </c>
      <c r="O87" s="8">
        <f>IF(COUNTA(G87:J87)=0,"",ROUND(AVERAGE(K87:N87)*100,0))</f>
        <v/>
      </c>
      <c r="P87" s="8">
        <f>IFERROR(AVERAGEIF(C$2:C$201,C87,O$2:O$201),"N/A")</f>
        <v/>
      </c>
      <c r="Q87" s="8" t="n"/>
    </row>
    <row r="88" hidden="1" ht="15" customHeight="1" s="41">
      <c r="A88" s="8">
        <f>IF(B88="","",ROW()-1)</f>
        <v/>
      </c>
      <c r="B88" s="11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>
        <f>IF(G88="","",IF(G88="SIM",1,0))</f>
        <v/>
      </c>
      <c r="L88" s="8">
        <f>IF(H88="","",IF(H88="Automático",1,IF(H88="Manual",0.5,IF(H88="Não atualizado",0,""))))</f>
        <v/>
      </c>
      <c r="M88" s="8">
        <f>IF(I88="","",IF(I88="SIM",1,0))</f>
        <v/>
      </c>
      <c r="N88" s="8">
        <f>IF(J88="","",IF(J88="Conformidade",1,IF(J88="Não Conformidade",0,IF(J88="Não Conformidade Grave",-1,""))))</f>
        <v/>
      </c>
      <c r="O88" s="8">
        <f>IF(COUNTA(G88:J88)=0,"",ROUND(AVERAGE(K88:N88)*100,0))</f>
        <v/>
      </c>
      <c r="P88" s="8">
        <f>IFERROR(AVERAGEIF(C$2:C$201,C88,O$2:O$201),"N/A")</f>
        <v/>
      </c>
      <c r="Q88" s="8" t="n"/>
    </row>
    <row r="89" hidden="1" ht="15" customHeight="1" s="41">
      <c r="A89" s="8">
        <f>IF(B89="","",ROW()-1)</f>
        <v/>
      </c>
      <c r="B89" s="11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>
        <f>IF(G89="","",IF(G89="SIM",1,0))</f>
        <v/>
      </c>
      <c r="L89" s="8">
        <f>IF(H89="","",IF(H89="Automático",1,IF(H89="Manual",0.5,IF(H89="Não atualizado",0,""))))</f>
        <v/>
      </c>
      <c r="M89" s="8">
        <f>IF(I89="","",IF(I89="SIM",1,0))</f>
        <v/>
      </c>
      <c r="N89" s="8">
        <f>IF(J89="","",IF(J89="Conformidade",1,IF(J89="Não Conformidade",0,IF(J89="Não Conformidade Grave",-1,""))))</f>
        <v/>
      </c>
      <c r="O89" s="8">
        <f>IF(COUNTA(G89:J89)=0,"",ROUND(AVERAGE(K89:N89)*100,0))</f>
        <v/>
      </c>
      <c r="P89" s="8">
        <f>IFERROR(AVERAGEIF(C$2:C$201,C89,O$2:O$201),"N/A")</f>
        <v/>
      </c>
      <c r="Q89" s="8" t="n"/>
    </row>
    <row r="90" hidden="1" ht="15" customHeight="1" s="41">
      <c r="A90" s="8">
        <f>IF(B90="","",ROW()-1)</f>
        <v/>
      </c>
      <c r="B90" s="11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>
        <f>IF(G90="","",IF(G90="SIM",1,0))</f>
        <v/>
      </c>
      <c r="L90" s="8">
        <f>IF(H90="","",IF(H90="Automático",1,IF(H90="Manual",0.5,IF(H90="Não atualizado",0,""))))</f>
        <v/>
      </c>
      <c r="M90" s="8">
        <f>IF(I90="","",IF(I90="SIM",1,0))</f>
        <v/>
      </c>
      <c r="N90" s="8">
        <f>IF(J90="","",IF(J90="Conformidade",1,IF(J90="Não Conformidade",0,IF(J90="Não Conformidade Grave",-1,""))))</f>
        <v/>
      </c>
      <c r="O90" s="8">
        <f>IF(COUNTA(G90:J90)=0,"",ROUND(AVERAGE(K90:N90)*100,0))</f>
        <v/>
      </c>
      <c r="P90" s="8">
        <f>IFERROR(AVERAGEIF(C$2:C$201,C90,O$2:O$201),"N/A")</f>
        <v/>
      </c>
      <c r="Q90" s="8" t="n"/>
    </row>
    <row r="91" hidden="1" ht="15" customHeight="1" s="41">
      <c r="A91" s="8">
        <f>IF(B91="","",ROW()-1)</f>
        <v/>
      </c>
      <c r="B91" s="11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>
        <f>IF(G91="","",IF(G91="SIM",1,0))</f>
        <v/>
      </c>
      <c r="L91" s="8">
        <f>IF(H91="","",IF(H91="Automático",1,IF(H91="Manual",0.5,IF(H91="Não atualizado",0,""))))</f>
        <v/>
      </c>
      <c r="M91" s="8">
        <f>IF(I91="","",IF(I91="SIM",1,0))</f>
        <v/>
      </c>
      <c r="N91" s="8">
        <f>IF(J91="","",IF(J91="Conformidade",1,IF(J91="Não Conformidade",0,IF(J91="Não Conformidade Grave",-1,""))))</f>
        <v/>
      </c>
      <c r="O91" s="8">
        <f>IF(COUNTA(G91:J91)=0,"",ROUND(AVERAGE(K91:N91)*100,0))</f>
        <v/>
      </c>
      <c r="P91" s="8">
        <f>IFERROR(AVERAGEIF(C$2:C$201,C91,O$2:O$201),"N/A")</f>
        <v/>
      </c>
      <c r="Q91" s="8" t="n"/>
    </row>
    <row r="92" hidden="1" ht="15" customHeight="1" s="41">
      <c r="A92" s="8">
        <f>IF(B92="","",ROW()-1)</f>
        <v/>
      </c>
      <c r="B92" s="11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>
        <f>IF(G92="","",IF(G92="SIM",1,0))</f>
        <v/>
      </c>
      <c r="L92" s="8">
        <f>IF(H92="","",IF(H92="Automático",1,IF(H92="Manual",0.5,IF(H92="Não atualizado",0,""))))</f>
        <v/>
      </c>
      <c r="M92" s="8">
        <f>IF(I92="","",IF(I92="SIM",1,0))</f>
        <v/>
      </c>
      <c r="N92" s="8">
        <f>IF(J92="","",IF(J92="Conformidade",1,IF(J92="Não Conformidade",0,IF(J92="Não Conformidade Grave",-1,""))))</f>
        <v/>
      </c>
      <c r="O92" s="8">
        <f>IF(COUNTA(G92:J92)=0,"",ROUND(AVERAGE(K92:N92)*100,0))</f>
        <v/>
      </c>
      <c r="P92" s="8">
        <f>IFERROR(AVERAGEIF(C$2:C$201,C92,O$2:O$201),"N/A")</f>
        <v/>
      </c>
      <c r="Q92" s="8" t="n"/>
    </row>
    <row r="93" hidden="1" ht="15" customHeight="1" s="41">
      <c r="A93" s="8">
        <f>IF(B93="","",ROW()-1)</f>
        <v/>
      </c>
      <c r="B93" s="11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>
        <f>IF(G93="","",IF(G93="SIM",1,0))</f>
        <v/>
      </c>
      <c r="L93" s="8">
        <f>IF(H93="","",IF(H93="Automático",1,IF(H93="Manual",0.5,IF(H93="Não atualizado",0,""))))</f>
        <v/>
      </c>
      <c r="M93" s="8">
        <f>IF(I93="","",IF(I93="SIM",1,0))</f>
        <v/>
      </c>
      <c r="N93" s="8">
        <f>IF(J93="","",IF(J93="Conformidade",1,IF(J93="Não Conformidade",0,IF(J93="Não Conformidade Grave",-1,""))))</f>
        <v/>
      </c>
      <c r="O93" s="8">
        <f>IF(COUNTA(G93:J93)=0,"",ROUND(AVERAGE(K93:N93)*100,0))</f>
        <v/>
      </c>
      <c r="P93" s="8">
        <f>IFERROR(AVERAGEIF(C$2:C$201,C93,O$2:O$201),"N/A")</f>
        <v/>
      </c>
      <c r="Q93" s="8" t="n"/>
    </row>
    <row r="94" hidden="1" ht="15" customHeight="1" s="41">
      <c r="A94" s="8">
        <f>IF(B94="","",ROW()-1)</f>
        <v/>
      </c>
      <c r="B94" s="11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>
        <f>IF(G94="","",IF(G94="SIM",1,0))</f>
        <v/>
      </c>
      <c r="L94" s="8">
        <f>IF(H94="","",IF(H94="Automático",1,IF(H94="Manual",0.5,IF(H94="Não atualizado",0,""))))</f>
        <v/>
      </c>
      <c r="M94" s="8">
        <f>IF(I94="","",IF(I94="SIM",1,0))</f>
        <v/>
      </c>
      <c r="N94" s="8">
        <f>IF(J94="","",IF(J94="Conformidade",1,IF(J94="Não Conformidade",0,IF(J94="Não Conformidade Grave",-1,""))))</f>
        <v/>
      </c>
      <c r="O94" s="8">
        <f>IF(COUNTA(G94:J94)=0,"",ROUND(AVERAGE(K94:N94)*100,0))</f>
        <v/>
      </c>
      <c r="P94" s="8">
        <f>IFERROR(AVERAGEIF(C$2:C$201,C94,O$2:O$201),"N/A")</f>
        <v/>
      </c>
      <c r="Q94" s="8" t="n"/>
    </row>
    <row r="95" hidden="1" ht="15" customHeight="1" s="41">
      <c r="A95" s="8">
        <f>IF(B95="","",ROW()-1)</f>
        <v/>
      </c>
      <c r="B95" s="11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>
        <f>IF(G95="","",IF(G95="SIM",1,0))</f>
        <v/>
      </c>
      <c r="L95" s="8">
        <f>IF(H95="","",IF(H95="Automático",1,IF(H95="Manual",0.5,IF(H95="Não atualizado",0,""))))</f>
        <v/>
      </c>
      <c r="M95" s="8">
        <f>IF(I95="","",IF(I95="SIM",1,0))</f>
        <v/>
      </c>
      <c r="N95" s="8">
        <f>IF(J95="","",IF(J95="Conformidade",1,IF(J95="Não Conformidade",0,IF(J95="Não Conformidade Grave",-1,""))))</f>
        <v/>
      </c>
      <c r="O95" s="8">
        <f>IF(COUNTA(G95:J95)=0,"",ROUND(AVERAGE(K95:N95)*100,0))</f>
        <v/>
      </c>
      <c r="P95" s="8">
        <f>IFERROR(AVERAGEIF(C$2:C$201,C95,O$2:O$201),"N/A")</f>
        <v/>
      </c>
      <c r="Q95" s="8" t="n"/>
    </row>
    <row r="96" hidden="1" ht="15" customHeight="1" s="41">
      <c r="A96" s="8">
        <f>IF(B96="","",ROW()-1)</f>
        <v/>
      </c>
      <c r="B96" s="11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>
        <f>IF(G96="","",IF(G96="SIM",1,0))</f>
        <v/>
      </c>
      <c r="L96" s="8">
        <f>IF(H96="","",IF(H96="Automático",1,IF(H96="Manual",0.5,IF(H96="Não atualizado",0,""))))</f>
        <v/>
      </c>
      <c r="M96" s="8">
        <f>IF(I96="","",IF(I96="SIM",1,0))</f>
        <v/>
      </c>
      <c r="N96" s="8">
        <f>IF(J96="","",IF(J96="Conformidade",1,IF(J96="Não Conformidade",0,IF(J96="Não Conformidade Grave",-1,""))))</f>
        <v/>
      </c>
      <c r="O96" s="8">
        <f>IF(COUNTA(G96:J96)=0,"",ROUND(AVERAGE(K96:N96)*100,0))</f>
        <v/>
      </c>
      <c r="P96" s="8">
        <f>IFERROR(AVERAGEIF(C$2:C$201,C96,O$2:O$201),"N/A")</f>
        <v/>
      </c>
      <c r="Q96" s="8" t="n"/>
    </row>
    <row r="97" hidden="1" ht="15" customHeight="1" s="41">
      <c r="A97" s="8">
        <f>IF(B97="","",ROW()-1)</f>
        <v/>
      </c>
      <c r="B97" s="11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>
        <f>IF(G97="","",IF(G97="SIM",1,0))</f>
        <v/>
      </c>
      <c r="L97" s="8">
        <f>IF(H97="","",IF(H97="Automático",1,IF(H97="Manual",0.5,IF(H97="Não atualizado",0,""))))</f>
        <v/>
      </c>
      <c r="M97" s="8">
        <f>IF(I97="","",IF(I97="SIM",1,0))</f>
        <v/>
      </c>
      <c r="N97" s="8">
        <f>IF(J97="","",IF(J97="Conformidade",1,IF(J97="Não Conformidade",0,IF(J97="Não Conformidade Grave",-1,""))))</f>
        <v/>
      </c>
      <c r="O97" s="8">
        <f>IF(COUNTA(G97:J97)=0,"",ROUND(AVERAGE(K97:N97)*100,0))</f>
        <v/>
      </c>
      <c r="P97" s="8">
        <f>IFERROR(AVERAGEIF(C$2:C$201,C97,O$2:O$201),"N/A")</f>
        <v/>
      </c>
      <c r="Q97" s="8" t="n"/>
    </row>
    <row r="98" hidden="1" ht="15" customHeight="1" s="41">
      <c r="A98" s="8">
        <f>IF(B98="","",ROW()-1)</f>
        <v/>
      </c>
      <c r="B98" s="11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>
        <f>IF(G98="","",IF(G98="SIM",1,0))</f>
        <v/>
      </c>
      <c r="L98" s="8">
        <f>IF(H98="","",IF(H98="Automático",1,IF(H98="Manual",0.5,IF(H98="Não atualizado",0,""))))</f>
        <v/>
      </c>
      <c r="M98" s="8">
        <f>IF(I98="","",IF(I98="SIM",1,0))</f>
        <v/>
      </c>
      <c r="N98" s="8">
        <f>IF(J98="","",IF(J98="Conformidade",1,IF(J98="Não Conformidade",0,IF(J98="Não Conformidade Grave",-1,""))))</f>
        <v/>
      </c>
      <c r="O98" s="8">
        <f>IF(COUNTA(G98:J98)=0,"",ROUND(AVERAGE(K98:N98)*100,0))</f>
        <v/>
      </c>
      <c r="P98" s="8">
        <f>IFERROR(AVERAGEIF(C$2:C$201,C98,O$2:O$201),"N/A")</f>
        <v/>
      </c>
      <c r="Q98" s="8" t="n"/>
    </row>
    <row r="99" hidden="1" ht="15" customHeight="1" s="41">
      <c r="A99" s="8">
        <f>IF(B99="","",ROW()-1)</f>
        <v/>
      </c>
      <c r="B99" s="11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>
        <f>IF(G99="","",IF(G99="SIM",1,0))</f>
        <v/>
      </c>
      <c r="L99" s="8">
        <f>IF(H99="","",IF(H99="Automático",1,IF(H99="Manual",0.5,IF(H99="Não atualizado",0,""))))</f>
        <v/>
      </c>
      <c r="M99" s="8">
        <f>IF(I99="","",IF(I99="SIM",1,0))</f>
        <v/>
      </c>
      <c r="N99" s="8">
        <f>IF(J99="","",IF(J99="Conformidade",1,IF(J99="Não Conformidade",0,IF(J99="Não Conformidade Grave",-1,""))))</f>
        <v/>
      </c>
      <c r="O99" s="8">
        <f>IF(COUNTA(G99:J99)=0,"",ROUND(AVERAGE(K99:N99)*100,0))</f>
        <v/>
      </c>
      <c r="P99" s="8">
        <f>IFERROR(AVERAGEIF(C$2:C$201,C99,O$2:O$201),"N/A")</f>
        <v/>
      </c>
      <c r="Q99" s="8" t="n"/>
    </row>
    <row r="100" hidden="1" ht="15" customHeight="1" s="41">
      <c r="A100" s="8">
        <f>IF(B100="","",ROW()-1)</f>
        <v/>
      </c>
      <c r="B100" s="11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>
        <f>IF(G100="","",IF(G100="SIM",1,0))</f>
        <v/>
      </c>
      <c r="L100" s="8">
        <f>IF(H100="","",IF(H100="Automático",1,IF(H100="Manual",0.5,IF(H100="Não atualizado",0,""))))</f>
        <v/>
      </c>
      <c r="M100" s="8">
        <f>IF(I100="","",IF(I100="SIM",1,0))</f>
        <v/>
      </c>
      <c r="N100" s="8">
        <f>IF(J100="","",IF(J100="Conformidade",1,IF(J100="Não Conformidade",0,IF(J100="Não Conformidade Grave",-1,""))))</f>
        <v/>
      </c>
      <c r="O100" s="8">
        <f>IF(COUNTA(G100:J100)=0,"",ROUND(AVERAGE(K100:N100)*100,0))</f>
        <v/>
      </c>
      <c r="P100" s="8">
        <f>IFERROR(AVERAGEIF(C$2:C$201,C100,O$2:O$201),"N/A")</f>
        <v/>
      </c>
      <c r="Q100" s="8" t="n"/>
    </row>
    <row r="101" hidden="1" ht="15" customHeight="1" s="41">
      <c r="A101" s="8">
        <f>IF(B101="","",ROW()-1)</f>
        <v/>
      </c>
      <c r="B101" s="11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>
        <f>IF(G101="","",IF(G101="SIM",1,0))</f>
        <v/>
      </c>
      <c r="L101" s="8">
        <f>IF(H101="","",IF(H101="Automático",1,IF(H101="Manual",0.5,IF(H101="Não atualizado",0,""))))</f>
        <v/>
      </c>
      <c r="M101" s="8">
        <f>IF(I101="","",IF(I101="SIM",1,0))</f>
        <v/>
      </c>
      <c r="N101" s="8">
        <f>IF(J101="","",IF(J101="Conformidade",1,IF(J101="Não Conformidade",0,IF(J101="Não Conformidade Grave",-1,""))))</f>
        <v/>
      </c>
      <c r="O101" s="8">
        <f>IF(COUNTA(G101:J101)=0,"",ROUND(AVERAGE(K101:N101)*100,0))</f>
        <v/>
      </c>
      <c r="P101" s="8">
        <f>IFERROR(AVERAGEIF(C$2:C$201,C101,O$2:O$201),"N/A")</f>
        <v/>
      </c>
      <c r="Q101" s="8" t="n"/>
    </row>
    <row r="102" hidden="1" ht="15" customHeight="1" s="41">
      <c r="A102" s="8">
        <f>IF(B102="","",ROW()-1)</f>
        <v/>
      </c>
      <c r="B102" s="11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>
        <f>IF(G102="","",IF(G102="SIM",1,0))</f>
        <v/>
      </c>
      <c r="L102" s="8">
        <f>IF(H102="","",IF(H102="Automático",1,IF(H102="Manual",0.5,IF(H102="Não atualizado",0,""))))</f>
        <v/>
      </c>
      <c r="M102" s="8">
        <f>IF(I102="","",IF(I102="SIM",1,0))</f>
        <v/>
      </c>
      <c r="N102" s="8">
        <f>IF(J102="","",IF(J102="Conformidade",1,IF(J102="Não Conformidade",0,IF(J102="Não Conformidade Grave",-1,""))))</f>
        <v/>
      </c>
      <c r="O102" s="8">
        <f>IF(COUNTA(G102:J102)=0,"",ROUND(AVERAGE(K102:N102)*100,0))</f>
        <v/>
      </c>
      <c r="P102" s="8">
        <f>IFERROR(AVERAGEIF(C$2:C$201,C102,O$2:O$201),"N/A")</f>
        <v/>
      </c>
      <c r="Q102" s="8" t="n"/>
    </row>
    <row r="103" hidden="1" ht="15" customHeight="1" s="41">
      <c r="A103" s="8">
        <f>IF(B103="","",ROW()-1)</f>
        <v/>
      </c>
      <c r="B103" s="11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>
        <f>IF(G103="","",IF(G103="SIM",1,0))</f>
        <v/>
      </c>
      <c r="L103" s="8">
        <f>IF(H103="","",IF(H103="Automático",1,IF(H103="Manual",0.5,IF(H103="Não atualizado",0,""))))</f>
        <v/>
      </c>
      <c r="M103" s="8">
        <f>IF(I103="","",IF(I103="SIM",1,0))</f>
        <v/>
      </c>
      <c r="N103" s="8">
        <f>IF(J103="","",IF(J103="Conformidade",1,IF(J103="Não Conformidade",0,IF(J103="Não Conformidade Grave",-1,""))))</f>
        <v/>
      </c>
      <c r="O103" s="8">
        <f>IF(COUNTA(G103:J103)=0,"",ROUND(AVERAGE(K103:N103)*100,0))</f>
        <v/>
      </c>
      <c r="P103" s="8">
        <f>IFERROR(AVERAGEIF(C$2:C$201,C103,O$2:O$201),"N/A")</f>
        <v/>
      </c>
      <c r="Q103" s="8" t="n"/>
    </row>
    <row r="104" hidden="1" ht="15" customHeight="1" s="41">
      <c r="A104" s="8">
        <f>IF(B104="","",ROW()-1)</f>
        <v/>
      </c>
      <c r="B104" s="11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>
        <f>IF(G104="","",IF(G104="SIM",1,0))</f>
        <v/>
      </c>
      <c r="L104" s="8">
        <f>IF(H104="","",IF(H104="Automático",1,IF(H104="Manual",0.5,IF(H104="Não atualizado",0,""))))</f>
        <v/>
      </c>
      <c r="M104" s="8">
        <f>IF(I104="","",IF(I104="SIM",1,0))</f>
        <v/>
      </c>
      <c r="N104" s="8">
        <f>IF(J104="","",IF(J104="Conformidade",1,IF(J104="Não Conformidade",0,IF(J104="Não Conformidade Grave",-1,""))))</f>
        <v/>
      </c>
      <c r="O104" s="8">
        <f>IF(COUNTA(G104:J104)=0,"",ROUND(AVERAGE(K104:N104)*100,0))</f>
        <v/>
      </c>
      <c r="P104" s="8">
        <f>IFERROR(AVERAGEIF(C$2:C$201,C104,O$2:O$201),"N/A")</f>
        <v/>
      </c>
      <c r="Q104" s="8" t="n"/>
    </row>
    <row r="105" hidden="1" ht="15" customHeight="1" s="41">
      <c r="A105" s="8">
        <f>IF(B105="","",ROW()-1)</f>
        <v/>
      </c>
      <c r="B105" s="11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>
        <f>IF(G105="","",IF(G105="SIM",1,0))</f>
        <v/>
      </c>
      <c r="L105" s="8">
        <f>IF(H105="","",IF(H105="Automático",1,IF(H105="Manual",0.5,IF(H105="Não atualizado",0,""))))</f>
        <v/>
      </c>
      <c r="M105" s="8">
        <f>IF(I105="","",IF(I105="SIM",1,0))</f>
        <v/>
      </c>
      <c r="N105" s="8">
        <f>IF(J105="","",IF(J105="Conformidade",1,IF(J105="Não Conformidade",0,IF(J105="Não Conformidade Grave",-1,""))))</f>
        <v/>
      </c>
      <c r="O105" s="8">
        <f>IF(COUNTA(G105:J105)=0,"",ROUND(AVERAGE(K105:N105)*100,0))</f>
        <v/>
      </c>
      <c r="P105" s="8">
        <f>IFERROR(AVERAGEIF(C$2:C$201,C105,O$2:O$201),"N/A")</f>
        <v/>
      </c>
      <c r="Q105" s="8" t="n"/>
    </row>
    <row r="106" hidden="1" ht="15" customHeight="1" s="41">
      <c r="A106" s="8">
        <f>IF(B106="","",ROW()-1)</f>
        <v/>
      </c>
      <c r="B106" s="11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>
        <f>IF(G106="","",IF(G106="SIM",1,0))</f>
        <v/>
      </c>
      <c r="L106" s="8">
        <f>IF(H106="","",IF(H106="Automático",1,IF(H106="Manual",0.5,IF(H106="Não atualizado",0,""))))</f>
        <v/>
      </c>
      <c r="M106" s="8">
        <f>IF(I106="","",IF(I106="SIM",1,0))</f>
        <v/>
      </c>
      <c r="N106" s="8">
        <f>IF(J106="","",IF(J106="Conformidade",1,IF(J106="Não Conformidade",0,IF(J106="Não Conformidade Grave",-1,""))))</f>
        <v/>
      </c>
      <c r="O106" s="8">
        <f>IF(COUNTA(G106:J106)=0,"",ROUND(AVERAGE(K106:N106)*100,0))</f>
        <v/>
      </c>
      <c r="P106" s="8">
        <f>IFERROR(AVERAGEIF(C$2:C$201,C106,O$2:O$201),"N/A")</f>
        <v/>
      </c>
      <c r="Q106" s="8" t="n"/>
    </row>
    <row r="107" hidden="1" ht="15" customHeight="1" s="41">
      <c r="A107" s="8">
        <f>IF(B107="","",ROW()-1)</f>
        <v/>
      </c>
      <c r="B107" s="11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>
        <f>IF(G107="","",IF(G107="SIM",1,0))</f>
        <v/>
      </c>
      <c r="L107" s="8">
        <f>IF(H107="","",IF(H107="Automático",1,IF(H107="Manual",0.5,IF(H107="Não atualizado",0,""))))</f>
        <v/>
      </c>
      <c r="M107" s="8">
        <f>IF(I107="","",IF(I107="SIM",1,0))</f>
        <v/>
      </c>
      <c r="N107" s="8">
        <f>IF(J107="","",IF(J107="Conformidade",1,IF(J107="Não Conformidade",0,IF(J107="Não Conformidade Grave",-1,""))))</f>
        <v/>
      </c>
      <c r="O107" s="8">
        <f>IF(COUNTA(G107:J107)=0,"",ROUND(AVERAGE(K107:N107)*100,0))</f>
        <v/>
      </c>
      <c r="P107" s="8">
        <f>IFERROR(AVERAGEIF(C$2:C$201,C107,O$2:O$201),"N/A")</f>
        <v/>
      </c>
      <c r="Q107" s="8" t="n"/>
    </row>
    <row r="108" hidden="1" ht="15" customHeight="1" s="41">
      <c r="A108" s="8">
        <f>IF(B108="","",ROW()-1)</f>
        <v/>
      </c>
      <c r="B108" s="11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>
        <f>IF(G108="","",IF(G108="SIM",1,0))</f>
        <v/>
      </c>
      <c r="L108" s="8">
        <f>IF(H108="","",IF(H108="Automático",1,IF(H108="Manual",0.5,IF(H108="Não atualizado",0,""))))</f>
        <v/>
      </c>
      <c r="M108" s="8">
        <f>IF(I108="","",IF(I108="SIM",1,0))</f>
        <v/>
      </c>
      <c r="N108" s="8">
        <f>IF(J108="","",IF(J108="Conformidade",1,IF(J108="Não Conformidade",0,IF(J108="Não Conformidade Grave",-1,""))))</f>
        <v/>
      </c>
      <c r="O108" s="8">
        <f>IF(COUNTA(G108:J108)=0,"",ROUND(AVERAGE(K108:N108)*100,0))</f>
        <v/>
      </c>
      <c r="P108" s="8">
        <f>IFERROR(AVERAGEIF(C$2:C$201,C108,O$2:O$201),"N/A")</f>
        <v/>
      </c>
      <c r="Q108" s="8" t="n"/>
    </row>
    <row r="109" hidden="1" ht="15" customHeight="1" s="41">
      <c r="A109" s="8">
        <f>IF(B109="","",ROW()-1)</f>
        <v/>
      </c>
      <c r="B109" s="11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>
        <f>IF(G109="","",IF(G109="SIM",1,0))</f>
        <v/>
      </c>
      <c r="L109" s="8">
        <f>IF(H109="","",IF(H109="Automático",1,IF(H109="Manual",0.5,IF(H109="Não atualizado",0,""))))</f>
        <v/>
      </c>
      <c r="M109" s="8">
        <f>IF(I109="","",IF(I109="SIM",1,0))</f>
        <v/>
      </c>
      <c r="N109" s="8">
        <f>IF(J109="","",IF(J109="Conformidade",1,IF(J109="Não Conformidade",0,IF(J109="Não Conformidade Grave",-1,""))))</f>
        <v/>
      </c>
      <c r="O109" s="8">
        <f>IF(COUNTA(G109:J109)=0,"",ROUND(AVERAGE(K109:N109)*100,0))</f>
        <v/>
      </c>
      <c r="P109" s="8">
        <f>IFERROR(AVERAGEIF(C$2:C$201,C109,O$2:O$201),"N/A")</f>
        <v/>
      </c>
      <c r="Q109" s="8" t="n"/>
    </row>
    <row r="110" hidden="1" ht="15" customHeight="1" s="41">
      <c r="A110" s="8">
        <f>IF(B110="","",ROW()-1)</f>
        <v/>
      </c>
      <c r="B110" s="11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>
        <f>IF(G110="","",IF(G110="SIM",1,0))</f>
        <v/>
      </c>
      <c r="L110" s="8">
        <f>IF(H110="","",IF(H110="Automático",1,IF(H110="Manual",0.5,IF(H110="Não atualizado",0,""))))</f>
        <v/>
      </c>
      <c r="M110" s="8">
        <f>IF(I110="","",IF(I110="SIM",1,0))</f>
        <v/>
      </c>
      <c r="N110" s="8">
        <f>IF(J110="","",IF(J110="Conformidade",1,IF(J110="Não Conformidade",0,IF(J110="Não Conformidade Grave",-1,""))))</f>
        <v/>
      </c>
      <c r="O110" s="8">
        <f>IF(COUNTA(G110:J110)=0,"",ROUND(AVERAGE(K110:N110)*100,0))</f>
        <v/>
      </c>
      <c r="P110" s="8">
        <f>IFERROR(AVERAGEIF(C$2:C$201,C110,O$2:O$201),"N/A")</f>
        <v/>
      </c>
      <c r="Q110" s="8" t="n"/>
    </row>
    <row r="111" hidden="1" ht="15" customHeight="1" s="41">
      <c r="A111" s="8">
        <f>IF(B111="","",ROW()-1)</f>
        <v/>
      </c>
      <c r="B111" s="11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>
        <f>IF(G111="","",IF(G111="SIM",1,0))</f>
        <v/>
      </c>
      <c r="L111" s="8">
        <f>IF(H111="","",IF(H111="Automático",1,IF(H111="Manual",0.5,IF(H111="Não atualizado",0,""))))</f>
        <v/>
      </c>
      <c r="M111" s="8">
        <f>IF(I111="","",IF(I111="SIM",1,0))</f>
        <v/>
      </c>
      <c r="N111" s="8">
        <f>IF(J111="","",IF(J111="Conformidade",1,IF(J111="Não Conformidade",0,IF(J111="Não Conformidade Grave",-1,""))))</f>
        <v/>
      </c>
      <c r="O111" s="8">
        <f>IF(COUNTA(G111:J111)=0,"",ROUND(AVERAGE(K111:N111)*100,0))</f>
        <v/>
      </c>
      <c r="P111" s="8">
        <f>IFERROR(AVERAGEIF(C$2:C$201,C111,O$2:O$201),"N/A")</f>
        <v/>
      </c>
      <c r="Q111" s="8" t="n"/>
    </row>
    <row r="112" hidden="1" ht="15" customHeight="1" s="41">
      <c r="A112" s="8">
        <f>IF(B112="","",ROW()-1)</f>
        <v/>
      </c>
      <c r="B112" s="11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>
        <f>IF(G112="","",IF(G112="SIM",1,0))</f>
        <v/>
      </c>
      <c r="L112" s="8">
        <f>IF(H112="","",IF(H112="Automático",1,IF(H112="Manual",0.5,IF(H112="Não atualizado",0,""))))</f>
        <v/>
      </c>
      <c r="M112" s="8">
        <f>IF(I112="","",IF(I112="SIM",1,0))</f>
        <v/>
      </c>
      <c r="N112" s="8">
        <f>IF(J112="","",IF(J112="Conformidade",1,IF(J112="Não Conformidade",0,IF(J112="Não Conformidade Grave",-1,""))))</f>
        <v/>
      </c>
      <c r="O112" s="8">
        <f>IF(COUNTA(G112:J112)=0,"",ROUND(AVERAGE(K112:N112)*100,0))</f>
        <v/>
      </c>
      <c r="P112" s="8">
        <f>IFERROR(AVERAGEIF(C$2:C$201,C112,O$2:O$201),"N/A")</f>
        <v/>
      </c>
      <c r="Q112" s="8" t="n"/>
    </row>
    <row r="113" hidden="1" ht="15" customHeight="1" s="41">
      <c r="A113" s="8">
        <f>IF(B113="","",ROW()-1)</f>
        <v/>
      </c>
      <c r="B113" s="11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>
        <f>IF(G113="","",IF(G113="SIM",1,0))</f>
        <v/>
      </c>
      <c r="L113" s="8">
        <f>IF(H113="","",IF(H113="Automático",1,IF(H113="Manual",0.5,IF(H113="Não atualizado",0,""))))</f>
        <v/>
      </c>
      <c r="M113" s="8">
        <f>IF(I113="","",IF(I113="SIM",1,0))</f>
        <v/>
      </c>
      <c r="N113" s="8">
        <f>IF(J113="","",IF(J113="Conformidade",1,IF(J113="Não Conformidade",0,IF(J113="Não Conformidade Grave",-1,""))))</f>
        <v/>
      </c>
      <c r="O113" s="8">
        <f>IF(COUNTA(G113:J113)=0,"",ROUND(AVERAGE(K113:N113)*100,0))</f>
        <v/>
      </c>
      <c r="P113" s="8">
        <f>IFERROR(AVERAGEIF(C$2:C$201,C113,O$2:O$201),"N/A")</f>
        <v/>
      </c>
      <c r="Q113" s="8" t="n"/>
    </row>
    <row r="114" hidden="1" ht="15" customHeight="1" s="41">
      <c r="A114" s="8">
        <f>IF(B114="","",ROW()-1)</f>
        <v/>
      </c>
      <c r="B114" s="11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>
        <f>IF(G114="","",IF(G114="SIM",1,0))</f>
        <v/>
      </c>
      <c r="L114" s="8">
        <f>IF(H114="","",IF(H114="Automático",1,IF(H114="Manual",0.5,IF(H114="Não atualizado",0,""))))</f>
        <v/>
      </c>
      <c r="M114" s="8">
        <f>IF(I114="","",IF(I114="SIM",1,0))</f>
        <v/>
      </c>
      <c r="N114" s="8">
        <f>IF(J114="","",IF(J114="Conformidade",1,IF(J114="Não Conformidade",0,IF(J114="Não Conformidade Grave",-1,""))))</f>
        <v/>
      </c>
      <c r="O114" s="8">
        <f>IF(COUNTA(G114:J114)=0,"",ROUND(AVERAGE(K114:N114)*100,0))</f>
        <v/>
      </c>
      <c r="P114" s="8">
        <f>IFERROR(AVERAGEIF(C$2:C$201,C114,O$2:O$201),"N/A")</f>
        <v/>
      </c>
      <c r="Q114" s="8" t="n"/>
    </row>
    <row r="115" hidden="1" ht="15" customHeight="1" s="41">
      <c r="A115" s="8">
        <f>IF(B115="","",ROW()-1)</f>
        <v/>
      </c>
      <c r="B115" s="11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>
        <f>IF(G115="","",IF(G115="SIM",1,0))</f>
        <v/>
      </c>
      <c r="L115" s="8">
        <f>IF(H115="","",IF(H115="Automático",1,IF(H115="Manual",0.5,IF(H115="Não atualizado",0,""))))</f>
        <v/>
      </c>
      <c r="M115" s="8">
        <f>IF(I115="","",IF(I115="SIM",1,0))</f>
        <v/>
      </c>
      <c r="N115" s="8">
        <f>IF(J115="","",IF(J115="Conformidade",1,IF(J115="Não Conformidade",0,IF(J115="Não Conformidade Grave",-1,""))))</f>
        <v/>
      </c>
      <c r="O115" s="8">
        <f>IF(COUNTA(G115:J115)=0,"",ROUND(AVERAGE(K115:N115)*100,0))</f>
        <v/>
      </c>
      <c r="P115" s="8">
        <f>IFERROR(AVERAGEIF(C$2:C$201,C115,O$2:O$201),"N/A")</f>
        <v/>
      </c>
      <c r="Q115" s="8" t="n"/>
    </row>
    <row r="116" hidden="1" ht="15" customHeight="1" s="41">
      <c r="A116" s="8">
        <f>IF(B116="","",ROW()-1)</f>
        <v/>
      </c>
      <c r="B116" s="11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>
        <f>IF(G116="","",IF(G116="SIM",1,0))</f>
        <v/>
      </c>
      <c r="L116" s="8">
        <f>IF(H116="","",IF(H116="Automático",1,IF(H116="Manual",0.5,IF(H116="Não atualizado",0,""))))</f>
        <v/>
      </c>
      <c r="M116" s="8">
        <f>IF(I116="","",IF(I116="SIM",1,0))</f>
        <v/>
      </c>
      <c r="N116" s="8">
        <f>IF(J116="","",IF(J116="Conformidade",1,IF(J116="Não Conformidade",0,IF(J116="Não Conformidade Grave",-1,""))))</f>
        <v/>
      </c>
      <c r="O116" s="8">
        <f>IF(COUNTA(G116:J116)=0,"",ROUND(AVERAGE(K116:N116)*100,0))</f>
        <v/>
      </c>
      <c r="P116" s="8">
        <f>IFERROR(AVERAGEIF(C$2:C$201,C116,O$2:O$201),"N/A")</f>
        <v/>
      </c>
      <c r="Q116" s="8" t="n"/>
    </row>
    <row r="117" hidden="1" ht="15" customHeight="1" s="41">
      <c r="A117" s="8">
        <f>IF(B117="","",ROW()-1)</f>
        <v/>
      </c>
      <c r="B117" s="11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>
        <f>IF(G117="","",IF(G117="SIM",1,0))</f>
        <v/>
      </c>
      <c r="L117" s="8">
        <f>IF(H117="","",IF(H117="Automático",1,IF(H117="Manual",0.5,IF(H117="Não atualizado",0,""))))</f>
        <v/>
      </c>
      <c r="M117" s="8">
        <f>IF(I117="","",IF(I117="SIM",1,0))</f>
        <v/>
      </c>
      <c r="N117" s="8">
        <f>IF(J117="","",IF(J117="Conformidade",1,IF(J117="Não Conformidade",0,IF(J117="Não Conformidade Grave",-1,""))))</f>
        <v/>
      </c>
      <c r="O117" s="8">
        <f>IF(COUNTA(G117:J117)=0,"",ROUND(AVERAGE(K117:N117)*100,0))</f>
        <v/>
      </c>
      <c r="P117" s="8">
        <f>IFERROR(AVERAGEIF(C$2:C$201,C117,O$2:O$201),"N/A")</f>
        <v/>
      </c>
      <c r="Q117" s="8" t="n"/>
    </row>
    <row r="118" hidden="1" ht="15" customHeight="1" s="41">
      <c r="A118" s="8">
        <f>IF(B118="","",ROW()-1)</f>
        <v/>
      </c>
      <c r="B118" s="11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>
        <f>IF(G118="","",IF(G118="SIM",1,0))</f>
        <v/>
      </c>
      <c r="L118" s="8">
        <f>IF(H118="","",IF(H118="Automático",1,IF(H118="Manual",0.5,IF(H118="Não atualizado",0,""))))</f>
        <v/>
      </c>
      <c r="M118" s="8">
        <f>IF(I118="","",IF(I118="SIM",1,0))</f>
        <v/>
      </c>
      <c r="N118" s="8">
        <f>IF(J118="","",IF(J118="Conformidade",1,IF(J118="Não Conformidade",0,IF(J118="Não Conformidade Grave",-1,""))))</f>
        <v/>
      </c>
      <c r="O118" s="8">
        <f>IF(COUNTA(G118:J118)=0,"",ROUND(AVERAGE(K118:N118)*100,0))</f>
        <v/>
      </c>
      <c r="P118" s="8">
        <f>IFERROR(AVERAGEIF(C$2:C$201,C118,O$2:O$201),"N/A")</f>
        <v/>
      </c>
      <c r="Q118" s="8" t="n"/>
    </row>
    <row r="119" hidden="1" ht="15" customHeight="1" s="41">
      <c r="A119" s="8">
        <f>IF(B119="","",ROW()-1)</f>
        <v/>
      </c>
      <c r="B119" s="11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>
        <f>IF(G119="","",IF(G119="SIM",1,0))</f>
        <v/>
      </c>
      <c r="L119" s="8">
        <f>IF(H119="","",IF(H119="Automático",1,IF(H119="Manual",0.5,IF(H119="Não atualizado",0,""))))</f>
        <v/>
      </c>
      <c r="M119" s="8">
        <f>IF(I119="","",IF(I119="SIM",1,0))</f>
        <v/>
      </c>
      <c r="N119" s="8">
        <f>IF(J119="","",IF(J119="Conformidade",1,IF(J119="Não Conformidade",0,IF(J119="Não Conformidade Grave",-1,""))))</f>
        <v/>
      </c>
      <c r="O119" s="8">
        <f>IF(COUNTA(G119:J119)=0,"",ROUND(AVERAGE(K119:N119)*100,0))</f>
        <v/>
      </c>
      <c r="P119" s="8">
        <f>IFERROR(AVERAGEIF(C$2:C$201,C119,O$2:O$201),"N/A")</f>
        <v/>
      </c>
      <c r="Q119" s="8" t="n"/>
    </row>
    <row r="120" hidden="1" ht="15" customHeight="1" s="41">
      <c r="A120" s="8">
        <f>IF(B120="","",ROW()-1)</f>
        <v/>
      </c>
      <c r="B120" s="11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>
        <f>IF(G120="","",IF(G120="SIM",1,0))</f>
        <v/>
      </c>
      <c r="L120" s="8">
        <f>IF(H120="","",IF(H120="Automático",1,IF(H120="Manual",0.5,IF(H120="Não atualizado",0,""))))</f>
        <v/>
      </c>
      <c r="M120" s="8">
        <f>IF(I120="","",IF(I120="SIM",1,0))</f>
        <v/>
      </c>
      <c r="N120" s="8">
        <f>IF(J120="","",IF(J120="Conformidade",1,IF(J120="Não Conformidade",0,IF(J120="Não Conformidade Grave",-1,""))))</f>
        <v/>
      </c>
      <c r="O120" s="8">
        <f>IF(COUNTA(G120:J120)=0,"",ROUND(AVERAGE(K120:N120)*100,0))</f>
        <v/>
      </c>
      <c r="P120" s="8">
        <f>IFERROR(AVERAGEIF(C$2:C$201,C120,O$2:O$201),"N/A")</f>
        <v/>
      </c>
      <c r="Q120" s="8" t="n"/>
    </row>
    <row r="121" hidden="1" ht="15" customHeight="1" s="41">
      <c r="A121" s="8">
        <f>IF(B121="","",ROW()-1)</f>
        <v/>
      </c>
      <c r="B121" s="11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>
        <f>IF(G121="","",IF(G121="SIM",1,0))</f>
        <v/>
      </c>
      <c r="L121" s="8">
        <f>IF(H121="","",IF(H121="Automático",1,IF(H121="Manual",0.5,IF(H121="Não atualizado",0,""))))</f>
        <v/>
      </c>
      <c r="M121" s="8">
        <f>IF(I121="","",IF(I121="SIM",1,0))</f>
        <v/>
      </c>
      <c r="N121" s="8">
        <f>IF(J121="","",IF(J121="Conformidade",1,IF(J121="Não Conformidade",0,IF(J121="Não Conformidade Grave",-1,""))))</f>
        <v/>
      </c>
      <c r="O121" s="8">
        <f>IF(COUNTA(G121:J121)=0,"",ROUND(AVERAGE(K121:N121)*100,0))</f>
        <v/>
      </c>
      <c r="P121" s="8">
        <f>IFERROR(AVERAGEIF(C$2:C$201,C121,O$2:O$201),"N/A")</f>
        <v/>
      </c>
      <c r="Q121" s="8" t="n"/>
    </row>
    <row r="122" hidden="1" ht="15" customHeight="1" s="41">
      <c r="A122" s="8">
        <f>IF(B122="","",ROW()-1)</f>
        <v/>
      </c>
      <c r="B122" s="11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>
        <f>IF(G122="","",IF(G122="SIM",1,0))</f>
        <v/>
      </c>
      <c r="L122" s="8">
        <f>IF(H122="","",IF(H122="Automático",1,IF(H122="Manual",0.5,IF(H122="Não atualizado",0,""))))</f>
        <v/>
      </c>
      <c r="M122" s="8">
        <f>IF(I122="","",IF(I122="SIM",1,0))</f>
        <v/>
      </c>
      <c r="N122" s="8">
        <f>IF(J122="","",IF(J122="Conformidade",1,IF(J122="Não Conformidade",0,IF(J122="Não Conformidade Grave",-1,""))))</f>
        <v/>
      </c>
      <c r="O122" s="8">
        <f>IF(COUNTA(G122:J122)=0,"",ROUND(AVERAGE(K122:N122)*100,0))</f>
        <v/>
      </c>
      <c r="P122" s="8">
        <f>IFERROR(AVERAGEIF(C$2:C$201,C122,O$2:O$201),"N/A")</f>
        <v/>
      </c>
      <c r="Q122" s="8" t="n"/>
    </row>
    <row r="123" hidden="1" ht="15" customHeight="1" s="41">
      <c r="A123" s="8">
        <f>IF(B123="","",ROW()-1)</f>
        <v/>
      </c>
      <c r="B123" s="11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>
        <f>IF(G123="","",IF(G123="SIM",1,0))</f>
        <v/>
      </c>
      <c r="L123" s="8">
        <f>IF(H123="","",IF(H123="Automático",1,IF(H123="Manual",0.5,IF(H123="Não atualizado",0,""))))</f>
        <v/>
      </c>
      <c r="M123" s="8">
        <f>IF(I123="","",IF(I123="SIM",1,0))</f>
        <v/>
      </c>
      <c r="N123" s="8">
        <f>IF(J123="","",IF(J123="Conformidade",1,IF(J123="Não Conformidade",0,IF(J123="Não Conformidade Grave",-1,""))))</f>
        <v/>
      </c>
      <c r="O123" s="8">
        <f>IF(COUNTA(G123:J123)=0,"",ROUND(AVERAGE(K123:N123)*100,0))</f>
        <v/>
      </c>
      <c r="P123" s="8">
        <f>IFERROR(AVERAGEIF(C$2:C$201,C123,O$2:O$201),"N/A")</f>
        <v/>
      </c>
      <c r="Q123" s="8" t="n"/>
    </row>
    <row r="124" hidden="1" ht="15" customHeight="1" s="41">
      <c r="A124" s="8">
        <f>IF(B124="","",ROW()-1)</f>
        <v/>
      </c>
      <c r="B124" s="11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>
        <f>IF(G124="","",IF(G124="SIM",1,0))</f>
        <v/>
      </c>
      <c r="L124" s="8">
        <f>IF(H124="","",IF(H124="Automático",1,IF(H124="Manual",0.5,IF(H124="Não atualizado",0,""))))</f>
        <v/>
      </c>
      <c r="M124" s="8">
        <f>IF(I124="","",IF(I124="SIM",1,0))</f>
        <v/>
      </c>
      <c r="N124" s="8">
        <f>IF(J124="","",IF(J124="Conformidade",1,IF(J124="Não Conformidade",0,IF(J124="Não Conformidade Grave",-1,""))))</f>
        <v/>
      </c>
      <c r="O124" s="8">
        <f>IF(COUNTA(G124:J124)=0,"",ROUND(AVERAGE(K124:N124)*100,0))</f>
        <v/>
      </c>
      <c r="P124" s="8">
        <f>IFERROR(AVERAGEIF(C$2:C$201,C124,O$2:O$201),"N/A")</f>
        <v/>
      </c>
      <c r="Q124" s="8" t="n"/>
    </row>
    <row r="125" hidden="1" ht="15" customHeight="1" s="41">
      <c r="A125" s="8">
        <f>IF(B125="","",ROW()-1)</f>
        <v/>
      </c>
      <c r="B125" s="11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>
        <f>IF(G125="","",IF(G125="SIM",1,0))</f>
        <v/>
      </c>
      <c r="L125" s="8">
        <f>IF(H125="","",IF(H125="Automático",1,IF(H125="Manual",0.5,IF(H125="Não atualizado",0,""))))</f>
        <v/>
      </c>
      <c r="M125" s="8">
        <f>IF(I125="","",IF(I125="SIM",1,0))</f>
        <v/>
      </c>
      <c r="N125" s="8">
        <f>IF(J125="","",IF(J125="Conformidade",1,IF(J125="Não Conformidade",0,IF(J125="Não Conformidade Grave",-1,""))))</f>
        <v/>
      </c>
      <c r="O125" s="8">
        <f>IF(COUNTA(G125:J125)=0,"",ROUND(AVERAGE(K125:N125)*100,0))</f>
        <v/>
      </c>
      <c r="P125" s="8">
        <f>IFERROR(AVERAGEIF(C$2:C$201,C125,O$2:O$201),"N/A")</f>
        <v/>
      </c>
      <c r="Q125" s="8" t="n"/>
    </row>
    <row r="126" hidden="1" ht="15" customHeight="1" s="41">
      <c r="A126" s="8">
        <f>IF(B126="","",ROW()-1)</f>
        <v/>
      </c>
      <c r="B126" s="11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>
        <f>IF(G126="","",IF(G126="SIM",1,0))</f>
        <v/>
      </c>
      <c r="L126" s="8">
        <f>IF(H126="","",IF(H126="Automático",1,IF(H126="Manual",0.5,IF(H126="Não atualizado",0,""))))</f>
        <v/>
      </c>
      <c r="M126" s="8">
        <f>IF(I126="","",IF(I126="SIM",1,0))</f>
        <v/>
      </c>
      <c r="N126" s="8">
        <f>IF(J126="","",IF(J126="Conformidade",1,IF(J126="Não Conformidade",0,IF(J126="Não Conformidade Grave",-1,""))))</f>
        <v/>
      </c>
      <c r="O126" s="8">
        <f>IF(COUNTA(G126:J126)=0,"",ROUND(AVERAGE(K126:N126)*100,0))</f>
        <v/>
      </c>
      <c r="P126" s="8">
        <f>IFERROR(AVERAGEIF(C$2:C$201,C126,O$2:O$201),"N/A")</f>
        <v/>
      </c>
      <c r="Q126" s="8" t="n"/>
    </row>
    <row r="127" hidden="1" ht="15" customHeight="1" s="41">
      <c r="A127" s="8">
        <f>IF(B127="","",ROW()-1)</f>
        <v/>
      </c>
      <c r="B127" s="11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>
        <f>IF(G127="","",IF(G127="SIM",1,0))</f>
        <v/>
      </c>
      <c r="L127" s="8">
        <f>IF(H127="","",IF(H127="Automático",1,IF(H127="Manual",0.5,IF(H127="Não atualizado",0,""))))</f>
        <v/>
      </c>
      <c r="M127" s="8">
        <f>IF(I127="","",IF(I127="SIM",1,0))</f>
        <v/>
      </c>
      <c r="N127" s="8">
        <f>IF(J127="","",IF(J127="Conformidade",1,IF(J127="Não Conformidade",0,IF(J127="Não Conformidade Grave",-1,""))))</f>
        <v/>
      </c>
      <c r="O127" s="8">
        <f>IF(COUNTA(G127:J127)=0,"",ROUND(AVERAGE(K127:N127)*100,0))</f>
        <v/>
      </c>
      <c r="P127" s="8">
        <f>IFERROR(AVERAGEIF(C$2:C$201,C127,O$2:O$201),"N/A")</f>
        <v/>
      </c>
      <c r="Q127" s="8" t="n"/>
    </row>
    <row r="128" hidden="1" ht="15" customHeight="1" s="41">
      <c r="A128" s="8">
        <f>IF(B128="","",ROW()-1)</f>
        <v/>
      </c>
      <c r="B128" s="11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>
        <f>IF(G128="","",IF(G128="SIM",1,0))</f>
        <v/>
      </c>
      <c r="L128" s="8">
        <f>IF(H128="","",IF(H128="Automático",1,IF(H128="Manual",0.5,IF(H128="Não atualizado",0,""))))</f>
        <v/>
      </c>
      <c r="M128" s="8">
        <f>IF(I128="","",IF(I128="SIM",1,0))</f>
        <v/>
      </c>
      <c r="N128" s="8">
        <f>IF(J128="","",IF(J128="Conformidade",1,IF(J128="Não Conformidade",0,IF(J128="Não Conformidade Grave",-1,""))))</f>
        <v/>
      </c>
      <c r="O128" s="8">
        <f>IF(COUNTA(G128:J128)=0,"",ROUND(AVERAGE(K128:N128)*100,0))</f>
        <v/>
      </c>
      <c r="P128" s="8">
        <f>IFERROR(AVERAGEIF(C$2:C$201,C128,O$2:O$201),"N/A")</f>
        <v/>
      </c>
      <c r="Q128" s="8" t="n"/>
    </row>
    <row r="129" hidden="1" ht="15" customHeight="1" s="41">
      <c r="A129" s="8">
        <f>IF(B129="","",ROW()-1)</f>
        <v/>
      </c>
      <c r="B129" s="11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>
        <f>IF(G129="","",IF(G129="SIM",1,0))</f>
        <v/>
      </c>
      <c r="L129" s="8">
        <f>IF(H129="","",IF(H129="Automático",1,IF(H129="Manual",0.5,IF(H129="Não atualizado",0,""))))</f>
        <v/>
      </c>
      <c r="M129" s="8">
        <f>IF(I129="","",IF(I129="SIM",1,0))</f>
        <v/>
      </c>
      <c r="N129" s="8">
        <f>IF(J129="","",IF(J129="Conformidade",1,IF(J129="Não Conformidade",0,IF(J129="Não Conformidade Grave",-1,""))))</f>
        <v/>
      </c>
      <c r="O129" s="8">
        <f>IF(COUNTA(G129:J129)=0,"",ROUND(AVERAGE(K129:N129)*100,0))</f>
        <v/>
      </c>
      <c r="P129" s="8">
        <f>IFERROR(AVERAGEIF(C$2:C$201,C129,O$2:O$201),"N/A")</f>
        <v/>
      </c>
      <c r="Q129" s="8" t="n"/>
    </row>
    <row r="130" hidden="1" ht="15" customHeight="1" s="41">
      <c r="A130" s="8">
        <f>IF(B130="","",ROW()-1)</f>
        <v/>
      </c>
      <c r="B130" s="11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>
        <f>IF(G130="","",IF(G130="SIM",1,0))</f>
        <v/>
      </c>
      <c r="L130" s="8">
        <f>IF(H130="","",IF(H130="Automático",1,IF(H130="Manual",0.5,IF(H130="Não atualizado",0,""))))</f>
        <v/>
      </c>
      <c r="M130" s="8">
        <f>IF(I130="","",IF(I130="SIM",1,0))</f>
        <v/>
      </c>
      <c r="N130" s="8">
        <f>IF(J130="","",IF(J130="Conformidade",1,IF(J130="Não Conformidade",0,IF(J130="Não Conformidade Grave",-1,""))))</f>
        <v/>
      </c>
      <c r="O130" s="8">
        <f>IF(COUNTA(G130:J130)=0,"",ROUND(AVERAGE(K130:N130)*100,0))</f>
        <v/>
      </c>
      <c r="P130" s="8">
        <f>IFERROR(AVERAGEIF(C$2:C$201,C130,O$2:O$201),"N/A")</f>
        <v/>
      </c>
      <c r="Q130" s="8" t="n"/>
    </row>
    <row r="131" hidden="1" ht="15" customHeight="1" s="41">
      <c r="A131" s="8">
        <f>IF(B131="","",ROW()-1)</f>
        <v/>
      </c>
      <c r="B131" s="11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>
        <f>IF(G131="","",IF(G131="SIM",1,0))</f>
        <v/>
      </c>
      <c r="L131" s="8">
        <f>IF(H131="","",IF(H131="Automático",1,IF(H131="Manual",0.5,IF(H131="Não atualizado",0,""))))</f>
        <v/>
      </c>
      <c r="M131" s="8">
        <f>IF(I131="","",IF(I131="SIM",1,0))</f>
        <v/>
      </c>
      <c r="N131" s="8">
        <f>IF(J131="","",IF(J131="Conformidade",1,IF(J131="Não Conformidade",0,IF(J131="Não Conformidade Grave",-1,""))))</f>
        <v/>
      </c>
      <c r="O131" s="8">
        <f>IF(COUNTA(G131:J131)=0,"",ROUND(AVERAGE(K131:N131)*100,0))</f>
        <v/>
      </c>
      <c r="P131" s="8">
        <f>IFERROR(AVERAGEIF(C$2:C$201,C131,O$2:O$201),"N/A")</f>
        <v/>
      </c>
      <c r="Q131" s="8" t="n"/>
    </row>
    <row r="132" hidden="1" ht="15" customHeight="1" s="41">
      <c r="A132" s="8">
        <f>IF(B132="","",ROW()-1)</f>
        <v/>
      </c>
      <c r="B132" s="11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>
        <f>IF(G132="","",IF(G132="SIM",1,0))</f>
        <v/>
      </c>
      <c r="L132" s="8">
        <f>IF(H132="","",IF(H132="Automático",1,IF(H132="Manual",0.5,IF(H132="Não atualizado",0,""))))</f>
        <v/>
      </c>
      <c r="M132" s="8">
        <f>IF(I132="","",IF(I132="SIM",1,0))</f>
        <v/>
      </c>
      <c r="N132" s="8">
        <f>IF(J132="","",IF(J132="Conformidade",1,IF(J132="Não Conformidade",0,IF(J132="Não Conformidade Grave",-1,""))))</f>
        <v/>
      </c>
      <c r="O132" s="8">
        <f>IF(COUNTA(G132:J132)=0,"",ROUND(AVERAGE(K132:N132)*100,0))</f>
        <v/>
      </c>
      <c r="P132" s="8">
        <f>IFERROR(AVERAGEIF(C$2:C$201,C132,O$2:O$201),"N/A")</f>
        <v/>
      </c>
      <c r="Q132" s="8" t="n"/>
    </row>
    <row r="133" hidden="1" ht="15" customHeight="1" s="41">
      <c r="A133" s="8">
        <f>IF(B133="","",ROW()-1)</f>
        <v/>
      </c>
      <c r="B133" s="11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>
        <f>IF(G133="","",IF(G133="SIM",1,0))</f>
        <v/>
      </c>
      <c r="L133" s="8">
        <f>IF(H133="","",IF(H133="Automático",1,IF(H133="Manual",0.5,IF(H133="Não atualizado",0,""))))</f>
        <v/>
      </c>
      <c r="M133" s="8">
        <f>IF(I133="","",IF(I133="SIM",1,0))</f>
        <v/>
      </c>
      <c r="N133" s="8">
        <f>IF(J133="","",IF(J133="Conformidade",1,IF(J133="Não Conformidade",0,IF(J133="Não Conformidade Grave",-1,""))))</f>
        <v/>
      </c>
      <c r="O133" s="8">
        <f>IF(COUNTA(G133:J133)=0,"",ROUND(AVERAGE(K133:N133)*100,0))</f>
        <v/>
      </c>
      <c r="P133" s="8">
        <f>IFERROR(AVERAGEIF(C$2:C$201,C133,O$2:O$201),"N/A")</f>
        <v/>
      </c>
      <c r="Q133" s="8" t="n"/>
    </row>
    <row r="134" hidden="1" ht="15" customHeight="1" s="41">
      <c r="A134" s="8">
        <f>IF(B134="","",ROW()-1)</f>
        <v/>
      </c>
      <c r="B134" s="11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>
        <f>IF(G134="","",IF(G134="SIM",1,0))</f>
        <v/>
      </c>
      <c r="L134" s="8">
        <f>IF(H134="","",IF(H134="Automático",1,IF(H134="Manual",0.5,IF(H134="Não atualizado",0,""))))</f>
        <v/>
      </c>
      <c r="M134" s="8">
        <f>IF(I134="","",IF(I134="SIM",1,0))</f>
        <v/>
      </c>
      <c r="N134" s="8">
        <f>IF(J134="","",IF(J134="Conformidade",1,IF(J134="Não Conformidade",0,IF(J134="Não Conformidade Grave",-1,""))))</f>
        <v/>
      </c>
      <c r="O134" s="8">
        <f>IF(COUNTA(G134:J134)=0,"",ROUND(AVERAGE(K134:N134)*100,0))</f>
        <v/>
      </c>
      <c r="P134" s="8">
        <f>IFERROR(AVERAGEIF(C$2:C$201,C134,O$2:O$201),"N/A")</f>
        <v/>
      </c>
      <c r="Q134" s="8" t="n"/>
    </row>
    <row r="135" hidden="1" ht="15" customHeight="1" s="41">
      <c r="A135" s="8">
        <f>IF(B135="","",ROW()-1)</f>
        <v/>
      </c>
      <c r="B135" s="11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>
        <f>IF(G135="","",IF(G135="SIM",1,0))</f>
        <v/>
      </c>
      <c r="L135" s="8">
        <f>IF(H135="","",IF(H135="Automático",1,IF(H135="Manual",0.5,IF(H135="Não atualizado",0,""))))</f>
        <v/>
      </c>
      <c r="M135" s="8">
        <f>IF(I135="","",IF(I135="SIM",1,0))</f>
        <v/>
      </c>
      <c r="N135" s="8">
        <f>IF(J135="","",IF(J135="Conformidade",1,IF(J135="Não Conformidade",0,IF(J135="Não Conformidade Grave",-1,""))))</f>
        <v/>
      </c>
      <c r="O135" s="8">
        <f>IF(COUNTA(G135:J135)=0,"",ROUND(AVERAGE(K135:N135)*100,0))</f>
        <v/>
      </c>
      <c r="P135" s="8">
        <f>IFERROR(AVERAGEIF(C$2:C$201,C135,O$2:O$201),"N/A")</f>
        <v/>
      </c>
      <c r="Q135" s="8" t="n"/>
    </row>
    <row r="136" hidden="1" ht="15" customHeight="1" s="41">
      <c r="A136" s="8">
        <f>IF(B136="","",ROW()-1)</f>
        <v/>
      </c>
      <c r="B136" s="11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>
        <f>IF(G136="","",IF(G136="SIM",1,0))</f>
        <v/>
      </c>
      <c r="L136" s="8">
        <f>IF(H136="","",IF(H136="Automático",1,IF(H136="Manual",0.5,IF(H136="Não atualizado",0,""))))</f>
        <v/>
      </c>
      <c r="M136" s="8">
        <f>IF(I136="","",IF(I136="SIM",1,0))</f>
        <v/>
      </c>
      <c r="N136" s="8">
        <f>IF(J136="","",IF(J136="Conformidade",1,IF(J136="Não Conformidade",0,IF(J136="Não Conformidade Grave",-1,""))))</f>
        <v/>
      </c>
      <c r="O136" s="8">
        <f>IF(COUNTA(G136:J136)=0,"",ROUND(AVERAGE(K136:N136)*100,0))</f>
        <v/>
      </c>
      <c r="P136" s="8">
        <f>IFERROR(AVERAGEIF(C$2:C$201,C136,O$2:O$201),"N/A")</f>
        <v/>
      </c>
      <c r="Q136" s="8" t="n"/>
    </row>
    <row r="137" hidden="1" ht="15" customHeight="1" s="41">
      <c r="A137" s="8">
        <f>IF(B137="","",ROW()-1)</f>
        <v/>
      </c>
      <c r="B137" s="11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>
        <f>IF(G137="","",IF(G137="SIM",1,0))</f>
        <v/>
      </c>
      <c r="L137" s="8">
        <f>IF(H137="","",IF(H137="Automático",1,IF(H137="Manual",0.5,IF(H137="Não atualizado",0,""))))</f>
        <v/>
      </c>
      <c r="M137" s="8">
        <f>IF(I137="","",IF(I137="SIM",1,0))</f>
        <v/>
      </c>
      <c r="N137" s="8">
        <f>IF(J137="","",IF(J137="Conformidade",1,IF(J137="Não Conformidade",0,IF(J137="Não Conformidade Grave",-1,""))))</f>
        <v/>
      </c>
      <c r="O137" s="8">
        <f>IF(COUNTA(G137:J137)=0,"",ROUND(AVERAGE(K137:N137)*100,0))</f>
        <v/>
      </c>
      <c r="P137" s="8">
        <f>IFERROR(AVERAGEIF(C$2:C$201,C137,O$2:O$201),"N/A")</f>
        <v/>
      </c>
      <c r="Q137" s="8" t="n"/>
    </row>
    <row r="138" hidden="1" ht="15" customHeight="1" s="41">
      <c r="A138" s="8">
        <f>IF(B138="","",ROW()-1)</f>
        <v/>
      </c>
      <c r="B138" s="11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>
        <f>IF(G138="","",IF(G138="SIM",1,0))</f>
        <v/>
      </c>
      <c r="L138" s="8">
        <f>IF(H138="","",IF(H138="Automático",1,IF(H138="Manual",0.5,IF(H138="Não atualizado",0,""))))</f>
        <v/>
      </c>
      <c r="M138" s="8">
        <f>IF(I138="","",IF(I138="SIM",1,0))</f>
        <v/>
      </c>
      <c r="N138" s="8">
        <f>IF(J138="","",IF(J138="Conformidade",1,IF(J138="Não Conformidade",0,IF(J138="Não Conformidade Grave",-1,""))))</f>
        <v/>
      </c>
      <c r="O138" s="8">
        <f>IF(COUNTA(G138:J138)=0,"",ROUND(AVERAGE(K138:N138)*100,0))</f>
        <v/>
      </c>
      <c r="P138" s="8">
        <f>IFERROR(AVERAGEIF(C$2:C$201,C138,O$2:O$201),"N/A")</f>
        <v/>
      </c>
      <c r="Q138" s="8" t="n"/>
    </row>
    <row r="139" hidden="1" ht="15" customHeight="1" s="41">
      <c r="A139" s="8">
        <f>IF(B139="","",ROW()-1)</f>
        <v/>
      </c>
      <c r="B139" s="11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>
        <f>IF(G139="","",IF(G139="SIM",1,0))</f>
        <v/>
      </c>
      <c r="L139" s="8">
        <f>IF(H139="","",IF(H139="Automático",1,IF(H139="Manual",0.5,IF(H139="Não atualizado",0,""))))</f>
        <v/>
      </c>
      <c r="M139" s="8">
        <f>IF(I139="","",IF(I139="SIM",1,0))</f>
        <v/>
      </c>
      <c r="N139" s="8">
        <f>IF(J139="","",IF(J139="Conformidade",1,IF(J139="Não Conformidade",0,IF(J139="Não Conformidade Grave",-1,""))))</f>
        <v/>
      </c>
      <c r="O139" s="8">
        <f>IF(COUNTA(G139:J139)=0,"",ROUND(AVERAGE(K139:N139)*100,0))</f>
        <v/>
      </c>
      <c r="P139" s="8">
        <f>IFERROR(AVERAGEIF(C$2:C$201,C139,O$2:O$201),"N/A")</f>
        <v/>
      </c>
      <c r="Q139" s="8" t="n"/>
    </row>
    <row r="140" hidden="1" ht="15" customHeight="1" s="41">
      <c r="A140" s="8">
        <f>IF(B140="","",ROW()-1)</f>
        <v/>
      </c>
      <c r="B140" s="11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>
        <f>IF(G140="","",IF(G140="SIM",1,0))</f>
        <v/>
      </c>
      <c r="L140" s="8">
        <f>IF(H140="","",IF(H140="Automático",1,IF(H140="Manual",0.5,IF(H140="Não atualizado",0,""))))</f>
        <v/>
      </c>
      <c r="M140" s="8">
        <f>IF(I140="","",IF(I140="SIM",1,0))</f>
        <v/>
      </c>
      <c r="N140" s="8">
        <f>IF(J140="","",IF(J140="Conformidade",1,IF(J140="Não Conformidade",0,IF(J140="Não Conformidade Grave",-1,""))))</f>
        <v/>
      </c>
      <c r="O140" s="8">
        <f>IF(COUNTA(G140:J140)=0,"",ROUND(AVERAGE(K140:N140)*100,0))</f>
        <v/>
      </c>
      <c r="P140" s="8">
        <f>IFERROR(AVERAGEIF(C$2:C$201,C140,O$2:O$201),"N/A")</f>
        <v/>
      </c>
      <c r="Q140" s="8" t="n"/>
    </row>
    <row r="141" hidden="1" ht="15" customHeight="1" s="41">
      <c r="A141" s="8">
        <f>IF(B141="","",ROW()-1)</f>
        <v/>
      </c>
      <c r="B141" s="11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>
        <f>IF(G141="","",IF(G141="SIM",1,0))</f>
        <v/>
      </c>
      <c r="L141" s="8">
        <f>IF(H141="","",IF(H141="Automático",1,IF(H141="Manual",0.5,IF(H141="Não atualizado",0,""))))</f>
        <v/>
      </c>
      <c r="M141" s="8">
        <f>IF(I141="","",IF(I141="SIM",1,0))</f>
        <v/>
      </c>
      <c r="N141" s="8">
        <f>IF(J141="","",IF(J141="Conformidade",1,IF(J141="Não Conformidade",0,IF(J141="Não Conformidade Grave",-1,""))))</f>
        <v/>
      </c>
      <c r="O141" s="8">
        <f>IF(COUNTA(G141:J141)=0,"",ROUND(AVERAGE(K141:N141)*100,0))</f>
        <v/>
      </c>
      <c r="P141" s="8">
        <f>IFERROR(AVERAGEIF(C$2:C$201,C141,O$2:O$201),"N/A")</f>
        <v/>
      </c>
      <c r="Q141" s="8" t="n"/>
    </row>
    <row r="142" hidden="1" ht="15" customHeight="1" s="41">
      <c r="A142" s="8">
        <f>IF(B142="","",ROW()-1)</f>
        <v/>
      </c>
      <c r="B142" s="11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>
        <f>IF(G142="","",IF(G142="SIM",1,0))</f>
        <v/>
      </c>
      <c r="L142" s="8">
        <f>IF(H142="","",IF(H142="Automático",1,IF(H142="Manual",0.5,IF(H142="Não atualizado",0,""))))</f>
        <v/>
      </c>
      <c r="M142" s="8">
        <f>IF(I142="","",IF(I142="SIM",1,0))</f>
        <v/>
      </c>
      <c r="N142" s="8">
        <f>IF(J142="","",IF(J142="Conformidade",1,IF(J142="Não Conformidade",0,IF(J142="Não Conformidade Grave",-1,""))))</f>
        <v/>
      </c>
      <c r="O142" s="8">
        <f>IF(COUNTA(G142:J142)=0,"",ROUND(AVERAGE(K142:N142)*100,0))</f>
        <v/>
      </c>
      <c r="P142" s="8">
        <f>IFERROR(AVERAGEIF(C$2:C$201,C142,O$2:O$201),"N/A")</f>
        <v/>
      </c>
      <c r="Q142" s="8" t="n"/>
    </row>
    <row r="143" hidden="1" ht="15" customHeight="1" s="41">
      <c r="A143" s="8">
        <f>IF(B143="","",ROW()-1)</f>
        <v/>
      </c>
      <c r="B143" s="11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>
        <f>IF(G143="","",IF(G143="SIM",1,0))</f>
        <v/>
      </c>
      <c r="L143" s="8">
        <f>IF(H143="","",IF(H143="Automático",1,IF(H143="Manual",0.5,IF(H143="Não atualizado",0,""))))</f>
        <v/>
      </c>
      <c r="M143" s="8">
        <f>IF(I143="","",IF(I143="SIM",1,0))</f>
        <v/>
      </c>
      <c r="N143" s="8">
        <f>IF(J143="","",IF(J143="Conformidade",1,IF(J143="Não Conformidade",0,IF(J143="Não Conformidade Grave",-1,""))))</f>
        <v/>
      </c>
      <c r="O143" s="8">
        <f>IF(COUNTA(G143:J143)=0,"",ROUND(AVERAGE(K143:N143)*100,0))</f>
        <v/>
      </c>
      <c r="P143" s="8">
        <f>IFERROR(AVERAGEIF(C$2:C$201,C143,O$2:O$201),"N/A")</f>
        <v/>
      </c>
      <c r="Q143" s="8" t="n"/>
    </row>
    <row r="144" hidden="1" ht="15" customHeight="1" s="41">
      <c r="A144" s="8">
        <f>IF(B144="","",ROW()-1)</f>
        <v/>
      </c>
      <c r="B144" s="11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>
        <f>IF(G144="","",IF(G144="SIM",1,0))</f>
        <v/>
      </c>
      <c r="L144" s="8">
        <f>IF(H144="","",IF(H144="Automático",1,IF(H144="Manual",0.5,IF(H144="Não atualizado",0,""))))</f>
        <v/>
      </c>
      <c r="M144" s="8">
        <f>IF(I144="","",IF(I144="SIM",1,0))</f>
        <v/>
      </c>
      <c r="N144" s="8">
        <f>IF(J144="","",IF(J144="Conformidade",1,IF(J144="Não Conformidade",0,IF(J144="Não Conformidade Grave",-1,""))))</f>
        <v/>
      </c>
      <c r="O144" s="8">
        <f>IF(COUNTA(G144:J144)=0,"",ROUND(AVERAGE(K144:N144)*100,0))</f>
        <v/>
      </c>
      <c r="P144" s="8">
        <f>IFERROR(AVERAGEIF(C$2:C$201,C144,O$2:O$201),"N/A")</f>
        <v/>
      </c>
      <c r="Q144" s="8" t="n"/>
    </row>
    <row r="145" hidden="1" ht="15" customHeight="1" s="41">
      <c r="A145" s="8">
        <f>IF(B145="","",ROW()-1)</f>
        <v/>
      </c>
      <c r="B145" s="11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>
        <f>IF(G145="","",IF(G145="SIM",1,0))</f>
        <v/>
      </c>
      <c r="L145" s="8">
        <f>IF(H145="","",IF(H145="Automático",1,IF(H145="Manual",0.5,IF(H145="Não atualizado",0,""))))</f>
        <v/>
      </c>
      <c r="M145" s="8">
        <f>IF(I145="","",IF(I145="SIM",1,0))</f>
        <v/>
      </c>
      <c r="N145" s="8">
        <f>IF(J145="","",IF(J145="Conformidade",1,IF(J145="Não Conformidade",0,IF(J145="Não Conformidade Grave",-1,""))))</f>
        <v/>
      </c>
      <c r="O145" s="8">
        <f>IF(COUNTA(G145:J145)=0,"",ROUND(AVERAGE(K145:N145)*100,0))</f>
        <v/>
      </c>
      <c r="P145" s="8">
        <f>IFERROR(AVERAGEIF(C$2:C$201,C145,O$2:O$201),"N/A")</f>
        <v/>
      </c>
      <c r="Q145" s="8" t="n"/>
    </row>
    <row r="146" hidden="1" ht="15" customHeight="1" s="41">
      <c r="A146" s="8">
        <f>IF(B146="","",ROW()-1)</f>
        <v/>
      </c>
      <c r="B146" s="11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>
        <f>IF(G146="","",IF(G146="SIM",1,0))</f>
        <v/>
      </c>
      <c r="L146" s="8">
        <f>IF(H146="","",IF(H146="Automático",1,IF(H146="Manual",0.5,IF(H146="Não atualizado",0,""))))</f>
        <v/>
      </c>
      <c r="M146" s="8">
        <f>IF(I146="","",IF(I146="SIM",1,0))</f>
        <v/>
      </c>
      <c r="N146" s="8">
        <f>IF(J146="","",IF(J146="Conformidade",1,IF(J146="Não Conformidade",0,IF(J146="Não Conformidade Grave",-1,""))))</f>
        <v/>
      </c>
      <c r="O146" s="8">
        <f>IF(COUNTA(G146:J146)=0,"",ROUND(AVERAGE(K146:N146)*100,0))</f>
        <v/>
      </c>
      <c r="P146" s="8">
        <f>IFERROR(AVERAGEIF(C$2:C$201,C146,O$2:O$201),"N/A")</f>
        <v/>
      </c>
      <c r="Q146" s="8" t="n"/>
    </row>
    <row r="147" hidden="1" ht="15" customHeight="1" s="41">
      <c r="A147" s="8">
        <f>IF(B147="","",ROW()-1)</f>
        <v/>
      </c>
      <c r="B147" s="11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>
        <f>IF(G147="","",IF(G147="SIM",1,0))</f>
        <v/>
      </c>
      <c r="L147" s="8">
        <f>IF(H147="","",IF(H147="Automático",1,IF(H147="Manual",0.5,IF(H147="Não atualizado",0,""))))</f>
        <v/>
      </c>
      <c r="M147" s="8">
        <f>IF(I147="","",IF(I147="SIM",1,0))</f>
        <v/>
      </c>
      <c r="N147" s="8">
        <f>IF(J147="","",IF(J147="Conformidade",1,IF(J147="Não Conformidade",0,IF(J147="Não Conformidade Grave",-1,""))))</f>
        <v/>
      </c>
      <c r="O147" s="8">
        <f>IF(COUNTA(G147:J147)=0,"",ROUND(AVERAGE(K147:N147)*100,0))</f>
        <v/>
      </c>
      <c r="P147" s="8">
        <f>IFERROR(AVERAGEIF(C$2:C$201,C147,O$2:O$201),"N/A")</f>
        <v/>
      </c>
      <c r="Q147" s="8" t="n"/>
    </row>
    <row r="148" hidden="1" ht="15" customHeight="1" s="41">
      <c r="A148" s="8">
        <f>IF(B148="","",ROW()-1)</f>
        <v/>
      </c>
      <c r="B148" s="11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>
        <f>IF(G148="","",IF(G148="SIM",1,0))</f>
        <v/>
      </c>
      <c r="L148" s="8">
        <f>IF(H148="","",IF(H148="Automático",1,IF(H148="Manual",0.5,IF(H148="Não atualizado",0,""))))</f>
        <v/>
      </c>
      <c r="M148" s="8">
        <f>IF(I148="","",IF(I148="SIM",1,0))</f>
        <v/>
      </c>
      <c r="N148" s="8">
        <f>IF(J148="","",IF(J148="Conformidade",1,IF(J148="Não Conformidade",0,IF(J148="Não Conformidade Grave",-1,""))))</f>
        <v/>
      </c>
      <c r="O148" s="8">
        <f>IF(COUNTA(G148:J148)=0,"",ROUND(AVERAGE(K148:N148)*100,0))</f>
        <v/>
      </c>
      <c r="P148" s="8">
        <f>IFERROR(AVERAGEIF(C$2:C$201,C148,O$2:O$201),"N/A")</f>
        <v/>
      </c>
      <c r="Q148" s="8" t="n"/>
    </row>
    <row r="149" hidden="1" ht="15" customHeight="1" s="41">
      <c r="A149" s="8">
        <f>IF(B149="","",ROW()-1)</f>
        <v/>
      </c>
      <c r="B149" s="11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>
        <f>IF(G149="","",IF(G149="SIM",1,0))</f>
        <v/>
      </c>
      <c r="L149" s="8">
        <f>IF(H149="","",IF(H149="Automático",1,IF(H149="Manual",0.5,IF(H149="Não atualizado",0,""))))</f>
        <v/>
      </c>
      <c r="M149" s="8">
        <f>IF(I149="","",IF(I149="SIM",1,0))</f>
        <v/>
      </c>
      <c r="N149" s="8">
        <f>IF(J149="","",IF(J149="Conformidade",1,IF(J149="Não Conformidade",0,IF(J149="Não Conformidade Grave",-1,""))))</f>
        <v/>
      </c>
      <c r="O149" s="8">
        <f>IF(COUNTA(G149:J149)=0,"",ROUND(AVERAGE(K149:N149)*100,0))</f>
        <v/>
      </c>
      <c r="P149" s="8">
        <f>IFERROR(AVERAGEIF(C$2:C$201,C149,O$2:O$201),"N/A")</f>
        <v/>
      </c>
      <c r="Q149" s="8" t="n"/>
    </row>
    <row r="150" hidden="1" ht="15" customHeight="1" s="41">
      <c r="A150" s="8">
        <f>IF(B150="","",ROW()-1)</f>
        <v/>
      </c>
      <c r="B150" s="11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>
        <f>IF(G150="","",IF(G150="SIM",1,0))</f>
        <v/>
      </c>
      <c r="L150" s="8">
        <f>IF(H150="","",IF(H150="Automático",1,IF(H150="Manual",0.5,IF(H150="Não atualizado",0,""))))</f>
        <v/>
      </c>
      <c r="M150" s="8">
        <f>IF(I150="","",IF(I150="SIM",1,0))</f>
        <v/>
      </c>
      <c r="N150" s="8">
        <f>IF(J150="","",IF(J150="Conformidade",1,IF(J150="Não Conformidade",0,IF(J150="Não Conformidade Grave",-1,""))))</f>
        <v/>
      </c>
      <c r="O150" s="8">
        <f>IF(COUNTA(G150:J150)=0,"",ROUND(AVERAGE(K150:N150)*100,0))</f>
        <v/>
      </c>
      <c r="P150" s="8">
        <f>IFERROR(AVERAGEIF(C$2:C$201,C150,O$2:O$201),"N/A")</f>
        <v/>
      </c>
      <c r="Q150" s="8" t="n"/>
    </row>
    <row r="151" hidden="1" ht="15" customHeight="1" s="41">
      <c r="A151" s="8">
        <f>IF(B151="","",ROW()-1)</f>
        <v/>
      </c>
      <c r="B151" s="11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>
        <f>IF(G151="","",IF(G151="SIM",1,0))</f>
        <v/>
      </c>
      <c r="L151" s="8">
        <f>IF(H151="","",IF(H151="Automático",1,IF(H151="Manual",0.5,IF(H151="Não atualizado",0,""))))</f>
        <v/>
      </c>
      <c r="M151" s="8">
        <f>IF(I151="","",IF(I151="SIM",1,0))</f>
        <v/>
      </c>
      <c r="N151" s="8">
        <f>IF(J151="","",IF(J151="Conformidade",1,IF(J151="Não Conformidade",0,IF(J151="Não Conformidade Grave",-1,""))))</f>
        <v/>
      </c>
      <c r="O151" s="8">
        <f>IF(COUNTA(G151:J151)=0,"",ROUND(AVERAGE(K151:N151)*100,0))</f>
        <v/>
      </c>
      <c r="P151" s="8">
        <f>IFERROR(AVERAGEIF(C$2:C$201,C151,O$2:O$201),"N/A")</f>
        <v/>
      </c>
      <c r="Q151" s="8" t="n"/>
    </row>
    <row r="152" hidden="1" ht="15" customHeight="1" s="41">
      <c r="A152" s="8">
        <f>IF(B152="","",ROW()-1)</f>
        <v/>
      </c>
      <c r="B152" s="11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>
        <f>IF(G152="","",IF(G152="SIM",1,0))</f>
        <v/>
      </c>
      <c r="L152" s="8">
        <f>IF(H152="","",IF(H152="Automático",1,IF(H152="Manual",0.5,IF(H152="Não atualizado",0,""))))</f>
        <v/>
      </c>
      <c r="M152" s="8">
        <f>IF(I152="","",IF(I152="SIM",1,0))</f>
        <v/>
      </c>
      <c r="N152" s="8">
        <f>IF(J152="","",IF(J152="Conformidade",1,IF(J152="Não Conformidade",0,IF(J152="Não Conformidade Grave",-1,""))))</f>
        <v/>
      </c>
      <c r="O152" s="8">
        <f>IF(COUNTA(G152:J152)=0,"",ROUND(AVERAGE(K152:N152)*100,0))</f>
        <v/>
      </c>
      <c r="P152" s="8">
        <f>IFERROR(AVERAGEIF(C$2:C$201,C152,O$2:O$201),"N/A")</f>
        <v/>
      </c>
      <c r="Q152" s="8" t="n"/>
    </row>
    <row r="153" hidden="1" ht="15" customHeight="1" s="41">
      <c r="A153" s="8">
        <f>IF(B153="","",ROW()-1)</f>
        <v/>
      </c>
      <c r="B153" s="11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>
        <f>IF(G153="","",IF(G153="SIM",1,0))</f>
        <v/>
      </c>
      <c r="L153" s="8">
        <f>IF(H153="","",IF(H153="Automático",1,IF(H153="Manual",0.5,IF(H153="Não atualizado",0,""))))</f>
        <v/>
      </c>
      <c r="M153" s="8">
        <f>IF(I153="","",IF(I153="SIM",1,0))</f>
        <v/>
      </c>
      <c r="N153" s="8">
        <f>IF(J153="","",IF(J153="Conformidade",1,IF(J153="Não Conformidade",0,IF(J153="Não Conformidade Grave",-1,""))))</f>
        <v/>
      </c>
      <c r="O153" s="8">
        <f>IF(COUNTA(G153:J153)=0,"",ROUND(AVERAGE(K153:N153)*100,0))</f>
        <v/>
      </c>
      <c r="P153" s="8">
        <f>IFERROR(AVERAGEIF(C$2:C$201,C153,O$2:O$201),"N/A")</f>
        <v/>
      </c>
      <c r="Q153" s="8" t="n"/>
    </row>
    <row r="154" hidden="1" ht="15" customHeight="1" s="41">
      <c r="A154" s="8">
        <f>IF(B154="","",ROW()-1)</f>
        <v/>
      </c>
      <c r="B154" s="11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>
        <f>IF(G154="","",IF(G154="SIM",1,0))</f>
        <v/>
      </c>
      <c r="L154" s="8">
        <f>IF(H154="","",IF(H154="Automático",1,IF(H154="Manual",0.5,IF(H154="Não atualizado",0,""))))</f>
        <v/>
      </c>
      <c r="M154" s="8">
        <f>IF(I154="","",IF(I154="SIM",1,0))</f>
        <v/>
      </c>
      <c r="N154" s="8">
        <f>IF(J154="","",IF(J154="Conformidade",1,IF(J154="Não Conformidade",0,IF(J154="Não Conformidade Grave",-1,""))))</f>
        <v/>
      </c>
      <c r="O154" s="8">
        <f>IF(COUNTA(G154:J154)=0,"",ROUND(AVERAGE(K154:N154)*100,0))</f>
        <v/>
      </c>
      <c r="P154" s="8">
        <f>IFERROR(AVERAGEIF(C$2:C$201,C154,O$2:O$201),"N/A")</f>
        <v/>
      </c>
      <c r="Q154" s="8" t="n"/>
    </row>
    <row r="155" hidden="1" ht="15" customHeight="1" s="41">
      <c r="A155" s="8">
        <f>IF(B155="","",ROW()-1)</f>
        <v/>
      </c>
      <c r="B155" s="11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>
        <f>IF(G155="","",IF(G155="SIM",1,0))</f>
        <v/>
      </c>
      <c r="L155" s="8">
        <f>IF(H155="","",IF(H155="Automático",1,IF(H155="Manual",0.5,IF(H155="Não atualizado",0,""))))</f>
        <v/>
      </c>
      <c r="M155" s="8">
        <f>IF(I155="","",IF(I155="SIM",1,0))</f>
        <v/>
      </c>
      <c r="N155" s="8">
        <f>IF(J155="","",IF(J155="Conformidade",1,IF(J155="Não Conformidade",0,IF(J155="Não Conformidade Grave",-1,""))))</f>
        <v/>
      </c>
      <c r="O155" s="8">
        <f>IF(COUNTA(G155:J155)=0,"",ROUND(AVERAGE(K155:N155)*100,0))</f>
        <v/>
      </c>
      <c r="P155" s="8">
        <f>IFERROR(AVERAGEIF(C$2:C$201,C155,O$2:O$201),"N/A")</f>
        <v/>
      </c>
      <c r="Q155" s="8" t="n"/>
    </row>
    <row r="156" hidden="1" ht="15" customHeight="1" s="41">
      <c r="A156" s="8">
        <f>IF(B156="","",ROW()-1)</f>
        <v/>
      </c>
      <c r="B156" s="11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>
        <f>IF(G156="","",IF(G156="SIM",1,0))</f>
        <v/>
      </c>
      <c r="L156" s="8">
        <f>IF(H156="","",IF(H156="Automático",1,IF(H156="Manual",0.5,IF(H156="Não atualizado",0,""))))</f>
        <v/>
      </c>
      <c r="M156" s="8">
        <f>IF(I156="","",IF(I156="SIM",1,0))</f>
        <v/>
      </c>
      <c r="N156" s="8">
        <f>IF(J156="","",IF(J156="Conformidade",1,IF(J156="Não Conformidade",0,IF(J156="Não Conformidade Grave",-1,""))))</f>
        <v/>
      </c>
      <c r="O156" s="8">
        <f>IF(COUNTA(G156:J156)=0,"",ROUND(AVERAGE(K156:N156)*100,0))</f>
        <v/>
      </c>
      <c r="P156" s="8">
        <f>IFERROR(AVERAGEIF(C$2:C$201,C156,O$2:O$201),"N/A")</f>
        <v/>
      </c>
      <c r="Q156" s="8" t="n"/>
    </row>
    <row r="157" hidden="1" ht="15" customHeight="1" s="41">
      <c r="A157" s="8">
        <f>IF(B157="","",ROW()-1)</f>
        <v/>
      </c>
      <c r="B157" s="11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>
        <f>IF(G157="","",IF(G157="SIM",1,0))</f>
        <v/>
      </c>
      <c r="L157" s="8">
        <f>IF(H157="","",IF(H157="Automático",1,IF(H157="Manual",0.5,IF(H157="Não atualizado",0,""))))</f>
        <v/>
      </c>
      <c r="M157" s="8">
        <f>IF(I157="","",IF(I157="SIM",1,0))</f>
        <v/>
      </c>
      <c r="N157" s="8">
        <f>IF(J157="","",IF(J157="Conformidade",1,IF(J157="Não Conformidade",0,IF(J157="Não Conformidade Grave",-1,""))))</f>
        <v/>
      </c>
      <c r="O157" s="8">
        <f>IF(COUNTA(G157:J157)=0,"",ROUND(AVERAGE(K157:N157)*100,0))</f>
        <v/>
      </c>
      <c r="P157" s="8">
        <f>IFERROR(AVERAGEIF(C$2:C$201,C157,O$2:O$201),"N/A")</f>
        <v/>
      </c>
      <c r="Q157" s="8" t="n"/>
    </row>
    <row r="158" hidden="1" ht="15" customHeight="1" s="41">
      <c r="A158" s="8">
        <f>IF(B158="","",ROW()-1)</f>
        <v/>
      </c>
      <c r="B158" s="11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>
        <f>IF(G158="","",IF(G158="SIM",1,0))</f>
        <v/>
      </c>
      <c r="L158" s="8">
        <f>IF(H158="","",IF(H158="Automático",1,IF(H158="Manual",0.5,IF(H158="Não atualizado",0,""))))</f>
        <v/>
      </c>
      <c r="M158" s="8">
        <f>IF(I158="","",IF(I158="SIM",1,0))</f>
        <v/>
      </c>
      <c r="N158" s="8">
        <f>IF(J158="","",IF(J158="Conformidade",1,IF(J158="Não Conformidade",0,IF(J158="Não Conformidade Grave",-1,""))))</f>
        <v/>
      </c>
      <c r="O158" s="8">
        <f>IF(COUNTA(G158:J158)=0,"",ROUND(AVERAGE(K158:N158)*100,0))</f>
        <v/>
      </c>
      <c r="P158" s="8">
        <f>IFERROR(AVERAGEIF(C$2:C$201,C158,O$2:O$201),"N/A")</f>
        <v/>
      </c>
      <c r="Q158" s="8" t="n"/>
    </row>
    <row r="159" hidden="1" ht="15" customHeight="1" s="41">
      <c r="A159" s="8">
        <f>IF(B159="","",ROW()-1)</f>
        <v/>
      </c>
      <c r="B159" s="11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>
        <f>IF(G159="","",IF(G159="SIM",1,0))</f>
        <v/>
      </c>
      <c r="L159" s="8">
        <f>IF(H159="","",IF(H159="Automático",1,IF(H159="Manual",0.5,IF(H159="Não atualizado",0,""))))</f>
        <v/>
      </c>
      <c r="M159" s="8">
        <f>IF(I159="","",IF(I159="SIM",1,0))</f>
        <v/>
      </c>
      <c r="N159" s="8">
        <f>IF(J159="","",IF(J159="Conformidade",1,IF(J159="Não Conformidade",0,IF(J159="Não Conformidade Grave",-1,""))))</f>
        <v/>
      </c>
      <c r="O159" s="8">
        <f>IF(COUNTA(G159:J159)=0,"",ROUND(AVERAGE(K159:N159)*100,0))</f>
        <v/>
      </c>
      <c r="P159" s="8">
        <f>IFERROR(AVERAGEIF(C$2:C$201,C159,O$2:O$201),"N/A")</f>
        <v/>
      </c>
      <c r="Q159" s="8" t="n"/>
    </row>
    <row r="160" hidden="1" ht="15" customHeight="1" s="41">
      <c r="A160" s="8">
        <f>IF(B160="","",ROW()-1)</f>
        <v/>
      </c>
      <c r="B160" s="11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>
        <f>IF(G160="","",IF(G160="SIM",1,0))</f>
        <v/>
      </c>
      <c r="L160" s="8">
        <f>IF(H160="","",IF(H160="Automático",1,IF(H160="Manual",0.5,IF(H160="Não atualizado",0,""))))</f>
        <v/>
      </c>
      <c r="M160" s="8">
        <f>IF(I160="","",IF(I160="SIM",1,0))</f>
        <v/>
      </c>
      <c r="N160" s="8">
        <f>IF(J160="","",IF(J160="Conformidade",1,IF(J160="Não Conformidade",0,IF(J160="Não Conformidade Grave",-1,""))))</f>
        <v/>
      </c>
      <c r="O160" s="8">
        <f>IF(COUNTA(G160:J160)=0,"",ROUND(AVERAGE(K160:N160)*100,0))</f>
        <v/>
      </c>
      <c r="P160" s="8">
        <f>IFERROR(AVERAGEIF(C$2:C$201,C160,O$2:O$201),"N/A")</f>
        <v/>
      </c>
      <c r="Q160" s="8" t="n"/>
    </row>
    <row r="161" hidden="1" ht="15" customHeight="1" s="41">
      <c r="A161" s="8">
        <f>IF(B161="","",ROW()-1)</f>
        <v/>
      </c>
      <c r="B161" s="11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>
        <f>IF(G161="","",IF(G161="SIM",1,0))</f>
        <v/>
      </c>
      <c r="L161" s="8">
        <f>IF(H161="","",IF(H161="Automático",1,IF(H161="Manual",0.5,IF(H161="Não atualizado",0,""))))</f>
        <v/>
      </c>
      <c r="M161" s="8">
        <f>IF(I161="","",IF(I161="SIM",1,0))</f>
        <v/>
      </c>
      <c r="N161" s="8">
        <f>IF(J161="","",IF(J161="Conformidade",1,IF(J161="Não Conformidade",0,IF(J161="Não Conformidade Grave",-1,""))))</f>
        <v/>
      </c>
      <c r="O161" s="8">
        <f>IF(COUNTA(G161:J161)=0,"",ROUND(AVERAGE(K161:N161)*100,0))</f>
        <v/>
      </c>
      <c r="P161" s="8">
        <f>IFERROR(AVERAGEIF(C$2:C$201,C161,O$2:O$201),"N/A")</f>
        <v/>
      </c>
      <c r="Q161" s="8" t="n"/>
    </row>
    <row r="162" hidden="1" ht="15" customHeight="1" s="41">
      <c r="A162" s="8">
        <f>IF(B162="","",ROW()-1)</f>
        <v/>
      </c>
      <c r="B162" s="11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>
        <f>IF(G162="","",IF(G162="SIM",1,0))</f>
        <v/>
      </c>
      <c r="L162" s="8">
        <f>IF(H162="","",IF(H162="Automático",1,IF(H162="Manual",0.5,IF(H162="Não atualizado",0,""))))</f>
        <v/>
      </c>
      <c r="M162" s="8">
        <f>IF(I162="","",IF(I162="SIM",1,0))</f>
        <v/>
      </c>
      <c r="N162" s="8">
        <f>IF(J162="","",IF(J162="Conformidade",1,IF(J162="Não Conformidade",0,IF(J162="Não Conformidade Grave",-1,""))))</f>
        <v/>
      </c>
      <c r="O162" s="8">
        <f>IF(COUNTA(G162:J162)=0,"",ROUND(AVERAGE(K162:N162)*100,0))</f>
        <v/>
      </c>
      <c r="P162" s="8">
        <f>IFERROR(AVERAGEIF(C$2:C$201,C162,O$2:O$201),"N/A")</f>
        <v/>
      </c>
      <c r="Q162" s="8" t="n"/>
    </row>
    <row r="163" hidden="1" ht="15" customHeight="1" s="41">
      <c r="A163" s="8">
        <f>IF(B163="","",ROW()-1)</f>
        <v/>
      </c>
      <c r="B163" s="11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>
        <f>IF(G163="","",IF(G163="SIM",1,0))</f>
        <v/>
      </c>
      <c r="L163" s="8">
        <f>IF(H163="","",IF(H163="Automático",1,IF(H163="Manual",0.5,IF(H163="Não atualizado",0,""))))</f>
        <v/>
      </c>
      <c r="M163" s="8">
        <f>IF(I163="","",IF(I163="SIM",1,0))</f>
        <v/>
      </c>
      <c r="N163" s="8">
        <f>IF(J163="","",IF(J163="Conformidade",1,IF(J163="Não Conformidade",0,IF(J163="Não Conformidade Grave",-1,""))))</f>
        <v/>
      </c>
      <c r="O163" s="8">
        <f>IF(COUNTA(G163:J163)=0,"",ROUND(AVERAGE(K163:N163)*100,0))</f>
        <v/>
      </c>
      <c r="P163" s="8">
        <f>IFERROR(AVERAGEIF(C$2:C$201,C163,O$2:O$201),"N/A")</f>
        <v/>
      </c>
      <c r="Q163" s="8" t="n"/>
    </row>
    <row r="164" hidden="1" ht="15" customHeight="1" s="41">
      <c r="A164" s="8">
        <f>IF(B164="","",ROW()-1)</f>
        <v/>
      </c>
      <c r="B164" s="11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>
        <f>IF(G164="","",IF(G164="SIM",1,0))</f>
        <v/>
      </c>
      <c r="L164" s="8">
        <f>IF(H164="","",IF(H164="Automático",1,IF(H164="Manual",0.5,IF(H164="Não atualizado",0,""))))</f>
        <v/>
      </c>
      <c r="M164" s="8">
        <f>IF(I164="","",IF(I164="SIM",1,0))</f>
        <v/>
      </c>
      <c r="N164" s="8">
        <f>IF(J164="","",IF(J164="Conformidade",1,IF(J164="Não Conformidade",0,IF(J164="Não Conformidade Grave",-1,""))))</f>
        <v/>
      </c>
      <c r="O164" s="8">
        <f>IF(COUNTA(G164:J164)=0,"",ROUND(AVERAGE(K164:N164)*100,0))</f>
        <v/>
      </c>
      <c r="P164" s="8">
        <f>IFERROR(AVERAGEIF(C$2:C$201,C164,O$2:O$201),"N/A")</f>
        <v/>
      </c>
      <c r="Q164" s="8" t="n"/>
    </row>
    <row r="165" hidden="1" ht="15" customHeight="1" s="41">
      <c r="A165" s="8">
        <f>IF(B165="","",ROW()-1)</f>
        <v/>
      </c>
      <c r="B165" s="11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>
        <f>IF(G165="","",IF(G165="SIM",1,0))</f>
        <v/>
      </c>
      <c r="L165" s="8">
        <f>IF(H165="","",IF(H165="Automático",1,IF(H165="Manual",0.5,IF(H165="Não atualizado",0,""))))</f>
        <v/>
      </c>
      <c r="M165" s="8">
        <f>IF(I165="","",IF(I165="SIM",1,0))</f>
        <v/>
      </c>
      <c r="N165" s="8">
        <f>IF(J165="","",IF(J165="Conformidade",1,IF(J165="Não Conformidade",0,IF(J165="Não Conformidade Grave",-1,""))))</f>
        <v/>
      </c>
      <c r="O165" s="8">
        <f>IF(COUNTA(G165:J165)=0,"",ROUND(AVERAGE(K165:N165)*100,0))</f>
        <v/>
      </c>
      <c r="P165" s="8">
        <f>IFERROR(AVERAGEIF(C$2:C$201,C165,O$2:O$201),"N/A")</f>
        <v/>
      </c>
      <c r="Q165" s="8" t="n"/>
    </row>
    <row r="166" hidden="1" ht="15" customHeight="1" s="41">
      <c r="A166" s="8">
        <f>IF(B166="","",ROW()-1)</f>
        <v/>
      </c>
      <c r="B166" s="11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>
        <f>IF(G166="","",IF(G166="SIM",1,0))</f>
        <v/>
      </c>
      <c r="L166" s="8">
        <f>IF(H166="","",IF(H166="Automático",1,IF(H166="Manual",0.5,IF(H166="Não atualizado",0,""))))</f>
        <v/>
      </c>
      <c r="M166" s="8">
        <f>IF(I166="","",IF(I166="SIM",1,0))</f>
        <v/>
      </c>
      <c r="N166" s="8">
        <f>IF(J166="","",IF(J166="Conformidade",1,IF(J166="Não Conformidade",0,IF(J166="Não Conformidade Grave",-1,""))))</f>
        <v/>
      </c>
      <c r="O166" s="8">
        <f>IF(COUNTA(G166:J166)=0,"",ROUND(AVERAGE(K166:N166)*100,0))</f>
        <v/>
      </c>
      <c r="P166" s="8">
        <f>IFERROR(AVERAGEIF(C$2:C$201,C166,O$2:O$201),"N/A")</f>
        <v/>
      </c>
      <c r="Q166" s="8" t="n"/>
    </row>
    <row r="167" hidden="1" ht="15" customHeight="1" s="41">
      <c r="A167" s="8">
        <f>IF(B167="","",ROW()-1)</f>
        <v/>
      </c>
      <c r="B167" s="11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>
        <f>IF(G167="","",IF(G167="SIM",1,0))</f>
        <v/>
      </c>
      <c r="L167" s="8">
        <f>IF(H167="","",IF(H167="Automático",1,IF(H167="Manual",0.5,IF(H167="Não atualizado",0,""))))</f>
        <v/>
      </c>
      <c r="M167" s="8">
        <f>IF(I167="","",IF(I167="SIM",1,0))</f>
        <v/>
      </c>
      <c r="N167" s="8">
        <f>IF(J167="","",IF(J167="Conformidade",1,IF(J167="Não Conformidade",0,IF(J167="Não Conformidade Grave",-1,""))))</f>
        <v/>
      </c>
      <c r="O167" s="8">
        <f>IF(COUNTA(G167:J167)=0,"",ROUND(AVERAGE(K167:N167)*100,0))</f>
        <v/>
      </c>
      <c r="P167" s="8">
        <f>IFERROR(AVERAGEIF(C$2:C$201,C167,O$2:O$201),"N/A")</f>
        <v/>
      </c>
      <c r="Q167" s="8" t="n"/>
    </row>
    <row r="168" hidden="1" ht="15" customHeight="1" s="41">
      <c r="A168" s="8">
        <f>IF(B168="","",ROW()-1)</f>
        <v/>
      </c>
      <c r="B168" s="11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>
        <f>IF(G168="","",IF(G168="SIM",1,0))</f>
        <v/>
      </c>
      <c r="L168" s="8">
        <f>IF(H168="","",IF(H168="Automático",1,IF(H168="Manual",0.5,IF(H168="Não atualizado",0,""))))</f>
        <v/>
      </c>
      <c r="M168" s="8">
        <f>IF(I168="","",IF(I168="SIM",1,0))</f>
        <v/>
      </c>
      <c r="N168" s="8">
        <f>IF(J168="","",IF(J168="Conformidade",1,IF(J168="Não Conformidade",0,IF(J168="Não Conformidade Grave",-1,""))))</f>
        <v/>
      </c>
      <c r="O168" s="8">
        <f>IF(COUNTA(G168:J168)=0,"",ROUND(AVERAGE(K168:N168)*100,0))</f>
        <v/>
      </c>
      <c r="P168" s="8">
        <f>IFERROR(AVERAGEIF(C$2:C$201,C168,O$2:O$201),"N/A")</f>
        <v/>
      </c>
      <c r="Q168" s="8" t="n"/>
    </row>
    <row r="169" hidden="1" ht="15" customHeight="1" s="41">
      <c r="A169" s="8">
        <f>IF(B169="","",ROW()-1)</f>
        <v/>
      </c>
      <c r="B169" s="11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>
        <f>IF(G169="","",IF(G169="SIM",1,0))</f>
        <v/>
      </c>
      <c r="L169" s="8">
        <f>IF(H169="","",IF(H169="Automático",1,IF(H169="Manual",0.5,IF(H169="Não atualizado",0,""))))</f>
        <v/>
      </c>
      <c r="M169" s="8">
        <f>IF(I169="","",IF(I169="SIM",1,0))</f>
        <v/>
      </c>
      <c r="N169" s="8">
        <f>IF(J169="","",IF(J169="Conformidade",1,IF(J169="Não Conformidade",0,IF(J169="Não Conformidade Grave",-1,""))))</f>
        <v/>
      </c>
      <c r="O169" s="8">
        <f>IF(COUNTA(G169:J169)=0,"",ROUND(AVERAGE(K169:N169)*100,0))</f>
        <v/>
      </c>
      <c r="P169" s="8">
        <f>IFERROR(AVERAGEIF(C$2:C$201,C169,O$2:O$201),"N/A")</f>
        <v/>
      </c>
      <c r="Q169" s="8" t="n"/>
    </row>
    <row r="170" hidden="1" ht="15" customHeight="1" s="41">
      <c r="A170" s="8">
        <f>IF(B170="","",ROW()-1)</f>
        <v/>
      </c>
      <c r="B170" s="11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>
        <f>IF(G170="","",IF(G170="SIM",1,0))</f>
        <v/>
      </c>
      <c r="L170" s="8">
        <f>IF(H170="","",IF(H170="Automático",1,IF(H170="Manual",0.5,IF(H170="Não atualizado",0,""))))</f>
        <v/>
      </c>
      <c r="M170" s="8">
        <f>IF(I170="","",IF(I170="SIM",1,0))</f>
        <v/>
      </c>
      <c r="N170" s="8">
        <f>IF(J170="","",IF(J170="Conformidade",1,IF(J170="Não Conformidade",0,IF(J170="Não Conformidade Grave",-1,""))))</f>
        <v/>
      </c>
      <c r="O170" s="8">
        <f>IF(COUNTA(G170:J170)=0,"",ROUND(AVERAGE(K170:N170)*100,0))</f>
        <v/>
      </c>
      <c r="P170" s="8">
        <f>IFERROR(AVERAGEIF(C$2:C$201,C170,O$2:O$201),"N/A")</f>
        <v/>
      </c>
      <c r="Q170" s="8" t="n"/>
    </row>
    <row r="171" hidden="1" ht="15" customHeight="1" s="41">
      <c r="A171" s="8">
        <f>IF(B171="","",ROW()-1)</f>
        <v/>
      </c>
      <c r="B171" s="11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>
        <f>IF(G171="","",IF(G171="SIM",1,0))</f>
        <v/>
      </c>
      <c r="L171" s="8">
        <f>IF(H171="","",IF(H171="Automático",1,IF(H171="Manual",0.5,IF(H171="Não atualizado",0,""))))</f>
        <v/>
      </c>
      <c r="M171" s="8">
        <f>IF(I171="","",IF(I171="SIM",1,0))</f>
        <v/>
      </c>
      <c r="N171" s="8">
        <f>IF(J171="","",IF(J171="Conformidade",1,IF(J171="Não Conformidade",0,IF(J171="Não Conformidade Grave",-1,""))))</f>
        <v/>
      </c>
      <c r="O171" s="8">
        <f>IF(COUNTA(G171:J171)=0,"",ROUND(AVERAGE(K171:N171)*100,0))</f>
        <v/>
      </c>
      <c r="P171" s="8">
        <f>IFERROR(AVERAGEIF(C$2:C$201,C171,O$2:O$201),"N/A")</f>
        <v/>
      </c>
      <c r="Q171" s="8" t="n"/>
    </row>
    <row r="172" hidden="1" ht="15" customHeight="1" s="41">
      <c r="A172" s="8">
        <f>IF(B172="","",ROW()-1)</f>
        <v/>
      </c>
      <c r="B172" s="11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>
        <f>IF(G172="","",IF(G172="SIM",1,0))</f>
        <v/>
      </c>
      <c r="L172" s="8">
        <f>IF(H172="","",IF(H172="Automático",1,IF(H172="Manual",0.5,IF(H172="Não atualizado",0,""))))</f>
        <v/>
      </c>
      <c r="M172" s="8">
        <f>IF(I172="","",IF(I172="SIM",1,0))</f>
        <v/>
      </c>
      <c r="N172" s="8">
        <f>IF(J172="","",IF(J172="Conformidade",1,IF(J172="Não Conformidade",0,IF(J172="Não Conformidade Grave",-1,""))))</f>
        <v/>
      </c>
      <c r="O172" s="8">
        <f>IF(COUNTA(G172:J172)=0,"",ROUND(AVERAGE(K172:N172)*100,0))</f>
        <v/>
      </c>
      <c r="P172" s="8">
        <f>IFERROR(AVERAGEIF(C$2:C$201,C172,O$2:O$201),"N/A")</f>
        <v/>
      </c>
      <c r="Q172" s="8" t="n"/>
    </row>
    <row r="173" hidden="1" ht="15" customHeight="1" s="41">
      <c r="A173" s="8">
        <f>IF(B173="","",ROW()-1)</f>
        <v/>
      </c>
      <c r="B173" s="11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>
        <f>IF(G173="","",IF(G173="SIM",1,0))</f>
        <v/>
      </c>
      <c r="L173" s="8">
        <f>IF(H173="","",IF(H173="Automático",1,IF(H173="Manual",0.5,IF(H173="Não atualizado",0,""))))</f>
        <v/>
      </c>
      <c r="M173" s="8">
        <f>IF(I173="","",IF(I173="SIM",1,0))</f>
        <v/>
      </c>
      <c r="N173" s="8">
        <f>IF(J173="","",IF(J173="Conformidade",1,IF(J173="Não Conformidade",0,IF(J173="Não Conformidade Grave",-1,""))))</f>
        <v/>
      </c>
      <c r="O173" s="8">
        <f>IF(COUNTA(G173:J173)=0,"",ROUND(AVERAGE(K173:N173)*100,0))</f>
        <v/>
      </c>
      <c r="P173" s="8">
        <f>IFERROR(AVERAGEIF(C$2:C$201,C173,O$2:O$201),"N/A")</f>
        <v/>
      </c>
      <c r="Q173" s="8" t="n"/>
    </row>
    <row r="174" hidden="1" ht="15" customHeight="1" s="41">
      <c r="A174" s="8">
        <f>IF(B174="","",ROW()-1)</f>
        <v/>
      </c>
      <c r="B174" s="11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>
        <f>IF(G174="","",IF(G174="SIM",1,0))</f>
        <v/>
      </c>
      <c r="L174" s="8">
        <f>IF(H174="","",IF(H174="Automático",1,IF(H174="Manual",0.5,IF(H174="Não atualizado",0,""))))</f>
        <v/>
      </c>
      <c r="M174" s="8">
        <f>IF(I174="","",IF(I174="SIM",1,0))</f>
        <v/>
      </c>
      <c r="N174" s="8">
        <f>IF(J174="","",IF(J174="Conformidade",1,IF(J174="Não Conformidade",0,IF(J174="Não Conformidade Grave",-1,""))))</f>
        <v/>
      </c>
      <c r="O174" s="8">
        <f>IF(COUNTA(G174:J174)=0,"",ROUND(AVERAGE(K174:N174)*100,0))</f>
        <v/>
      </c>
      <c r="P174" s="8">
        <f>IFERROR(AVERAGEIF(C$2:C$201,C174,O$2:O$201),"N/A")</f>
        <v/>
      </c>
      <c r="Q174" s="8" t="n"/>
    </row>
    <row r="175" hidden="1" ht="15" customHeight="1" s="41">
      <c r="A175" s="8">
        <f>IF(B175="","",ROW()-1)</f>
        <v/>
      </c>
      <c r="B175" s="11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>
        <f>IF(G175="","",IF(G175="SIM",1,0))</f>
        <v/>
      </c>
      <c r="L175" s="8">
        <f>IF(H175="","",IF(H175="Automático",1,IF(H175="Manual",0.5,IF(H175="Não atualizado",0,""))))</f>
        <v/>
      </c>
      <c r="M175" s="8">
        <f>IF(I175="","",IF(I175="SIM",1,0))</f>
        <v/>
      </c>
      <c r="N175" s="8">
        <f>IF(J175="","",IF(J175="Conformidade",1,IF(J175="Não Conformidade",0,IF(J175="Não Conformidade Grave",-1,""))))</f>
        <v/>
      </c>
      <c r="O175" s="8">
        <f>IF(COUNTA(G175:J175)=0,"",ROUND(AVERAGE(K175:N175)*100,0))</f>
        <v/>
      </c>
      <c r="P175" s="8">
        <f>IFERROR(AVERAGEIF(C$2:C$201,C175,O$2:O$201),"N/A")</f>
        <v/>
      </c>
      <c r="Q175" s="8" t="n"/>
    </row>
    <row r="176" hidden="1" ht="15" customHeight="1" s="41">
      <c r="A176" s="8">
        <f>IF(B176="","",ROW()-1)</f>
        <v/>
      </c>
      <c r="B176" s="11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>
        <f>IF(G176="","",IF(G176="SIM",1,0))</f>
        <v/>
      </c>
      <c r="L176" s="8">
        <f>IF(H176="","",IF(H176="Automático",1,IF(H176="Manual",0.5,IF(H176="Não atualizado",0,""))))</f>
        <v/>
      </c>
      <c r="M176" s="8">
        <f>IF(I176="","",IF(I176="SIM",1,0))</f>
        <v/>
      </c>
      <c r="N176" s="8">
        <f>IF(J176="","",IF(J176="Conformidade",1,IF(J176="Não Conformidade",0,IF(J176="Não Conformidade Grave",-1,""))))</f>
        <v/>
      </c>
      <c r="O176" s="8">
        <f>IF(COUNTA(G176:J176)=0,"",ROUND(AVERAGE(K176:N176)*100,0))</f>
        <v/>
      </c>
      <c r="P176" s="8">
        <f>IFERROR(AVERAGEIF(C$2:C$201,C176,O$2:O$201),"N/A")</f>
        <v/>
      </c>
      <c r="Q176" s="8" t="n"/>
    </row>
    <row r="177" hidden="1" ht="15" customHeight="1" s="41">
      <c r="A177" s="8">
        <f>IF(B177="","",ROW()-1)</f>
        <v/>
      </c>
      <c r="B177" s="11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>
        <f>IF(G177="","",IF(G177="SIM",1,0))</f>
        <v/>
      </c>
      <c r="L177" s="8">
        <f>IF(H177="","",IF(H177="Automático",1,IF(H177="Manual",0.5,IF(H177="Não atualizado",0,""))))</f>
        <v/>
      </c>
      <c r="M177" s="8">
        <f>IF(I177="","",IF(I177="SIM",1,0))</f>
        <v/>
      </c>
      <c r="N177" s="8">
        <f>IF(J177="","",IF(J177="Conformidade",1,IF(J177="Não Conformidade",0,IF(J177="Não Conformidade Grave",-1,""))))</f>
        <v/>
      </c>
      <c r="O177" s="8">
        <f>IF(COUNTA(G177:J177)=0,"",ROUND(AVERAGE(K177:N177)*100,0))</f>
        <v/>
      </c>
      <c r="P177" s="8">
        <f>IFERROR(AVERAGEIF(C$2:C$201,C177,O$2:O$201),"N/A")</f>
        <v/>
      </c>
      <c r="Q177" s="8" t="n"/>
    </row>
    <row r="178" hidden="1" ht="15" customHeight="1" s="41">
      <c r="A178" s="8">
        <f>IF(B178="","",ROW()-1)</f>
        <v/>
      </c>
      <c r="B178" s="11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>
        <f>IF(G178="","",IF(G178="SIM",1,0))</f>
        <v/>
      </c>
      <c r="L178" s="8">
        <f>IF(H178="","",IF(H178="Automático",1,IF(H178="Manual",0.5,IF(H178="Não atualizado",0,""))))</f>
        <v/>
      </c>
      <c r="M178" s="8">
        <f>IF(I178="","",IF(I178="SIM",1,0))</f>
        <v/>
      </c>
      <c r="N178" s="8">
        <f>IF(J178="","",IF(J178="Conformidade",1,IF(J178="Não Conformidade",0,IF(J178="Não Conformidade Grave",-1,""))))</f>
        <v/>
      </c>
      <c r="O178" s="8">
        <f>IF(COUNTA(G178:J178)=0,"",ROUND(AVERAGE(K178:N178)*100,0))</f>
        <v/>
      </c>
      <c r="P178" s="8">
        <f>IFERROR(AVERAGEIF(C$2:C$201,C178,O$2:O$201),"N/A")</f>
        <v/>
      </c>
      <c r="Q178" s="8" t="n"/>
    </row>
    <row r="179" hidden="1" ht="15" customHeight="1" s="41">
      <c r="A179" s="8">
        <f>IF(B179="","",ROW()-1)</f>
        <v/>
      </c>
      <c r="B179" s="11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>
        <f>IF(G179="","",IF(G179="SIM",1,0))</f>
        <v/>
      </c>
      <c r="L179" s="8">
        <f>IF(H179="","",IF(H179="Automático",1,IF(H179="Manual",0.5,IF(H179="Não atualizado",0,""))))</f>
        <v/>
      </c>
      <c r="M179" s="8">
        <f>IF(I179="","",IF(I179="SIM",1,0))</f>
        <v/>
      </c>
      <c r="N179" s="8">
        <f>IF(J179="","",IF(J179="Conformidade",1,IF(J179="Não Conformidade",0,IF(J179="Não Conformidade Grave",-1,""))))</f>
        <v/>
      </c>
      <c r="O179" s="8">
        <f>IF(COUNTA(G179:J179)=0,"",ROUND(AVERAGE(K179:N179)*100,0))</f>
        <v/>
      </c>
      <c r="P179" s="8">
        <f>IFERROR(AVERAGEIF(C$2:C$201,C179,O$2:O$201),"N/A")</f>
        <v/>
      </c>
      <c r="Q179" s="8" t="n"/>
    </row>
    <row r="180" hidden="1" ht="15" customHeight="1" s="41">
      <c r="A180" s="8">
        <f>IF(B180="","",ROW()-1)</f>
        <v/>
      </c>
      <c r="B180" s="11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>
        <f>IF(G180="","",IF(G180="SIM",1,0))</f>
        <v/>
      </c>
      <c r="L180" s="8">
        <f>IF(H180="","",IF(H180="Automático",1,IF(H180="Manual",0.5,IF(H180="Não atualizado",0,""))))</f>
        <v/>
      </c>
      <c r="M180" s="8">
        <f>IF(I180="","",IF(I180="SIM",1,0))</f>
        <v/>
      </c>
      <c r="N180" s="8">
        <f>IF(J180="","",IF(J180="Conformidade",1,IF(J180="Não Conformidade",0,IF(J180="Não Conformidade Grave",-1,""))))</f>
        <v/>
      </c>
      <c r="O180" s="8">
        <f>IF(COUNTA(G180:J180)=0,"",ROUND(AVERAGE(K180:N180)*100,0))</f>
        <v/>
      </c>
      <c r="P180" s="8">
        <f>IFERROR(AVERAGEIF(C$2:C$201,C180,O$2:O$201),"N/A")</f>
        <v/>
      </c>
      <c r="Q180" s="8" t="n"/>
    </row>
    <row r="181" hidden="1" ht="15" customHeight="1" s="41">
      <c r="A181" s="8">
        <f>IF(B181="","",ROW()-1)</f>
        <v/>
      </c>
      <c r="B181" s="11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>
        <f>IF(G181="","",IF(G181="SIM",1,0))</f>
        <v/>
      </c>
      <c r="L181" s="8">
        <f>IF(H181="","",IF(H181="Automático",1,IF(H181="Manual",0.5,IF(H181="Não atualizado",0,""))))</f>
        <v/>
      </c>
      <c r="M181" s="8">
        <f>IF(I181="","",IF(I181="SIM",1,0))</f>
        <v/>
      </c>
      <c r="N181" s="8">
        <f>IF(J181="","",IF(J181="Conformidade",1,IF(J181="Não Conformidade",0,IF(J181="Não Conformidade Grave",-1,""))))</f>
        <v/>
      </c>
      <c r="O181" s="8">
        <f>IF(COUNTA(G181:J181)=0,"",ROUND(AVERAGE(K181:N181)*100,0))</f>
        <v/>
      </c>
      <c r="P181" s="8">
        <f>IFERROR(AVERAGEIF(C$2:C$201,C181,O$2:O$201),"N/A")</f>
        <v/>
      </c>
      <c r="Q181" s="8" t="n"/>
    </row>
    <row r="182" hidden="1" ht="15" customHeight="1" s="41">
      <c r="A182" s="8">
        <f>IF(B182="","",ROW()-1)</f>
        <v/>
      </c>
      <c r="B182" s="11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>
        <f>IF(G182="","",IF(G182="SIM",1,0))</f>
        <v/>
      </c>
      <c r="L182" s="8">
        <f>IF(H182="","",IF(H182="Automático",1,IF(H182="Manual",0.5,IF(H182="Não atualizado",0,""))))</f>
        <v/>
      </c>
      <c r="M182" s="8">
        <f>IF(I182="","",IF(I182="SIM",1,0))</f>
        <v/>
      </c>
      <c r="N182" s="8">
        <f>IF(J182="","",IF(J182="Conformidade",1,IF(J182="Não Conformidade",0,IF(J182="Não Conformidade Grave",-1,""))))</f>
        <v/>
      </c>
      <c r="O182" s="8">
        <f>IF(COUNTA(G182:J182)=0,"",ROUND(AVERAGE(K182:N182)*100,0))</f>
        <v/>
      </c>
      <c r="P182" s="8">
        <f>IFERROR(AVERAGEIF(C$2:C$201,C182,O$2:O$201),"N/A")</f>
        <v/>
      </c>
      <c r="Q182" s="8" t="n"/>
    </row>
    <row r="183" hidden="1" ht="15" customHeight="1" s="41">
      <c r="A183" s="8">
        <f>IF(B183="","",ROW()-1)</f>
        <v/>
      </c>
      <c r="B183" s="11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>
        <f>IF(G183="","",IF(G183="SIM",1,0))</f>
        <v/>
      </c>
      <c r="L183" s="8">
        <f>IF(H183="","",IF(H183="Automático",1,IF(H183="Manual",0.5,IF(H183="Não atualizado",0,""))))</f>
        <v/>
      </c>
      <c r="M183" s="8">
        <f>IF(I183="","",IF(I183="SIM",1,0))</f>
        <v/>
      </c>
      <c r="N183" s="8">
        <f>IF(J183="","",IF(J183="Conformidade",1,IF(J183="Não Conformidade",0,IF(J183="Não Conformidade Grave",-1,""))))</f>
        <v/>
      </c>
      <c r="O183" s="8">
        <f>IF(COUNTA(G183:J183)=0,"",ROUND(AVERAGE(K183:N183)*100,0))</f>
        <v/>
      </c>
      <c r="P183" s="8">
        <f>IFERROR(AVERAGEIF(C$2:C$201,C183,O$2:O$201),"N/A")</f>
        <v/>
      </c>
      <c r="Q183" s="8" t="n"/>
    </row>
    <row r="184" hidden="1" ht="15" customHeight="1" s="41">
      <c r="A184" s="8">
        <f>IF(B184="","",ROW()-1)</f>
        <v/>
      </c>
      <c r="B184" s="11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>
        <f>IF(G184="","",IF(G184="SIM",1,0))</f>
        <v/>
      </c>
      <c r="L184" s="8">
        <f>IF(H184="","",IF(H184="Automático",1,IF(H184="Manual",0.5,IF(H184="Não atualizado",0,""))))</f>
        <v/>
      </c>
      <c r="M184" s="8">
        <f>IF(I184="","",IF(I184="SIM",1,0))</f>
        <v/>
      </c>
      <c r="N184" s="8">
        <f>IF(J184="","",IF(J184="Conformidade",1,IF(J184="Não Conformidade",0,IF(J184="Não Conformidade Grave",-1,""))))</f>
        <v/>
      </c>
      <c r="O184" s="8">
        <f>IF(COUNTA(G184:J184)=0,"",ROUND(AVERAGE(K184:N184)*100,0))</f>
        <v/>
      </c>
      <c r="P184" s="8">
        <f>IFERROR(AVERAGEIF(C$2:C$201,C184,O$2:O$201),"N/A")</f>
        <v/>
      </c>
      <c r="Q184" s="8" t="n"/>
    </row>
    <row r="185" hidden="1" ht="15" customHeight="1" s="41">
      <c r="A185" s="8">
        <f>IF(B185="","",ROW()-1)</f>
        <v/>
      </c>
      <c r="B185" s="11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>
        <f>IF(G185="","",IF(G185="SIM",1,0))</f>
        <v/>
      </c>
      <c r="L185" s="8">
        <f>IF(H185="","",IF(H185="Automático",1,IF(H185="Manual",0.5,IF(H185="Não atualizado",0,""))))</f>
        <v/>
      </c>
      <c r="M185" s="8">
        <f>IF(I185="","",IF(I185="SIM",1,0))</f>
        <v/>
      </c>
      <c r="N185" s="8">
        <f>IF(J185="","",IF(J185="Conformidade",1,IF(J185="Não Conformidade",0,IF(J185="Não Conformidade Grave",-1,""))))</f>
        <v/>
      </c>
      <c r="O185" s="8">
        <f>IF(COUNTA(G185:J185)=0,"",ROUND(AVERAGE(K185:N185)*100,0))</f>
        <v/>
      </c>
      <c r="P185" s="8">
        <f>IFERROR(AVERAGEIF(C$2:C$201,C185,O$2:O$201),"N/A")</f>
        <v/>
      </c>
      <c r="Q185" s="8" t="n"/>
    </row>
    <row r="186" hidden="1" ht="15" customHeight="1" s="41">
      <c r="A186" s="8">
        <f>IF(B186="","",ROW()-1)</f>
        <v/>
      </c>
      <c r="B186" s="11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>
        <f>IF(G186="","",IF(G186="SIM",1,0))</f>
        <v/>
      </c>
      <c r="L186" s="8">
        <f>IF(H186="","",IF(H186="Automático",1,IF(H186="Manual",0.5,IF(H186="Não atualizado",0,""))))</f>
        <v/>
      </c>
      <c r="M186" s="8">
        <f>IF(I186="","",IF(I186="SIM",1,0))</f>
        <v/>
      </c>
      <c r="N186" s="8">
        <f>IF(J186="","",IF(J186="Conformidade",1,IF(J186="Não Conformidade",0,IF(J186="Não Conformidade Grave",-1,""))))</f>
        <v/>
      </c>
      <c r="O186" s="8">
        <f>IF(COUNTA(G186:J186)=0,"",ROUND(AVERAGE(K186:N186)*100,0))</f>
        <v/>
      </c>
      <c r="P186" s="8">
        <f>IFERROR(AVERAGEIF(C$2:C$201,C186,O$2:O$201),"N/A")</f>
        <v/>
      </c>
      <c r="Q186" s="8" t="n"/>
    </row>
    <row r="187" hidden="1" ht="15" customHeight="1" s="41">
      <c r="A187" s="8">
        <f>IF(B187="","",ROW()-1)</f>
        <v/>
      </c>
      <c r="B187" s="11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>
        <f>IF(G187="","",IF(G187="SIM",1,0))</f>
        <v/>
      </c>
      <c r="L187" s="8">
        <f>IF(H187="","",IF(H187="Automático",1,IF(H187="Manual",0.5,IF(H187="Não atualizado",0,""))))</f>
        <v/>
      </c>
      <c r="M187" s="8">
        <f>IF(I187="","",IF(I187="SIM",1,0))</f>
        <v/>
      </c>
      <c r="N187" s="8">
        <f>IF(J187="","",IF(J187="Conformidade",1,IF(J187="Não Conformidade",0,IF(J187="Não Conformidade Grave",-1,""))))</f>
        <v/>
      </c>
      <c r="O187" s="8">
        <f>IF(COUNTA(G187:J187)=0,"",ROUND(AVERAGE(K187:N187)*100,0))</f>
        <v/>
      </c>
      <c r="P187" s="8">
        <f>IFERROR(AVERAGEIF(C$2:C$201,C187,O$2:O$201),"N/A")</f>
        <v/>
      </c>
      <c r="Q187" s="8" t="n"/>
    </row>
    <row r="188" hidden="1" ht="15" customHeight="1" s="41">
      <c r="A188" s="8">
        <f>IF(B188="","",ROW()-1)</f>
        <v/>
      </c>
      <c r="B188" s="11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>
        <f>IF(G188="","",IF(G188="SIM",1,0))</f>
        <v/>
      </c>
      <c r="L188" s="8">
        <f>IF(H188="","",IF(H188="Automático",1,IF(H188="Manual",0.5,IF(H188="Não atualizado",0,""))))</f>
        <v/>
      </c>
      <c r="M188" s="8">
        <f>IF(I188="","",IF(I188="SIM",1,0))</f>
        <v/>
      </c>
      <c r="N188" s="8">
        <f>IF(J188="","",IF(J188="Conformidade",1,IF(J188="Não Conformidade",0,IF(J188="Não Conformidade Grave",-1,""))))</f>
        <v/>
      </c>
      <c r="O188" s="8">
        <f>IF(COUNTA(G188:J188)=0,"",ROUND(AVERAGE(K188:N188)*100,0))</f>
        <v/>
      </c>
      <c r="P188" s="8">
        <f>IFERROR(AVERAGEIF(C$2:C$201,C188,O$2:O$201),"N/A")</f>
        <v/>
      </c>
      <c r="Q188" s="8" t="n"/>
    </row>
    <row r="189" hidden="1" ht="15" customHeight="1" s="41">
      <c r="A189" s="8">
        <f>IF(B189="","",ROW()-1)</f>
        <v/>
      </c>
      <c r="B189" s="11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>
        <f>IF(G189="","",IF(G189="SIM",1,0))</f>
        <v/>
      </c>
      <c r="L189" s="8">
        <f>IF(H189="","",IF(H189="Automático",1,IF(H189="Manual",0.5,IF(H189="Não atualizado",0,""))))</f>
        <v/>
      </c>
      <c r="M189" s="8">
        <f>IF(I189="","",IF(I189="SIM",1,0))</f>
        <v/>
      </c>
      <c r="N189" s="8">
        <f>IF(J189="","",IF(J189="Conformidade",1,IF(J189="Não Conformidade",0,IF(J189="Não Conformidade Grave",-1,""))))</f>
        <v/>
      </c>
      <c r="O189" s="8">
        <f>IF(COUNTA(G189:J189)=0,"",ROUND(AVERAGE(K189:N189)*100,0))</f>
        <v/>
      </c>
      <c r="P189" s="8">
        <f>IFERROR(AVERAGEIF(C$2:C$201,C189,O$2:O$201),"N/A")</f>
        <v/>
      </c>
      <c r="Q189" s="8" t="n"/>
    </row>
    <row r="190" hidden="1" ht="15" customHeight="1" s="41">
      <c r="A190" s="8">
        <f>IF(B190="","",ROW()-1)</f>
        <v/>
      </c>
      <c r="B190" s="11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>
        <f>IF(G190="","",IF(G190="SIM",1,0))</f>
        <v/>
      </c>
      <c r="L190" s="8">
        <f>IF(H190="","",IF(H190="Automático",1,IF(H190="Manual",0.5,IF(H190="Não atualizado",0,""))))</f>
        <v/>
      </c>
      <c r="M190" s="8">
        <f>IF(I190="","",IF(I190="SIM",1,0))</f>
        <v/>
      </c>
      <c r="N190" s="8">
        <f>IF(J190="","",IF(J190="Conformidade",1,IF(J190="Não Conformidade",0,IF(J190="Não Conformidade Grave",-1,""))))</f>
        <v/>
      </c>
      <c r="O190" s="8">
        <f>IF(COUNTA(G190:J190)=0,"",ROUND(AVERAGE(K190:N190)*100,0))</f>
        <v/>
      </c>
      <c r="P190" s="8">
        <f>IFERROR(AVERAGEIF(C$2:C$201,C190,O$2:O$201),"N/A")</f>
        <v/>
      </c>
      <c r="Q190" s="8" t="n"/>
    </row>
    <row r="191" hidden="1" ht="15" customHeight="1" s="41">
      <c r="A191" s="8">
        <f>IF(B191="","",ROW()-1)</f>
        <v/>
      </c>
      <c r="B191" s="11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>
        <f>IF(G191="","",IF(G191="SIM",1,0))</f>
        <v/>
      </c>
      <c r="L191" s="8">
        <f>IF(H191="","",IF(H191="Automático",1,IF(H191="Manual",0.5,IF(H191="Não atualizado",0,""))))</f>
        <v/>
      </c>
      <c r="M191" s="8">
        <f>IF(I191="","",IF(I191="SIM",1,0))</f>
        <v/>
      </c>
      <c r="N191" s="8">
        <f>IF(J191="","",IF(J191="Conformidade",1,IF(J191="Não Conformidade",0,IF(J191="Não Conformidade Grave",-1,""))))</f>
        <v/>
      </c>
      <c r="O191" s="8">
        <f>IF(COUNTA(G191:J191)=0,"",ROUND(AVERAGE(K191:N191)*100,0))</f>
        <v/>
      </c>
      <c r="P191" s="8">
        <f>IFERROR(AVERAGEIF(C$2:C$201,C191,O$2:O$201),"N/A")</f>
        <v/>
      </c>
      <c r="Q191" s="8" t="n"/>
    </row>
    <row r="192" hidden="1" ht="15" customHeight="1" s="41">
      <c r="A192" s="8">
        <f>IF(B192="","",ROW()-1)</f>
        <v/>
      </c>
      <c r="B192" s="11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>
        <f>IF(G192="","",IF(G192="SIM",1,0))</f>
        <v/>
      </c>
      <c r="L192" s="8">
        <f>IF(H192="","",IF(H192="Automático",1,IF(H192="Manual",0.5,IF(H192="Não atualizado",0,""))))</f>
        <v/>
      </c>
      <c r="M192" s="8">
        <f>IF(I192="","",IF(I192="SIM",1,0))</f>
        <v/>
      </c>
      <c r="N192" s="8">
        <f>IF(J192="","",IF(J192="Conformidade",1,IF(J192="Não Conformidade",0,IF(J192="Não Conformidade Grave",-1,""))))</f>
        <v/>
      </c>
      <c r="O192" s="8">
        <f>IF(COUNTA(G192:J192)=0,"",ROUND(AVERAGE(K192:N192)*100,0))</f>
        <v/>
      </c>
      <c r="P192" s="8">
        <f>IFERROR(AVERAGEIF(C$2:C$201,C192,O$2:O$201),"N/A")</f>
        <v/>
      </c>
      <c r="Q192" s="8" t="n"/>
    </row>
    <row r="193" hidden="1" ht="15" customHeight="1" s="41">
      <c r="A193" s="8">
        <f>IF(B193="","",ROW()-1)</f>
        <v/>
      </c>
      <c r="B193" s="11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>
        <f>IF(G193="","",IF(G193="SIM",1,0))</f>
        <v/>
      </c>
      <c r="L193" s="8">
        <f>IF(H193="","",IF(H193="Automático",1,IF(H193="Manual",0.5,IF(H193="Não atualizado",0,""))))</f>
        <v/>
      </c>
      <c r="M193" s="8">
        <f>IF(I193="","",IF(I193="SIM",1,0))</f>
        <v/>
      </c>
      <c r="N193" s="8">
        <f>IF(J193="","",IF(J193="Conformidade",1,IF(J193="Não Conformidade",0,IF(J193="Não Conformidade Grave",-1,""))))</f>
        <v/>
      </c>
      <c r="O193" s="8">
        <f>IF(COUNTA(G193:J193)=0,"",ROUND(AVERAGE(K193:N193)*100,0))</f>
        <v/>
      </c>
      <c r="P193" s="8">
        <f>IFERROR(AVERAGEIF(C$2:C$201,C193,O$2:O$201),"N/A")</f>
        <v/>
      </c>
      <c r="Q193" s="8" t="n"/>
    </row>
    <row r="194" hidden="1" ht="15" customHeight="1" s="41">
      <c r="A194" s="8">
        <f>IF(B194="","",ROW()-1)</f>
        <v/>
      </c>
      <c r="B194" s="11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>
        <f>IF(G194="","",IF(G194="SIM",1,0))</f>
        <v/>
      </c>
      <c r="L194" s="8">
        <f>IF(H194="","",IF(H194="Automático",1,IF(H194="Manual",0.5,IF(H194="Não atualizado",0,""))))</f>
        <v/>
      </c>
      <c r="M194" s="8">
        <f>IF(I194="","",IF(I194="SIM",1,0))</f>
        <v/>
      </c>
      <c r="N194" s="8">
        <f>IF(J194="","",IF(J194="Conformidade",1,IF(J194="Não Conformidade",0,IF(J194="Não Conformidade Grave",-1,""))))</f>
        <v/>
      </c>
      <c r="O194" s="8">
        <f>IF(COUNTA(G194:J194)=0,"",ROUND(AVERAGE(K194:N194)*100,0))</f>
        <v/>
      </c>
      <c r="P194" s="8">
        <f>IFERROR(AVERAGEIF(C$2:C$201,C194,O$2:O$201),"N/A")</f>
        <v/>
      </c>
      <c r="Q194" s="8" t="n"/>
    </row>
    <row r="195" hidden="1" ht="15" customHeight="1" s="41">
      <c r="A195" s="8">
        <f>IF(B195="","",ROW()-1)</f>
        <v/>
      </c>
      <c r="B195" s="11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>
        <f>IF(G195="","",IF(G195="SIM",1,0))</f>
        <v/>
      </c>
      <c r="L195" s="8">
        <f>IF(H195="","",IF(H195="Automático",1,IF(H195="Manual",0.5,IF(H195="Não atualizado",0,""))))</f>
        <v/>
      </c>
      <c r="M195" s="8">
        <f>IF(I195="","",IF(I195="SIM",1,0))</f>
        <v/>
      </c>
      <c r="N195" s="8">
        <f>IF(J195="","",IF(J195="Conformidade",1,IF(J195="Não Conformidade",0,IF(J195="Não Conformidade Grave",-1,""))))</f>
        <v/>
      </c>
      <c r="O195" s="8">
        <f>IF(COUNTA(G195:J195)=0,"",ROUND(AVERAGE(K195:N195)*100,0))</f>
        <v/>
      </c>
      <c r="P195" s="8">
        <f>IFERROR(AVERAGEIF(C$2:C$201,C195,O$2:O$201),"N/A")</f>
        <v/>
      </c>
      <c r="Q195" s="8" t="n"/>
    </row>
    <row r="196" hidden="1" ht="15" customHeight="1" s="41">
      <c r="A196" s="8">
        <f>IF(B196="","",ROW()-1)</f>
        <v/>
      </c>
      <c r="B196" s="11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>
        <f>IF(G196="","",IF(G196="SIM",1,0))</f>
        <v/>
      </c>
      <c r="L196" s="8">
        <f>IF(H196="","",IF(H196="Automático",1,IF(H196="Manual",0.5,IF(H196="Não atualizado",0,""))))</f>
        <v/>
      </c>
      <c r="M196" s="8">
        <f>IF(I196="","",IF(I196="SIM",1,0))</f>
        <v/>
      </c>
      <c r="N196" s="8">
        <f>IF(J196="","",IF(J196="Conformidade",1,IF(J196="Não Conformidade",0,IF(J196="Não Conformidade Grave",-1,""))))</f>
        <v/>
      </c>
      <c r="O196" s="8">
        <f>IF(COUNTA(G196:J196)=0,"",ROUND(AVERAGE(K196:N196)*100,0))</f>
        <v/>
      </c>
      <c r="P196" s="8">
        <f>IFERROR(AVERAGEIF(C$2:C$201,C196,O$2:O$201),"N/A")</f>
        <v/>
      </c>
      <c r="Q196" s="8" t="n"/>
    </row>
    <row r="197" hidden="1" ht="15" customHeight="1" s="41">
      <c r="A197" s="8">
        <f>IF(B197="","",ROW()-1)</f>
        <v/>
      </c>
      <c r="B197" s="11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>
        <f>IF(G197="","",IF(G197="SIM",1,0))</f>
        <v/>
      </c>
      <c r="L197" s="8">
        <f>IF(H197="","",IF(H197="Automático",1,IF(H197="Manual",0.5,IF(H197="Não atualizado",0,""))))</f>
        <v/>
      </c>
      <c r="M197" s="8">
        <f>IF(I197="","",IF(I197="SIM",1,0))</f>
        <v/>
      </c>
      <c r="N197" s="8">
        <f>IF(J197="","",IF(J197="Conformidade",1,IF(J197="Não Conformidade",0,IF(J197="Não Conformidade Grave",-1,""))))</f>
        <v/>
      </c>
      <c r="O197" s="8">
        <f>IF(COUNTA(G197:J197)=0,"",ROUND(AVERAGE(K197:N197)*100,0))</f>
        <v/>
      </c>
      <c r="P197" s="8">
        <f>IFERROR(AVERAGEIF(C$2:C$201,C197,O$2:O$201),"N/A")</f>
        <v/>
      </c>
      <c r="Q197" s="8" t="n"/>
    </row>
    <row r="198" hidden="1" ht="15" customHeight="1" s="41">
      <c r="A198" s="8">
        <f>IF(B198="","",ROW()-1)</f>
        <v/>
      </c>
      <c r="B198" s="11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>
        <f>IF(G198="","",IF(G198="SIM",1,0))</f>
        <v/>
      </c>
      <c r="L198" s="8">
        <f>IF(H198="","",IF(H198="Automático",1,IF(H198="Manual",0.5,IF(H198="Não atualizado",0,""))))</f>
        <v/>
      </c>
      <c r="M198" s="8">
        <f>IF(I198="","",IF(I198="SIM",1,0))</f>
        <v/>
      </c>
      <c r="N198" s="8">
        <f>IF(J198="","",IF(J198="Conformidade",1,IF(J198="Não Conformidade",0,IF(J198="Não Conformidade Grave",-1,""))))</f>
        <v/>
      </c>
      <c r="O198" s="8">
        <f>IF(COUNTA(G198:J198)=0,"",ROUND(AVERAGE(K198:N198)*100,0))</f>
        <v/>
      </c>
      <c r="P198" s="8">
        <f>IFERROR(AVERAGEIF(C$2:C$201,C198,O$2:O$201),"N/A")</f>
        <v/>
      </c>
      <c r="Q198" s="8" t="n"/>
    </row>
    <row r="199" hidden="1" ht="15" customHeight="1" s="41">
      <c r="A199" s="8">
        <f>IF(B199="","",ROW()-1)</f>
        <v/>
      </c>
      <c r="B199" s="11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>
        <f>IF(G199="","",IF(G199="SIM",1,0))</f>
        <v/>
      </c>
      <c r="L199" s="8">
        <f>IF(H199="","",IF(H199="Automático",1,IF(H199="Manual",0.5,IF(H199="Não atualizado",0,""))))</f>
        <v/>
      </c>
      <c r="M199" s="8">
        <f>IF(I199="","",IF(I199="SIM",1,0))</f>
        <v/>
      </c>
      <c r="N199" s="8">
        <f>IF(J199="","",IF(J199="Conformidade",1,IF(J199="Não Conformidade",0,IF(J199="Não Conformidade Grave",-1,""))))</f>
        <v/>
      </c>
      <c r="O199" s="8">
        <f>IF(COUNTA(G199:J199)=0,"",ROUND(AVERAGE(K199:N199)*100,0))</f>
        <v/>
      </c>
      <c r="P199" s="8">
        <f>IFERROR(AVERAGEIF(C$2:C$201,C199,O$2:O$201),"N/A")</f>
        <v/>
      </c>
      <c r="Q199" s="8" t="n"/>
    </row>
    <row r="200" hidden="1" ht="15" customHeight="1" s="41">
      <c r="A200" s="8">
        <f>IF(B200="","",ROW()-1)</f>
        <v/>
      </c>
      <c r="B200" s="11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>
        <f>IF(G200="","",IF(G200="SIM",1,0))</f>
        <v/>
      </c>
      <c r="L200" s="8">
        <f>IF(H200="","",IF(H200="Automático",1,IF(H200="Manual",0.5,IF(H200="Não atualizado",0,""))))</f>
        <v/>
      </c>
      <c r="M200" s="8">
        <f>IF(I200="","",IF(I200="SIM",1,0))</f>
        <v/>
      </c>
      <c r="N200" s="8">
        <f>IF(J200="","",IF(J200="Conformidade",1,IF(J200="Não Conformidade",0,IF(J200="Não Conformidade Grave",-1,""))))</f>
        <v/>
      </c>
      <c r="O200" s="8">
        <f>IF(COUNTA(G200:J200)=0,"",ROUND(AVERAGE(K200:N200)*100,0))</f>
        <v/>
      </c>
      <c r="P200" s="8">
        <f>IFERROR(AVERAGEIF(C$2:C$201,C200,O$2:O$201),"N/A")</f>
        <v/>
      </c>
      <c r="Q200" s="8" t="n"/>
    </row>
    <row r="201" hidden="1" ht="15" customHeight="1" s="41">
      <c r="A201" s="8">
        <f>IF(B201="","",ROW()-1)</f>
        <v/>
      </c>
      <c r="B201" s="11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>
        <f>IF(G201="","",IF(G201="SIM",1,0))</f>
        <v/>
      </c>
      <c r="L201" s="8">
        <f>IF(H201="","",IF(H201="Automático",1,IF(H201="Manual",0.5,IF(H201="Não atualizado",0,""))))</f>
        <v/>
      </c>
      <c r="M201" s="8">
        <f>IF(I201="","",IF(I201="SIM",1,0))</f>
        <v/>
      </c>
      <c r="N201" s="8">
        <f>IF(J201="","",IF(J201="Conformidade",1,IF(J201="Não Conformidade",0,IF(J201="Não Conformidade Grave",-1,""))))</f>
        <v/>
      </c>
      <c r="O201" s="8">
        <f>IF(COUNTA(G201:J201)=0,"",ROUND(AVERAGE(K201:N201)*100,0))</f>
        <v/>
      </c>
      <c r="P201" s="8">
        <f>IFERROR(AVERAGEIF(C$2:C$201,C201,O$2:O$201),"N/A")</f>
        <v/>
      </c>
      <c r="Q201" s="8" t="n"/>
    </row>
    <row r="202">
      <c r="A202" t="n">
        <v>1</v>
      </c>
      <c r="B202" t="inlineStr">
        <is>
          <t>18/09/2026</t>
        </is>
      </c>
      <c r="C202" t="inlineStr">
        <is>
          <t>Mobilize</t>
        </is>
      </c>
      <c r="D202" t="inlineStr">
        <is>
          <t>Indicadores</t>
        </is>
      </c>
      <c r="E202" t="inlineStr">
        <is>
          <t>NS</t>
        </is>
      </c>
      <c r="F202" t="n">
        <v>1</v>
      </c>
      <c r="G202" t="inlineStr">
        <is>
          <t>SIM</t>
        </is>
      </c>
      <c r="H202" t="inlineStr">
        <is>
          <t>Manual</t>
        </is>
      </c>
      <c r="I202" t="inlineStr">
        <is>
          <t>NÃO</t>
        </is>
      </c>
      <c r="J202" t="inlineStr">
        <is>
          <t>Não Conformidade</t>
        </is>
      </c>
    </row>
    <row r="203">
      <c r="A203" t="n">
        <v>2</v>
      </c>
      <c r="B203" t="inlineStr">
        <is>
          <t>18/09/2026</t>
        </is>
      </c>
      <c r="C203" t="inlineStr">
        <is>
          <t>Mobilize</t>
        </is>
      </c>
      <c r="D203" t="inlineStr">
        <is>
          <t>Indicadores</t>
        </is>
      </c>
      <c r="E203" t="inlineStr">
        <is>
          <t>PCA</t>
        </is>
      </c>
      <c r="F203" t="n">
        <v>1</v>
      </c>
      <c r="G203" t="inlineStr">
        <is>
          <t>SIM</t>
        </is>
      </c>
      <c r="H203" t="inlineStr">
        <is>
          <t>Manual</t>
        </is>
      </c>
      <c r="I203" t="inlineStr">
        <is>
          <t>NÃO</t>
        </is>
      </c>
      <c r="J203" t="inlineStr">
        <is>
          <t>Não Conformidade</t>
        </is>
      </c>
    </row>
    <row r="204">
      <c r="A204" t="n">
        <v>3</v>
      </c>
      <c r="B204" t="inlineStr">
        <is>
          <t>18/09/2026</t>
        </is>
      </c>
      <c r="C204" t="inlineStr">
        <is>
          <t>Mobilize</t>
        </is>
      </c>
      <c r="D204" t="inlineStr">
        <is>
          <t>Indicadores</t>
        </is>
      </c>
      <c r="E204" t="inlineStr">
        <is>
          <t>TMA</t>
        </is>
      </c>
      <c r="F204" t="n">
        <v>1</v>
      </c>
      <c r="G204" t="inlineStr">
        <is>
          <t>SIM</t>
        </is>
      </c>
      <c r="H204" t="inlineStr">
        <is>
          <t>Manual</t>
        </is>
      </c>
      <c r="I204" t="inlineStr">
        <is>
          <t>NÃO</t>
        </is>
      </c>
      <c r="J204" t="inlineStr">
        <is>
          <t>Não Conformidade</t>
        </is>
      </c>
    </row>
    <row r="205">
      <c r="A205" t="n">
        <v>4</v>
      </c>
      <c r="B205" t="inlineStr">
        <is>
          <t>18/09/2026</t>
        </is>
      </c>
      <c r="C205" t="inlineStr">
        <is>
          <t>Mobilize</t>
        </is>
      </c>
      <c r="D205" t="inlineStr">
        <is>
          <t>Indicadores</t>
        </is>
      </c>
      <c r="E205" t="inlineStr">
        <is>
          <t>TME</t>
        </is>
      </c>
      <c r="F205" t="n">
        <v>1</v>
      </c>
      <c r="G205" t="inlineStr">
        <is>
          <t>SIM</t>
        </is>
      </c>
      <c r="H205" t="inlineStr">
        <is>
          <t>Manual</t>
        </is>
      </c>
      <c r="I205" t="inlineStr">
        <is>
          <t>NÃO</t>
        </is>
      </c>
      <c r="J205" t="inlineStr">
        <is>
          <t>Não Conformidade</t>
        </is>
      </c>
    </row>
    <row r="206">
      <c r="A206" t="n">
        <v>5</v>
      </c>
      <c r="B206" t="inlineStr">
        <is>
          <t>18/09/2026</t>
        </is>
      </c>
      <c r="C206" t="inlineStr">
        <is>
          <t>Mobilize</t>
        </is>
      </c>
      <c r="D206" t="inlineStr">
        <is>
          <t>Indicadores</t>
        </is>
      </c>
      <c r="E206" t="inlineStr">
        <is>
          <t>CSAT</t>
        </is>
      </c>
      <c r="F206" t="n">
        <v>1</v>
      </c>
      <c r="G206" t="inlineStr">
        <is>
          <t>SIM</t>
        </is>
      </c>
      <c r="H206" t="inlineStr">
        <is>
          <t>Manual</t>
        </is>
      </c>
      <c r="I206" t="inlineStr">
        <is>
          <t>NÃO</t>
        </is>
      </c>
      <c r="J206" t="inlineStr">
        <is>
          <t>Não Conformidade</t>
        </is>
      </c>
    </row>
    <row r="207">
      <c r="A207" t="n">
        <v>6</v>
      </c>
      <c r="B207" t="inlineStr">
        <is>
          <t>18/09/2026</t>
        </is>
      </c>
      <c r="C207" t="inlineStr">
        <is>
          <t>Mobilize</t>
        </is>
      </c>
      <c r="D207" t="inlineStr">
        <is>
          <t>Indicadores</t>
        </is>
      </c>
      <c r="E207" t="inlineStr">
        <is>
          <t>FCR</t>
        </is>
      </c>
      <c r="F207" t="n">
        <v>1</v>
      </c>
      <c r="G207" t="inlineStr">
        <is>
          <t>SIM</t>
        </is>
      </c>
      <c r="H207" t="inlineStr">
        <is>
          <t>Manual</t>
        </is>
      </c>
      <c r="I207" t="inlineStr">
        <is>
          <t>NÃO</t>
        </is>
      </c>
      <c r="J207" t="inlineStr">
        <is>
          <t>Não Conformidade</t>
        </is>
      </c>
    </row>
    <row r="208">
      <c r="A208" t="n">
        <v>7</v>
      </c>
      <c r="B208" t="inlineStr">
        <is>
          <t>18/09/2026</t>
        </is>
      </c>
      <c r="C208" t="inlineStr">
        <is>
          <t>Mobilize</t>
        </is>
      </c>
      <c r="D208" t="inlineStr">
        <is>
          <t>Indicadores</t>
        </is>
      </c>
      <c r="E208" t="inlineStr">
        <is>
          <t>SLA</t>
        </is>
      </c>
      <c r="F208" t="n">
        <v>1</v>
      </c>
      <c r="G208" t="inlineStr">
        <is>
          <t>SIM</t>
        </is>
      </c>
      <c r="H208" t="inlineStr">
        <is>
          <t>Manual</t>
        </is>
      </c>
      <c r="I208" t="inlineStr">
        <is>
          <t>NÃO</t>
        </is>
      </c>
      <c r="J208" t="inlineStr">
        <is>
          <t>Não Conformidade</t>
        </is>
      </c>
    </row>
    <row r="209">
      <c r="A209" t="n">
        <v>8</v>
      </c>
      <c r="B209" t="inlineStr">
        <is>
          <t>18/09/2026</t>
        </is>
      </c>
      <c r="C209" t="inlineStr">
        <is>
          <t>Mobilize</t>
        </is>
      </c>
      <c r="D209" t="inlineStr">
        <is>
          <t>Indicadores</t>
        </is>
      </c>
      <c r="E209" t="inlineStr">
        <is>
          <t>HC</t>
        </is>
      </c>
      <c r="F209" t="n">
        <v>1</v>
      </c>
      <c r="G209" t="inlineStr">
        <is>
          <t>SIM</t>
        </is>
      </c>
      <c r="H209" t="inlineStr">
        <is>
          <t>Manual</t>
        </is>
      </c>
      <c r="I209" t="inlineStr">
        <is>
          <t>NÃO</t>
        </is>
      </c>
      <c r="J209" t="inlineStr">
        <is>
          <t>Não Conformidade</t>
        </is>
      </c>
    </row>
    <row r="210">
      <c r="A210" t="n">
        <v>9</v>
      </c>
      <c r="B210" t="inlineStr">
        <is>
          <t>18/09/2026</t>
        </is>
      </c>
      <c r="C210" t="inlineStr">
        <is>
          <t>Mobilize</t>
        </is>
      </c>
      <c r="D210" t="inlineStr">
        <is>
          <t>Indicadores</t>
        </is>
      </c>
      <c r="E210" t="inlineStr">
        <is>
          <t>ABS</t>
        </is>
      </c>
      <c r="F210" t="n">
        <v>1</v>
      </c>
      <c r="G210" t="inlineStr">
        <is>
          <t>SIM</t>
        </is>
      </c>
      <c r="H210" t="inlineStr">
        <is>
          <t>Manual</t>
        </is>
      </c>
      <c r="I210" t="inlineStr">
        <is>
          <t>NÃO</t>
        </is>
      </c>
      <c r="J210" t="inlineStr">
        <is>
          <t>Não Conformidade</t>
        </is>
      </c>
    </row>
    <row r="211">
      <c r="A211" t="n">
        <v>10</v>
      </c>
      <c r="B211" t="inlineStr">
        <is>
          <t>18/09/2026</t>
        </is>
      </c>
      <c r="C211" t="inlineStr">
        <is>
          <t>Mobilize</t>
        </is>
      </c>
      <c r="D211" t="inlineStr">
        <is>
          <t>Indicadores</t>
        </is>
      </c>
      <c r="E211" t="inlineStr">
        <is>
          <t>TO</t>
        </is>
      </c>
      <c r="F211" t="n">
        <v>1</v>
      </c>
      <c r="G211" t="inlineStr">
        <is>
          <t>SIM</t>
        </is>
      </c>
      <c r="H211" t="inlineStr">
        <is>
          <t>Manual</t>
        </is>
      </c>
      <c r="I211" t="inlineStr">
        <is>
          <t>NÃO</t>
        </is>
      </c>
      <c r="J211" t="inlineStr">
        <is>
          <t>Não Conformidade</t>
        </is>
      </c>
    </row>
  </sheetData>
  <autoFilter ref="A1:U201">
    <filterColumn colId="2" hiddenButton="0" showButton="1">
      <filters>
        <filter val="PROCESSOS"/>
      </filters>
    </filterColumn>
  </autoFilter>
  <conditionalFormatting sqref="G2:G201">
    <cfRule type="cellIs" priority="2" operator="equal" dxfId="0">
      <formula>"SIM"</formula>
    </cfRule>
    <cfRule type="cellIs" priority="3" operator="equal" dxfId="2">
      <formula>"NÃO"</formula>
    </cfRule>
  </conditionalFormatting>
  <conditionalFormatting sqref="I2:I201">
    <cfRule type="cellIs" priority="4" operator="equal" dxfId="0">
      <formula>"SIM"</formula>
    </cfRule>
    <cfRule type="cellIs" priority="5" operator="equal" dxfId="2">
      <formula>"NÃO"</formula>
    </cfRule>
  </conditionalFormatting>
  <conditionalFormatting sqref="O2:P201">
    <cfRule type="cellIs" priority="6" operator="lessThan" dxfId="2">
      <formula>50</formula>
    </cfRule>
    <cfRule type="cellIs" priority="7" operator="between" dxfId="1">
      <formula>50</formula>
      <formula>79</formula>
    </cfRule>
    <cfRule type="cellIs" priority="8" operator="greaterThanOrEqual" dxfId="0">
      <formula>80</formula>
    </cfRule>
  </conditionalFormatting>
  <dataValidations count="6">
    <dataValidation sqref="F2:F201" showDropDown="0" showInputMessage="0" showErrorMessage="0" allowBlank="1" type="decimal" operator="greaterThanOrEqual">
      <formula1>0</formula1>
      <formula2>0</formula2>
    </dataValidation>
    <dataValidation sqref="G2:G201 I2:I201" showDropDown="0" showInputMessage="0" showErrorMessage="0" allowBlank="1" type="list">
      <formula1>"SIM,NÃO"</formula1>
      <formula2>0</formula2>
    </dataValidation>
    <dataValidation sqref="H2:H201" showDropDown="0" showInputMessage="0" showErrorMessage="0" allowBlank="1" type="list">
      <formula1>"Automático,Manual,Não atualizado"</formula1>
      <formula2>0</formula2>
    </dataValidation>
    <dataValidation sqref="J2:J201" showDropDown="0" showInputMessage="0" showErrorMessage="0" allowBlank="1" type="list">
      <formula1>"Não Conformidade Grave,Não Conformidade,Conformidade,Observação"</formula1>
      <formula2>0</formula2>
    </dataValidation>
    <dataValidation sqref="B2:B201" showDropDown="0" showInputMessage="0" showErrorMessage="0" allowBlank="1" type="date">
      <formula1>DATE(2000,1,1)</formula1>
      <formula2>0</formula2>
    </dataValidation>
    <dataValidation sqref="U2:U201" showDropDown="0" showInputMessage="0" showErrorMessage="0" allowBlank="1" type="list">
      <formula1>"Aberto,Em andamento,Concluído"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4"/>
  <sheetViews>
    <sheetView topLeftCell="C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3" customWidth="1" style="41" min="1" max="1"/>
    <col width="16" customWidth="1" style="41" min="2" max="2"/>
    <col width="22" customWidth="1" style="41" min="3" max="3"/>
    <col width="28" customWidth="1" style="41" min="4" max="4"/>
    <col width="32" customWidth="1" style="41" min="5" max="5"/>
    <col width="13" customWidth="1" style="41" min="6" max="6"/>
    <col width="22" customWidth="1" style="41" min="7" max="7"/>
    <col width="16" customWidth="1" style="41" min="8" max="9"/>
    <col width="17" customWidth="1" style="41" min="10" max="10"/>
    <col width="13" customWidth="1" style="41" min="11" max="13"/>
    <col width="14" customWidth="1" style="41" min="14" max="14"/>
    <col width="16" customWidth="1" style="41" min="15" max="15"/>
    <col width="10" customWidth="1" style="41" min="16" max="16"/>
    <col width="22" customWidth="1" style="41" min="17" max="17"/>
  </cols>
  <sheetData>
    <row r="1" ht="22.35" customHeight="1" s="41">
      <c r="A1" s="1" t="inlineStr">
        <is>
          <t>ID Avaliação</t>
        </is>
      </c>
      <c r="B1" s="1" t="inlineStr">
        <is>
          <t>Data da avaliação</t>
        </is>
      </c>
      <c r="C1" s="1" t="inlineStr">
        <is>
          <t>Operação</t>
        </is>
      </c>
      <c r="D1" s="1" t="inlineStr">
        <is>
          <t>Processo avaliado</t>
        </is>
      </c>
      <c r="E1" s="1" t="inlineStr">
        <is>
          <t>Nome_Treinamento</t>
        </is>
      </c>
      <c r="F1" s="1" t="inlineStr">
        <is>
          <t>Quantidade</t>
        </is>
      </c>
      <c r="G1" s="7" t="inlineStr">
        <is>
          <t>Treinamento está coerente aos documentos?</t>
        </is>
      </c>
      <c r="H1" s="7" t="inlineStr">
        <is>
          <t>Treinamento foi aplicado?</t>
        </is>
      </c>
      <c r="I1" s="7" t="inlineStr">
        <is>
          <t>Houve atualização?</t>
        </is>
      </c>
      <c r="J1" s="7" t="inlineStr">
        <is>
          <t>Conforme?</t>
        </is>
      </c>
      <c r="K1" s="7" t="inlineStr">
        <is>
          <t>Coerência</t>
        </is>
      </c>
      <c r="L1" s="7" t="inlineStr">
        <is>
          <t>Aplicação</t>
        </is>
      </c>
      <c r="M1" s="7" t="inlineStr">
        <is>
          <t>Atualização</t>
        </is>
      </c>
      <c r="N1" s="7" t="inlineStr">
        <is>
          <t>Conformidade</t>
        </is>
      </c>
      <c r="O1" s="7" t="inlineStr">
        <is>
          <t>Score Treinamento</t>
        </is>
      </c>
      <c r="P1" s="7" t="inlineStr">
        <is>
          <t>Geral</t>
        </is>
      </c>
      <c r="Q1" s="7" t="inlineStr">
        <is>
          <t>Observação</t>
        </is>
      </c>
      <c r="R1" t="inlineStr">
        <is>
          <t>Plano de Ação</t>
        </is>
      </c>
      <c r="S1" t="inlineStr">
        <is>
          <t>Responsável</t>
        </is>
      </c>
      <c r="T1" t="inlineStr">
        <is>
          <t>Prazo</t>
        </is>
      </c>
      <c r="U1" t="inlineStr">
        <is>
          <t>Status da Ação</t>
        </is>
      </c>
    </row>
    <row r="2" ht="15" customHeight="1" s="41">
      <c r="A2" s="8">
        <f>IF(B2="","",ROW()-1)</f>
        <v/>
      </c>
      <c r="B2" s="9" t="n">
        <v>46247</v>
      </c>
      <c r="C2" s="10" t="inlineStr">
        <is>
          <t>Exemplo (apagar)</t>
        </is>
      </c>
      <c r="D2" s="10" t="inlineStr">
        <is>
          <t>Admissão</t>
        </is>
      </c>
      <c r="E2" s="10" t="inlineStr">
        <is>
          <t>Treinamento - Admissão</t>
        </is>
      </c>
      <c r="F2" s="10" t="n">
        <v>1</v>
      </c>
      <c r="G2" s="10" t="inlineStr">
        <is>
          <t>SIM</t>
        </is>
      </c>
      <c r="H2" s="10" t="inlineStr">
        <is>
          <t>SIM</t>
        </is>
      </c>
      <c r="I2" s="10" t="inlineStr">
        <is>
          <t>NÃO</t>
        </is>
      </c>
      <c r="J2" s="10" t="inlineStr">
        <is>
          <t>Não Conformidade</t>
        </is>
      </c>
      <c r="K2" s="8">
        <f>IF(G2="","",IF(G2="SIM",1,0))</f>
        <v/>
      </c>
      <c r="L2" s="8">
        <f>IF(H2="","",IF(H2="SIM",1,0))</f>
        <v/>
      </c>
      <c r="M2" s="8">
        <f>IF(I2="","",IF(I2="SIM",1,0))</f>
        <v/>
      </c>
      <c r="N2" s="8">
        <f>IF(J2="","",IF(J2="Conformidade",1,IF(J2="Não Conformidade",0,IF(J2="Não Conformidade Grave",-1,""))))</f>
        <v/>
      </c>
      <c r="O2" s="8">
        <f>IF(COUNTA(G2:J2)=0,"",ROUND(AVERAGE(K2:N2)*100,0))</f>
        <v/>
      </c>
      <c r="P2" s="8">
        <f>IFERROR(AVERAGEIF(C$2:C$201,C2,O$2:O$201),"N/A")</f>
        <v/>
      </c>
      <c r="Q2" s="10" t="inlineStr">
        <is>
          <t>Linha de exemplo - substitua pelos dados reais</t>
        </is>
      </c>
    </row>
    <row r="3" ht="15" customHeight="1" s="41">
      <c r="A3" s="8">
        <f>IF(B3="","",ROW()-1)</f>
        <v/>
      </c>
      <c r="B3" s="50" t="n">
        <v>46180</v>
      </c>
      <c r="C3" s="10" t="inlineStr">
        <is>
          <t>Qualidade</t>
        </is>
      </c>
      <c r="D3" s="10" t="inlineStr">
        <is>
          <t>Faturamento</t>
        </is>
      </c>
      <c r="E3" s="10" t="inlineStr">
        <is>
          <t>Integração de Novos Colaboradores</t>
        </is>
      </c>
      <c r="F3" s="10" t="n">
        <v>5</v>
      </c>
      <c r="G3" s="10" t="inlineStr">
        <is>
          <t>NÃO</t>
        </is>
      </c>
      <c r="H3" s="10" t="inlineStr">
        <is>
          <t>NÃO</t>
        </is>
      </c>
      <c r="I3" s="10" t="inlineStr">
        <is>
          <t>NÃO</t>
        </is>
      </c>
      <c r="J3" s="10" t="inlineStr">
        <is>
          <t>Não Conformidade Grave</t>
        </is>
      </c>
      <c r="K3" s="8">
        <f>IF(G3="","",IF(G3="SIM",1,0))</f>
        <v/>
      </c>
      <c r="L3" s="8">
        <f>IF(H3="","",IF(H3="SIM",1,0))</f>
        <v/>
      </c>
      <c r="M3" s="8">
        <f>IF(I3="","",IF(I3="SIM",1,0))</f>
        <v/>
      </c>
      <c r="N3" s="8">
        <f>IF(J3="","",IF(J3="Conformidade",1,IF(J3="Não Conformidade",0,IF(J3="Não Conformidade Grave",-1,""))))</f>
        <v/>
      </c>
      <c r="O3" s="51">
        <f>IF(COUNTA(G3:J3)=0,"",ROUND(AVERAGE(K3:N3)*100,0))</f>
        <v/>
      </c>
      <c r="P3" s="51">
        <f>IFERROR(AVERAGEIF(C$2:C$201,C3,O$2:O$201),"N/A")</f>
        <v/>
      </c>
      <c r="Q3" s="10" t="inlineStr">
        <is>
          <t>Treinamento apresenta lacuna de conteúdo, aplicação ou atualização.</t>
        </is>
      </c>
      <c r="R3" t="inlineStr">
        <is>
          <t>Atualizar conteúdo conforme documentos vigentes</t>
        </is>
      </c>
      <c r="S3" t="inlineStr">
        <is>
          <t>Carla Souza</t>
        </is>
      </c>
      <c r="T3" s="47" t="n">
        <v>46275</v>
      </c>
      <c r="U3" t="inlineStr">
        <is>
          <t>Não iniciado</t>
        </is>
      </c>
    </row>
    <row r="4" ht="15" customHeight="1" s="41">
      <c r="A4" s="8">
        <f>IF(B4="","",ROW()-1)</f>
        <v/>
      </c>
      <c r="B4" s="50" t="n">
        <v>46211</v>
      </c>
      <c r="C4" s="10" t="inlineStr">
        <is>
          <t>Recursos Humanos</t>
        </is>
      </c>
      <c r="D4" s="10" t="inlineStr">
        <is>
          <t>Gestão de Contratos</t>
        </is>
      </c>
      <c r="E4" s="10" t="inlineStr">
        <is>
          <t>Gestão de Incidentes</t>
        </is>
      </c>
      <c r="F4" s="10" t="n">
        <v>6</v>
      </c>
      <c r="G4" s="10" t="inlineStr">
        <is>
          <t>SIM</t>
        </is>
      </c>
      <c r="H4" s="10" t="inlineStr">
        <is>
          <t>SIM</t>
        </is>
      </c>
      <c r="I4" s="10" t="inlineStr">
        <is>
          <t>SIM</t>
        </is>
      </c>
      <c r="J4" s="10" t="inlineStr">
        <is>
          <t>Conformidade</t>
        </is>
      </c>
      <c r="K4" s="8">
        <f>IF(G4="","",IF(G4="SIM",1,0))</f>
        <v/>
      </c>
      <c r="L4" s="8">
        <f>IF(H4="","",IF(H4="SIM",1,0))</f>
        <v/>
      </c>
      <c r="M4" s="8">
        <f>IF(I4="","",IF(I4="SIM",1,0))</f>
        <v/>
      </c>
      <c r="N4" s="8">
        <f>IF(J4="","",IF(J4="Conformidade",1,IF(J4="Não Conformidade",0,IF(J4="Não Conformidade Grave",-1,""))))</f>
        <v/>
      </c>
      <c r="O4" s="51">
        <f>IF(COUNTA(G4:J4)=0,"",ROUND(AVERAGE(K4:N4)*100,0))</f>
        <v/>
      </c>
      <c r="P4" s="51">
        <f>IFERROR(AVERAGEIF(C$2:C$201,C4,O$2:O$201),"N/A")</f>
        <v/>
      </c>
      <c r="Q4" s="10" t="inlineStr">
        <is>
          <t>Treinamento aderente e com evidência de aplicação.</t>
        </is>
      </c>
      <c r="R4" t="inlineStr">
        <is>
          <t>Manter reciclagem periódica.</t>
        </is>
      </c>
      <c r="S4" t="inlineStr">
        <is>
          <t>Diego Alves</t>
        </is>
      </c>
      <c r="T4" s="47" t="n">
        <v>46306</v>
      </c>
      <c r="U4" t="inlineStr">
        <is>
          <t>Concluído</t>
        </is>
      </c>
    </row>
    <row r="5" ht="15" customHeight="1" s="41">
      <c r="A5" s="8">
        <f>IF(B5="","",ROW()-1)</f>
        <v/>
      </c>
      <c r="B5" s="50" t="n">
        <v>46243</v>
      </c>
      <c r="C5" s="10" t="inlineStr">
        <is>
          <t>Financeiro</t>
        </is>
      </c>
      <c r="D5" s="10" t="inlineStr">
        <is>
          <t>Contas a Pagar</t>
        </is>
      </c>
      <c r="E5" s="10" t="inlineStr">
        <is>
          <t>Proteção de Dados</t>
        </is>
      </c>
      <c r="F5" s="10" t="n">
        <v>7</v>
      </c>
      <c r="G5" s="10" t="inlineStr">
        <is>
          <t>SIM</t>
        </is>
      </c>
      <c r="H5" s="10" t="inlineStr">
        <is>
          <t>SIM</t>
        </is>
      </c>
      <c r="I5" s="10" t="inlineStr">
        <is>
          <t>SIM</t>
        </is>
      </c>
      <c r="J5" s="10" t="inlineStr">
        <is>
          <t>Conformidade</t>
        </is>
      </c>
      <c r="K5" s="8">
        <f>IF(G5="","",IF(G5="SIM",1,0))</f>
        <v/>
      </c>
      <c r="L5" s="8">
        <f>IF(H5="","",IF(H5="SIM",1,0))</f>
        <v/>
      </c>
      <c r="M5" s="8">
        <f>IF(I5="","",IF(I5="SIM",1,0))</f>
        <v/>
      </c>
      <c r="N5" s="8">
        <f>IF(J5="","",IF(J5="Conformidade",1,IF(J5="Não Conformidade",0,IF(J5="Não Conformidade Grave",-1,""))))</f>
        <v/>
      </c>
      <c r="O5" s="51">
        <f>IF(COUNTA(G5:J5)=0,"",ROUND(AVERAGE(K5:N5)*100,0))</f>
        <v/>
      </c>
      <c r="P5" s="51">
        <f>IFERROR(AVERAGEIF(C$2:C$201,C5,O$2:O$201),"N/A")</f>
        <v/>
      </c>
      <c r="Q5" s="10" t="inlineStr">
        <is>
          <t>Treinamento aderente e com evidência de aplicação.</t>
        </is>
      </c>
      <c r="R5" t="inlineStr">
        <is>
          <t>Manter reciclagem periódica.</t>
        </is>
      </c>
      <c r="S5" t="inlineStr">
        <is>
          <t>Fernanda Rocha</t>
        </is>
      </c>
      <c r="T5" s="47" t="n">
        <v>46338</v>
      </c>
      <c r="U5" t="inlineStr">
        <is>
          <t>Concluído</t>
        </is>
      </c>
    </row>
    <row r="6" ht="15" customHeight="1" s="41">
      <c r="A6" s="8">
        <f>IF(B6="","",ROW()-1)</f>
        <v/>
      </c>
      <c r="B6" s="50" t="n">
        <v>46183</v>
      </c>
      <c r="C6" s="10" t="inlineStr">
        <is>
          <t>Atendimento</t>
        </is>
      </c>
      <c r="D6" s="10" t="inlineStr">
        <is>
          <t>Gestão de Incidentes</t>
        </is>
      </c>
      <c r="E6" s="10" t="inlineStr">
        <is>
          <t>Qualidade Operacional</t>
        </is>
      </c>
      <c r="F6" s="10" t="n">
        <v>8</v>
      </c>
      <c r="G6" s="10" t="inlineStr">
        <is>
          <t>SIM</t>
        </is>
      </c>
      <c r="H6" s="10" t="inlineStr">
        <is>
          <t>SIM</t>
        </is>
      </c>
      <c r="I6" s="10" t="inlineStr">
        <is>
          <t>SIM</t>
        </is>
      </c>
      <c r="J6" s="10" t="inlineStr">
        <is>
          <t>Conformidade</t>
        </is>
      </c>
      <c r="K6" s="8">
        <f>IF(G6="","",IF(G6="SIM",1,0))</f>
        <v/>
      </c>
      <c r="L6" s="8">
        <f>IF(H6="","",IF(H6="SIM",1,0))</f>
        <v/>
      </c>
      <c r="M6" s="8">
        <f>IF(I6="","",IF(I6="SIM",1,0))</f>
        <v/>
      </c>
      <c r="N6" s="8">
        <f>IF(J6="","",IF(J6="Conformidade",1,IF(J6="Não Conformidade",0,IF(J6="Não Conformidade Grave",-1,""))))</f>
        <v/>
      </c>
      <c r="O6" s="51">
        <f>IF(COUNTA(G6:J6)=0,"",ROUND(AVERAGE(K6:N6)*100,0))</f>
        <v/>
      </c>
      <c r="P6" s="51">
        <f>IFERROR(AVERAGEIF(C$2:C$201,C6,O$2:O$201),"N/A")</f>
        <v/>
      </c>
      <c r="Q6" s="10" t="inlineStr">
        <is>
          <t>Treinamento aderente e com evidência de aplicação.</t>
        </is>
      </c>
      <c r="R6" t="inlineStr">
        <is>
          <t>Manter reciclagem periódica.</t>
        </is>
      </c>
      <c r="S6" t="inlineStr">
        <is>
          <t>Gabriel Martins</t>
        </is>
      </c>
      <c r="T6" s="47" t="n">
        <v>46278</v>
      </c>
      <c r="U6" t="inlineStr">
        <is>
          <t>Concluído</t>
        </is>
      </c>
    </row>
    <row r="7" ht="15" customHeight="1" s="41">
      <c r="A7" s="8">
        <f>IF(B7="","",ROW()-1)</f>
        <v/>
      </c>
      <c r="B7" s="50" t="n">
        <v>46214</v>
      </c>
      <c r="C7" s="10" t="inlineStr">
        <is>
          <t>Tecnologia</t>
        </is>
      </c>
      <c r="D7" s="10" t="inlineStr">
        <is>
          <t>Auditoria de Processos</t>
        </is>
      </c>
      <c r="E7" s="10" t="inlineStr">
        <is>
          <t>Atendimento ao Cliente</t>
        </is>
      </c>
      <c r="F7" s="10" t="n">
        <v>9</v>
      </c>
      <c r="G7" s="10" t="inlineStr">
        <is>
          <t>SIM</t>
        </is>
      </c>
      <c r="H7" s="10" t="inlineStr">
        <is>
          <t>SIM</t>
        </is>
      </c>
      <c r="I7" s="10" t="inlineStr">
        <is>
          <t>NÃO</t>
        </is>
      </c>
      <c r="J7" s="10" t="inlineStr">
        <is>
          <t>Conformidade</t>
        </is>
      </c>
      <c r="K7" s="8">
        <f>IF(G7="","",IF(G7="SIM",1,0))</f>
        <v/>
      </c>
      <c r="L7" s="8">
        <f>IF(H7="","",IF(H7="SIM",1,0))</f>
        <v/>
      </c>
      <c r="M7" s="8">
        <f>IF(I7="","",IF(I7="SIM",1,0))</f>
        <v/>
      </c>
      <c r="N7" s="8">
        <f>IF(J7="","",IF(J7="Conformidade",1,IF(J7="Não Conformidade",0,IF(J7="Não Conformidade Grave",-1,""))))</f>
        <v/>
      </c>
      <c r="O7" s="51">
        <f>IF(COUNTA(G7:J7)=0,"",ROUND(AVERAGE(K7:N7)*100,0))</f>
        <v/>
      </c>
      <c r="P7" s="51">
        <f>IFERROR(AVERAGEIF(C$2:C$201,C7,O$2:O$201),"N/A")</f>
        <v/>
      </c>
      <c r="Q7" s="10" t="inlineStr">
        <is>
          <t>Treinamento apresenta lacuna de conteúdo, aplicação ou atualização.</t>
        </is>
      </c>
      <c r="R7" t="inlineStr">
        <is>
          <t>Atualizar conteúdo conforme documentos vigentes</t>
        </is>
      </c>
      <c r="S7" t="inlineStr">
        <is>
          <t>Ana Lima</t>
        </is>
      </c>
      <c r="T7" s="47" t="n">
        <v>46309</v>
      </c>
      <c r="U7" t="inlineStr">
        <is>
          <t>Em andamento</t>
        </is>
      </c>
    </row>
    <row r="8" ht="15" customHeight="1" s="41">
      <c r="A8" s="8">
        <f>IF(B8="","",ROW()-1)</f>
        <v/>
      </c>
      <c r="B8" s="50" t="n">
        <v>46246</v>
      </c>
      <c r="C8" s="10" t="inlineStr">
        <is>
          <t>PROCESSOS</t>
        </is>
      </c>
      <c r="D8" s="10" t="inlineStr">
        <is>
          <t>Faturamento</t>
        </is>
      </c>
      <c r="E8" s="10" t="inlineStr">
        <is>
          <t>Controles Financeiros</t>
        </is>
      </c>
      <c r="F8" s="10" t="n">
        <v>10</v>
      </c>
      <c r="G8" s="10" t="inlineStr">
        <is>
          <t>SIM</t>
        </is>
      </c>
      <c r="H8" s="10" t="inlineStr">
        <is>
          <t>SIM</t>
        </is>
      </c>
      <c r="I8" s="10" t="inlineStr">
        <is>
          <t>SIM</t>
        </is>
      </c>
      <c r="J8" s="10" t="inlineStr">
        <is>
          <t>Não Conformidade</t>
        </is>
      </c>
      <c r="K8" s="8">
        <f>IF(G8="","",IF(G8="SIM",1,0))</f>
        <v/>
      </c>
      <c r="L8" s="8">
        <f>IF(H8="","",IF(H8="SIM",1,0))</f>
        <v/>
      </c>
      <c r="M8" s="8">
        <f>IF(I8="","",IF(I8="SIM",1,0))</f>
        <v/>
      </c>
      <c r="N8" s="8">
        <f>IF(J8="","",IF(J8="Conformidade",1,IF(J8="Não Conformidade",0,IF(J8="Não Conformidade Grave",-1,""))))</f>
        <v/>
      </c>
      <c r="O8" s="51">
        <f>IF(COUNTA(G8:J8)=0,"",ROUND(AVERAGE(K8:N8)*100,0))</f>
        <v/>
      </c>
      <c r="P8" s="51">
        <f>IFERROR(AVERAGEIF(C$2:C$201,C8,O$2:O$201),"N/A")</f>
        <v/>
      </c>
      <c r="Q8" s="10" t="inlineStr">
        <is>
          <t>Treinamento apresenta lacuna de conteúdo, aplicação ou atualização.</t>
        </is>
      </c>
      <c r="R8" t="inlineStr">
        <is>
          <t>Programar nova turma e registrar presença</t>
        </is>
      </c>
      <c r="S8" t="inlineStr">
        <is>
          <t>Bruno Costa</t>
        </is>
      </c>
      <c r="T8" s="47" t="n">
        <v>46341</v>
      </c>
      <c r="U8" t="inlineStr">
        <is>
          <t>Aguardando validação</t>
        </is>
      </c>
    </row>
    <row r="9" ht="15" customHeight="1" s="41">
      <c r="A9" s="8">
        <f>IF(B9="","",ROW()-1)</f>
        <v/>
      </c>
      <c r="B9" s="50" t="n">
        <v>46186</v>
      </c>
      <c r="C9" s="10" t="inlineStr">
        <is>
          <t>Qualidade</t>
        </is>
      </c>
      <c r="D9" s="10" t="inlineStr">
        <is>
          <t>Gestão de Contratos</t>
        </is>
      </c>
      <c r="E9" s="10" t="inlineStr">
        <is>
          <t>Gestão de Contratos</t>
        </is>
      </c>
      <c r="F9" s="10" t="n">
        <v>11</v>
      </c>
      <c r="G9" s="10" t="inlineStr">
        <is>
          <t>SIM</t>
        </is>
      </c>
      <c r="H9" s="10" t="inlineStr">
        <is>
          <t>NÃO</t>
        </is>
      </c>
      <c r="I9" s="10" t="inlineStr">
        <is>
          <t>SIM</t>
        </is>
      </c>
      <c r="J9" s="10" t="inlineStr">
        <is>
          <t>Conformidade</t>
        </is>
      </c>
      <c r="K9" s="8">
        <f>IF(G9="","",IF(G9="SIM",1,0))</f>
        <v/>
      </c>
      <c r="L9" s="8">
        <f>IF(H9="","",IF(H9="SIM",1,0))</f>
        <v/>
      </c>
      <c r="M9" s="8">
        <f>IF(I9="","",IF(I9="SIM",1,0))</f>
        <v/>
      </c>
      <c r="N9" s="8">
        <f>IF(J9="","",IF(J9="Conformidade",1,IF(J9="Não Conformidade",0,IF(J9="Não Conformidade Grave",-1,""))))</f>
        <v/>
      </c>
      <c r="O9" s="51">
        <f>IF(COUNTA(G9:J9)=0,"",ROUND(AVERAGE(K9:N9)*100,0))</f>
        <v/>
      </c>
      <c r="P9" s="51">
        <f>IFERROR(AVERAGEIF(C$2:C$201,C9,O$2:O$201),"N/A")</f>
        <v/>
      </c>
      <c r="Q9" s="10" t="inlineStr">
        <is>
          <t>Treinamento apresenta lacuna de conteúdo, aplicação ou atualização.</t>
        </is>
      </c>
      <c r="R9" t="inlineStr">
        <is>
          <t>Revisar material e obter aprovação</t>
        </is>
      </c>
      <c r="S9" t="inlineStr">
        <is>
          <t>Carla Souza</t>
        </is>
      </c>
      <c r="T9" s="47" t="n">
        <v>46281</v>
      </c>
      <c r="U9" t="inlineStr">
        <is>
          <t>Não iniciado</t>
        </is>
      </c>
    </row>
    <row r="10" ht="15" customHeight="1" s="41">
      <c r="A10" s="8">
        <f>IF(B10="","",ROW()-1)</f>
        <v/>
      </c>
      <c r="B10" s="50" t="n">
        <v>46217</v>
      </c>
      <c r="C10" s="10" t="inlineStr">
        <is>
          <t>Recursos Humanos</t>
        </is>
      </c>
      <c r="D10" s="10" t="inlineStr">
        <is>
          <t>Contas a Pagar</t>
        </is>
      </c>
      <c r="E10" s="10" t="inlineStr">
        <is>
          <t>Segurança da Informação</t>
        </is>
      </c>
      <c r="F10" s="10" t="n">
        <v>12</v>
      </c>
      <c r="G10" s="10" t="inlineStr">
        <is>
          <t>SIM</t>
        </is>
      </c>
      <c r="H10" s="10" t="inlineStr">
        <is>
          <t>SIM</t>
        </is>
      </c>
      <c r="I10" s="10" t="inlineStr">
        <is>
          <t>SIM</t>
        </is>
      </c>
      <c r="J10" s="10" t="inlineStr">
        <is>
          <t>Conformidade</t>
        </is>
      </c>
      <c r="K10" s="8">
        <f>IF(G10="","",IF(G10="SIM",1,0))</f>
        <v/>
      </c>
      <c r="L10" s="8">
        <f>IF(H10="","",IF(H10="SIM",1,0))</f>
        <v/>
      </c>
      <c r="M10" s="8">
        <f>IF(I10="","",IF(I10="SIM",1,0))</f>
        <v/>
      </c>
      <c r="N10" s="8">
        <f>IF(J10="","",IF(J10="Conformidade",1,IF(J10="Não Conformidade",0,IF(J10="Não Conformidade Grave",-1,""))))</f>
        <v/>
      </c>
      <c r="O10" s="51">
        <f>IF(COUNTA(G10:J10)=0,"",ROUND(AVERAGE(K10:N10)*100,0))</f>
        <v/>
      </c>
      <c r="P10" s="51">
        <f>IFERROR(AVERAGEIF(C$2:C$201,C10,O$2:O$201),"N/A")</f>
        <v/>
      </c>
      <c r="Q10" s="10" t="inlineStr">
        <is>
          <t>Treinamento aderente e com evidência de aplicação.</t>
        </is>
      </c>
      <c r="R10" t="inlineStr">
        <is>
          <t>Manter reciclagem periódica.</t>
        </is>
      </c>
      <c r="S10" t="inlineStr">
        <is>
          <t>Diego Alves</t>
        </is>
      </c>
      <c r="T10" s="47" t="n">
        <v>46312</v>
      </c>
      <c r="U10" t="inlineStr">
        <is>
          <t>Concluído</t>
        </is>
      </c>
    </row>
    <row r="11" ht="15" customHeight="1" s="41">
      <c r="A11" s="8">
        <f>IF(B11="","",ROW()-1)</f>
        <v/>
      </c>
      <c r="B11" s="50" t="n">
        <v>46249</v>
      </c>
      <c r="C11" s="10" t="inlineStr">
        <is>
          <t>Financeiro</t>
        </is>
      </c>
      <c r="D11" s="10" t="inlineStr">
        <is>
          <t>Gestão de Incidentes</t>
        </is>
      </c>
      <c r="E11" s="10" t="inlineStr">
        <is>
          <t>Política de Compras</t>
        </is>
      </c>
      <c r="F11" s="10" t="n">
        <v>13</v>
      </c>
      <c r="G11" s="10" t="inlineStr">
        <is>
          <t>NÃO</t>
        </is>
      </c>
      <c r="H11" s="10" t="inlineStr">
        <is>
          <t>SIM</t>
        </is>
      </c>
      <c r="I11" s="10" t="inlineStr">
        <is>
          <t>NÃO</t>
        </is>
      </c>
      <c r="J11" s="10" t="inlineStr">
        <is>
          <t>Conformidade</t>
        </is>
      </c>
      <c r="K11" s="8">
        <f>IF(G11="","",IF(G11="SIM",1,0))</f>
        <v/>
      </c>
      <c r="L11" s="8">
        <f>IF(H11="","",IF(H11="SIM",1,0))</f>
        <v/>
      </c>
      <c r="M11" s="8">
        <f>IF(I11="","",IF(I11="SIM",1,0))</f>
        <v/>
      </c>
      <c r="N11" s="8">
        <f>IF(J11="","",IF(J11="Conformidade",1,IF(J11="Não Conformidade",0,IF(J11="Não Conformidade Grave",-1,""))))</f>
        <v/>
      </c>
      <c r="O11" s="51">
        <f>IF(COUNTA(G11:J11)=0,"",ROUND(AVERAGE(K11:N11)*100,0))</f>
        <v/>
      </c>
      <c r="P11" s="51">
        <f>IFERROR(AVERAGEIF(C$2:C$201,C11,O$2:O$201),"N/A")</f>
        <v/>
      </c>
      <c r="Q11" s="10" t="inlineStr">
        <is>
          <t>Treinamento apresenta lacuna de conteúdo, aplicação ou atualização.</t>
        </is>
      </c>
      <c r="R11" t="inlineStr">
        <is>
          <t>Atualizar conteúdo conforme documentos vigentes</t>
        </is>
      </c>
      <c r="S11" t="inlineStr">
        <is>
          <t>Fernanda Rocha</t>
        </is>
      </c>
      <c r="T11" s="47" t="n">
        <v>46344</v>
      </c>
      <c r="U11" t="inlineStr">
        <is>
          <t>Aguardando validação</t>
        </is>
      </c>
    </row>
    <row r="12" ht="15" customHeight="1" s="41">
      <c r="A12" s="8">
        <f>IF(B12="","",ROW()-1)</f>
        <v/>
      </c>
      <c r="B12" s="50" t="n">
        <v>46189</v>
      </c>
      <c r="C12" s="10" t="inlineStr">
        <is>
          <t>Atendimento</t>
        </is>
      </c>
      <c r="D12" s="10" t="inlineStr">
        <is>
          <t>Auditoria de Processos</t>
        </is>
      </c>
      <c r="E12" s="10" t="inlineStr">
        <is>
          <t>Auditoria Interna</t>
        </is>
      </c>
      <c r="F12" s="10" t="n">
        <v>14</v>
      </c>
      <c r="G12" s="10" t="inlineStr">
        <is>
          <t>SIM</t>
        </is>
      </c>
      <c r="H12" s="10" t="inlineStr">
        <is>
          <t>SIM</t>
        </is>
      </c>
      <c r="I12" s="10" t="inlineStr">
        <is>
          <t>SIM</t>
        </is>
      </c>
      <c r="J12" s="10" t="inlineStr">
        <is>
          <t>Conformidade</t>
        </is>
      </c>
      <c r="K12" s="8">
        <f>IF(G12="","",IF(G12="SIM",1,0))</f>
        <v/>
      </c>
      <c r="L12" s="8">
        <f>IF(H12="","",IF(H12="SIM",1,0))</f>
        <v/>
      </c>
      <c r="M12" s="8">
        <f>IF(I12="","",IF(I12="SIM",1,0))</f>
        <v/>
      </c>
      <c r="N12" s="8">
        <f>IF(J12="","",IF(J12="Conformidade",1,IF(J12="Não Conformidade",0,IF(J12="Não Conformidade Grave",-1,""))))</f>
        <v/>
      </c>
      <c r="O12" s="51">
        <f>IF(COUNTA(G12:J12)=0,"",ROUND(AVERAGE(K12:N12)*100,0))</f>
        <v/>
      </c>
      <c r="P12" s="51">
        <f>IFERROR(AVERAGEIF(C$2:C$201,C12,O$2:O$201),"N/A")</f>
        <v/>
      </c>
      <c r="Q12" s="10" t="inlineStr">
        <is>
          <t>Treinamento aderente e com evidência de aplicação.</t>
        </is>
      </c>
      <c r="R12" t="inlineStr">
        <is>
          <t>Manter reciclagem periódica.</t>
        </is>
      </c>
      <c r="S12" t="inlineStr">
        <is>
          <t>Gabriel Martins</t>
        </is>
      </c>
      <c r="T12" s="47" t="n">
        <v>46284</v>
      </c>
      <c r="U12" t="inlineStr">
        <is>
          <t>Concluído</t>
        </is>
      </c>
    </row>
    <row r="13" ht="15" customHeight="1" s="41">
      <c r="A13" s="8">
        <f>IF(B13="","",ROW()-1)</f>
        <v/>
      </c>
      <c r="B13" s="50" t="n">
        <v>46220</v>
      </c>
      <c r="C13" s="10" t="inlineStr">
        <is>
          <t>Tecnologia</t>
        </is>
      </c>
      <c r="D13" s="10" t="inlineStr">
        <is>
          <t>Faturamento</t>
        </is>
      </c>
      <c r="E13" s="10" t="inlineStr">
        <is>
          <t>Integração de Novos Colaboradores</t>
        </is>
      </c>
      <c r="F13" s="10" t="n">
        <v>15</v>
      </c>
      <c r="G13" s="10" t="inlineStr">
        <is>
          <t>SIM</t>
        </is>
      </c>
      <c r="H13" s="10" t="inlineStr">
        <is>
          <t>SIM</t>
        </is>
      </c>
      <c r="I13" s="10" t="inlineStr">
        <is>
          <t>SIM</t>
        </is>
      </c>
      <c r="J13" s="10" t="inlineStr">
        <is>
          <t>Não Conformidade</t>
        </is>
      </c>
      <c r="K13" s="8">
        <f>IF(G13="","",IF(G13="SIM",1,0))</f>
        <v/>
      </c>
      <c r="L13" s="8">
        <f>IF(H13="","",IF(H13="SIM",1,0))</f>
        <v/>
      </c>
      <c r="M13" s="8">
        <f>IF(I13="","",IF(I13="SIM",1,0))</f>
        <v/>
      </c>
      <c r="N13" s="8">
        <f>IF(J13="","",IF(J13="Conformidade",1,IF(J13="Não Conformidade",0,IF(J13="Não Conformidade Grave",-1,""))))</f>
        <v/>
      </c>
      <c r="O13" s="51">
        <f>IF(COUNTA(G13:J13)=0,"",ROUND(AVERAGE(K13:N13)*100,0))</f>
        <v/>
      </c>
      <c r="P13" s="51">
        <f>IFERROR(AVERAGEIF(C$2:C$201,C13,O$2:O$201),"N/A")</f>
        <v/>
      </c>
      <c r="Q13" s="10" t="inlineStr">
        <is>
          <t>Treinamento apresenta lacuna de conteúdo, aplicação ou atualização.</t>
        </is>
      </c>
      <c r="R13" t="inlineStr">
        <is>
          <t>Revisar material e obter aprovação</t>
        </is>
      </c>
      <c r="S13" t="inlineStr">
        <is>
          <t>Ana Lima</t>
        </is>
      </c>
      <c r="T13" s="47" t="n">
        <v>46315</v>
      </c>
      <c r="U13" t="inlineStr">
        <is>
          <t>Em andamento</t>
        </is>
      </c>
    </row>
    <row r="14" ht="15" customHeight="1" s="41">
      <c r="A14" s="8">
        <f>IF(B14="","",ROW()-1)</f>
        <v/>
      </c>
      <c r="B14" s="50" t="n">
        <v>46252</v>
      </c>
      <c r="C14" s="10" t="inlineStr">
        <is>
          <t>PROCESSOS</t>
        </is>
      </c>
      <c r="D14" s="10" t="inlineStr">
        <is>
          <t>Gestão de Contratos</t>
        </is>
      </c>
      <c r="E14" s="10" t="inlineStr">
        <is>
          <t>Gestão de Incidentes</t>
        </is>
      </c>
      <c r="F14" s="10" t="n">
        <v>16</v>
      </c>
      <c r="G14" s="10" t="inlineStr">
        <is>
          <t>SIM</t>
        </is>
      </c>
      <c r="H14" s="10" t="inlineStr">
        <is>
          <t>SIM</t>
        </is>
      </c>
      <c r="I14" s="10" t="inlineStr">
        <is>
          <t>NÃO</t>
        </is>
      </c>
      <c r="J14" s="10" t="inlineStr">
        <is>
          <t>Conformidade</t>
        </is>
      </c>
      <c r="K14" s="8">
        <f>IF(G14="","",IF(G14="SIM",1,0))</f>
        <v/>
      </c>
      <c r="L14" s="8">
        <f>IF(H14="","",IF(H14="SIM",1,0))</f>
        <v/>
      </c>
      <c r="M14" s="8">
        <f>IF(I14="","",IF(I14="SIM",1,0))</f>
        <v/>
      </c>
      <c r="N14" s="8">
        <f>IF(J14="","",IF(J14="Conformidade",1,IF(J14="Não Conformidade",0,IF(J14="Não Conformidade Grave",-1,""))))</f>
        <v/>
      </c>
      <c r="O14" s="51">
        <f>IF(COUNTA(G14:J14)=0,"",ROUND(AVERAGE(K14:N14)*100,0))</f>
        <v/>
      </c>
      <c r="P14" s="51">
        <f>IFERROR(AVERAGEIF(C$2:C$201,C14,O$2:O$201),"N/A")</f>
        <v/>
      </c>
      <c r="Q14" s="10" t="inlineStr">
        <is>
          <t>Treinamento apresenta lacuna de conteúdo, aplicação ou atualização.</t>
        </is>
      </c>
      <c r="R14" t="inlineStr">
        <is>
          <t>Tratar não conformidade e avaliar eficácia</t>
        </is>
      </c>
      <c r="S14" t="inlineStr">
        <is>
          <t>Bruno Costa</t>
        </is>
      </c>
      <c r="T14" s="47" t="n">
        <v>46347</v>
      </c>
      <c r="U14" t="inlineStr">
        <is>
          <t>Aguardando validação</t>
        </is>
      </c>
    </row>
    <row r="15" ht="15" customHeight="1" s="41">
      <c r="A15" s="8">
        <f>IF(B15="","",ROW()-1)</f>
        <v/>
      </c>
      <c r="B15" s="50" t="n">
        <v>46192</v>
      </c>
      <c r="C15" s="10" t="inlineStr">
        <is>
          <t>Qualidade</t>
        </is>
      </c>
      <c r="D15" s="10" t="inlineStr">
        <is>
          <t>Contas a Pagar</t>
        </is>
      </c>
      <c r="E15" s="10" t="inlineStr">
        <is>
          <t>Proteção de Dados</t>
        </is>
      </c>
      <c r="F15" s="10" t="n">
        <v>17</v>
      </c>
      <c r="G15" s="10" t="inlineStr">
        <is>
          <t>SIM</t>
        </is>
      </c>
      <c r="H15" s="10" t="inlineStr">
        <is>
          <t>NÃO</t>
        </is>
      </c>
      <c r="I15" s="10" t="inlineStr">
        <is>
          <t>NÃO</t>
        </is>
      </c>
      <c r="J15" s="10" t="inlineStr">
        <is>
          <t>Não Conformidade Grave</t>
        </is>
      </c>
      <c r="K15" s="8">
        <f>IF(G15="","",IF(G15="SIM",1,0))</f>
        <v/>
      </c>
      <c r="L15" s="8">
        <f>IF(H15="","",IF(H15="SIM",1,0))</f>
        <v/>
      </c>
      <c r="M15" s="8">
        <f>IF(I15="","",IF(I15="SIM",1,0))</f>
        <v/>
      </c>
      <c r="N15" s="8">
        <f>IF(J15="","",IF(J15="Conformidade",1,IF(J15="Não Conformidade",0,IF(J15="Não Conformidade Grave",-1,""))))</f>
        <v/>
      </c>
      <c r="O15" s="51">
        <f>IF(COUNTA(G15:J15)=0,"",ROUND(AVERAGE(K15:N15)*100,0))</f>
        <v/>
      </c>
      <c r="P15" s="51">
        <f>IFERROR(AVERAGEIF(C$2:C$201,C15,O$2:O$201),"N/A")</f>
        <v/>
      </c>
      <c r="Q15" s="10" t="inlineStr">
        <is>
          <t>Treinamento apresenta lacuna de conteúdo, aplicação ou atualização.</t>
        </is>
      </c>
      <c r="R15" t="inlineStr">
        <is>
          <t>Atualizar conteúdo conforme documentos vigentes</t>
        </is>
      </c>
      <c r="S15" t="inlineStr">
        <is>
          <t>Carla Souza</t>
        </is>
      </c>
      <c r="T15" s="47" t="n">
        <v>46287</v>
      </c>
      <c r="U15" t="inlineStr">
        <is>
          <t>Não iniciado</t>
        </is>
      </c>
    </row>
    <row r="16" ht="15" customHeight="1" s="41">
      <c r="A16" s="8">
        <f>IF(B16="","",ROW()-1)</f>
        <v/>
      </c>
      <c r="B16" s="50" t="n">
        <v>46223</v>
      </c>
      <c r="C16" s="10" t="inlineStr">
        <is>
          <t>Recursos Humanos</t>
        </is>
      </c>
      <c r="D16" s="10" t="inlineStr">
        <is>
          <t>Gestão de Incidentes</t>
        </is>
      </c>
      <c r="E16" s="10" t="inlineStr">
        <is>
          <t>Qualidade Operacional</t>
        </is>
      </c>
      <c r="F16" s="10" t="n">
        <v>18</v>
      </c>
      <c r="G16" s="10" t="inlineStr">
        <is>
          <t>SIM</t>
        </is>
      </c>
      <c r="H16" s="10" t="inlineStr">
        <is>
          <t>SIM</t>
        </is>
      </c>
      <c r="I16" s="10" t="inlineStr">
        <is>
          <t>SIM</t>
        </is>
      </c>
      <c r="J16" s="10" t="inlineStr">
        <is>
          <t>Conformidade</t>
        </is>
      </c>
      <c r="K16" s="8">
        <f>IF(G16="","",IF(G16="SIM",1,0))</f>
        <v/>
      </c>
      <c r="L16" s="8">
        <f>IF(H16="","",IF(H16="SIM",1,0))</f>
        <v/>
      </c>
      <c r="M16" s="8">
        <f>IF(I16="","",IF(I16="SIM",1,0))</f>
        <v/>
      </c>
      <c r="N16" s="8">
        <f>IF(J16="","",IF(J16="Conformidade",1,IF(J16="Não Conformidade",0,IF(J16="Não Conformidade Grave",-1,""))))</f>
        <v/>
      </c>
      <c r="O16" s="51">
        <f>IF(COUNTA(G16:J16)=0,"",ROUND(AVERAGE(K16:N16)*100,0))</f>
        <v/>
      </c>
      <c r="P16" s="51">
        <f>IFERROR(AVERAGEIF(C$2:C$201,C16,O$2:O$201),"N/A")</f>
        <v/>
      </c>
      <c r="Q16" s="10" t="inlineStr">
        <is>
          <t>Treinamento aderente e com evidência de aplicação.</t>
        </is>
      </c>
      <c r="R16" t="inlineStr">
        <is>
          <t>Manter reciclagem periódica.</t>
        </is>
      </c>
      <c r="S16" t="inlineStr">
        <is>
          <t>Diego Alves</t>
        </is>
      </c>
      <c r="T16" s="47" t="n">
        <v>46318</v>
      </c>
      <c r="U16" t="inlineStr">
        <is>
          <t>Concluído</t>
        </is>
      </c>
    </row>
    <row r="17" ht="15" customHeight="1" s="41">
      <c r="A17" s="8">
        <f>IF(B17="","",ROW()-1)</f>
        <v/>
      </c>
      <c r="B17" s="50" t="n">
        <v>46255</v>
      </c>
      <c r="C17" s="10" t="inlineStr">
        <is>
          <t>Financeiro</t>
        </is>
      </c>
      <c r="D17" s="10" t="inlineStr">
        <is>
          <t>Auditoria de Processos</t>
        </is>
      </c>
      <c r="E17" s="10" t="inlineStr">
        <is>
          <t>Atendimento ao Cliente</t>
        </is>
      </c>
      <c r="F17" s="10" t="n">
        <v>19</v>
      </c>
      <c r="G17" s="10" t="inlineStr">
        <is>
          <t>SIM</t>
        </is>
      </c>
      <c r="H17" s="10" t="inlineStr">
        <is>
          <t>SIM</t>
        </is>
      </c>
      <c r="I17" s="10" t="inlineStr">
        <is>
          <t>SIM</t>
        </is>
      </c>
      <c r="J17" s="10" t="inlineStr">
        <is>
          <t>Conformidade</t>
        </is>
      </c>
      <c r="K17" s="8">
        <f>IF(G17="","",IF(G17="SIM",1,0))</f>
        <v/>
      </c>
      <c r="L17" s="8">
        <f>IF(H17="","",IF(H17="SIM",1,0))</f>
        <v/>
      </c>
      <c r="M17" s="8">
        <f>IF(I17="","",IF(I17="SIM",1,0))</f>
        <v/>
      </c>
      <c r="N17" s="8">
        <f>IF(J17="","",IF(J17="Conformidade",1,IF(J17="Não Conformidade",0,IF(J17="Não Conformidade Grave",-1,""))))</f>
        <v/>
      </c>
      <c r="O17" s="51">
        <f>IF(COUNTA(G17:J17)=0,"",ROUND(AVERAGE(K17:N17)*100,0))</f>
        <v/>
      </c>
      <c r="P17" s="51">
        <f>IFERROR(AVERAGEIF(C$2:C$201,C17,O$2:O$201),"N/A")</f>
        <v/>
      </c>
      <c r="Q17" s="10" t="inlineStr">
        <is>
          <t>Treinamento aderente e com evidência de aplicação.</t>
        </is>
      </c>
      <c r="R17" t="inlineStr">
        <is>
          <t>Manter reciclagem periódica.</t>
        </is>
      </c>
      <c r="S17" t="inlineStr">
        <is>
          <t>Fernanda Rocha</t>
        </is>
      </c>
      <c r="T17" s="47" t="n">
        <v>46350</v>
      </c>
      <c r="U17" t="inlineStr">
        <is>
          <t>Concluído</t>
        </is>
      </c>
    </row>
    <row r="18" ht="15" customHeight="1" s="41">
      <c r="A18" s="8">
        <f>IF(B18="","",ROW()-1)</f>
        <v/>
      </c>
      <c r="B18" s="50" t="n">
        <v>46195</v>
      </c>
      <c r="C18" s="10" t="inlineStr">
        <is>
          <t>Atendimento</t>
        </is>
      </c>
      <c r="D18" s="10" t="inlineStr">
        <is>
          <t>Faturamento</t>
        </is>
      </c>
      <c r="E18" s="10" t="inlineStr">
        <is>
          <t>Controles Financeiros</t>
        </is>
      </c>
      <c r="F18" s="10" t="n">
        <v>20</v>
      </c>
      <c r="G18" s="10" t="inlineStr">
        <is>
          <t>SIM</t>
        </is>
      </c>
      <c r="H18" s="10" t="inlineStr">
        <is>
          <t>SIM</t>
        </is>
      </c>
      <c r="I18" s="10" t="inlineStr">
        <is>
          <t>SIM</t>
        </is>
      </c>
      <c r="J18" s="10" t="inlineStr">
        <is>
          <t>Não Conformidade</t>
        </is>
      </c>
      <c r="K18" s="8">
        <f>IF(G18="","",IF(G18="SIM",1,0))</f>
        <v/>
      </c>
      <c r="L18" s="8">
        <f>IF(H18="","",IF(H18="SIM",1,0))</f>
        <v/>
      </c>
      <c r="M18" s="8">
        <f>IF(I18="","",IF(I18="SIM",1,0))</f>
        <v/>
      </c>
      <c r="N18" s="8">
        <f>IF(J18="","",IF(J18="Conformidade",1,IF(J18="Não Conformidade",0,IF(J18="Não Conformidade Grave",-1,""))))</f>
        <v/>
      </c>
      <c r="O18" s="51">
        <f>IF(COUNTA(G18:J18)=0,"",ROUND(AVERAGE(K18:N18)*100,0))</f>
        <v/>
      </c>
      <c r="P18" s="51">
        <f>IFERROR(AVERAGEIF(C$2:C$201,C18,O$2:O$201),"N/A")</f>
        <v/>
      </c>
      <c r="Q18" s="10" t="inlineStr">
        <is>
          <t>Treinamento apresenta lacuna de conteúdo, aplicação ou atualização.</t>
        </is>
      </c>
      <c r="R18" t="inlineStr">
        <is>
          <t>Tratar não conformidade e avaliar eficácia</t>
        </is>
      </c>
      <c r="S18" t="inlineStr">
        <is>
          <t>Gabriel Martins</t>
        </is>
      </c>
      <c r="T18" s="47" t="n">
        <v>46290</v>
      </c>
      <c r="U18" t="inlineStr">
        <is>
          <t>Não iniciado</t>
        </is>
      </c>
    </row>
    <row r="19" ht="15" customHeight="1" s="41">
      <c r="A19" s="8">
        <f>IF(B19="","",ROW()-1)</f>
        <v/>
      </c>
      <c r="B19" s="50" t="n">
        <v>46226</v>
      </c>
      <c r="C19" s="10" t="inlineStr">
        <is>
          <t>Tecnologia</t>
        </is>
      </c>
      <c r="D19" s="10" t="inlineStr">
        <is>
          <t>Gestão de Contratos</t>
        </is>
      </c>
      <c r="E19" s="10" t="inlineStr">
        <is>
          <t>Gestão de Contratos</t>
        </is>
      </c>
      <c r="F19" s="10" t="n">
        <v>21</v>
      </c>
      <c r="G19" s="10" t="inlineStr">
        <is>
          <t>NÃO</t>
        </is>
      </c>
      <c r="H19" s="10" t="inlineStr">
        <is>
          <t>SIM</t>
        </is>
      </c>
      <c r="I19" s="10" t="inlineStr">
        <is>
          <t>NÃO</t>
        </is>
      </c>
      <c r="J19" s="10" t="inlineStr">
        <is>
          <t>Conformidade</t>
        </is>
      </c>
      <c r="K19" s="8">
        <f>IF(G19="","",IF(G19="SIM",1,0))</f>
        <v/>
      </c>
      <c r="L19" s="8">
        <f>IF(H19="","",IF(H19="SIM",1,0))</f>
        <v/>
      </c>
      <c r="M19" s="8">
        <f>IF(I19="","",IF(I19="SIM",1,0))</f>
        <v/>
      </c>
      <c r="N19" s="8">
        <f>IF(J19="","",IF(J19="Conformidade",1,IF(J19="Não Conformidade",0,IF(J19="Não Conformidade Grave",-1,""))))</f>
        <v/>
      </c>
      <c r="O19" s="51">
        <f>IF(COUNTA(G19:J19)=0,"",ROUND(AVERAGE(K19:N19)*100,0))</f>
        <v/>
      </c>
      <c r="P19" s="51">
        <f>IFERROR(AVERAGEIF(C$2:C$201,C19,O$2:O$201),"N/A")</f>
        <v/>
      </c>
      <c r="Q19" s="10" t="inlineStr">
        <is>
          <t>Treinamento apresenta lacuna de conteúdo, aplicação ou atualização.</t>
        </is>
      </c>
      <c r="R19" t="inlineStr">
        <is>
          <t>Atualizar conteúdo conforme documentos vigentes</t>
        </is>
      </c>
      <c r="S19" t="inlineStr">
        <is>
          <t>Ana Lima</t>
        </is>
      </c>
      <c r="T19" s="47" t="n">
        <v>46321</v>
      </c>
      <c r="U19" t="inlineStr">
        <is>
          <t>Em andamento</t>
        </is>
      </c>
    </row>
    <row r="20" ht="15" customHeight="1" s="41">
      <c r="A20" s="8">
        <f>IF(B20="","",ROW()-1)</f>
        <v/>
      </c>
      <c r="B20" s="50" t="n">
        <v>46258</v>
      </c>
      <c r="C20" s="10" t="inlineStr">
        <is>
          <t>PROCESSOS</t>
        </is>
      </c>
      <c r="D20" s="10" t="inlineStr">
        <is>
          <t>Contas a Pagar</t>
        </is>
      </c>
      <c r="E20" s="10" t="inlineStr">
        <is>
          <t>Segurança da Informação</t>
        </is>
      </c>
      <c r="F20" s="10" t="n">
        <v>22</v>
      </c>
      <c r="G20" s="10" t="inlineStr">
        <is>
          <t>NÃO</t>
        </is>
      </c>
      <c r="H20" s="10" t="inlineStr">
        <is>
          <t>SIM</t>
        </is>
      </c>
      <c r="I20" s="10" t="inlineStr">
        <is>
          <t>SIM</t>
        </is>
      </c>
      <c r="J20" s="10" t="inlineStr">
        <is>
          <t>Conformidade</t>
        </is>
      </c>
      <c r="K20" s="8">
        <f>IF(G20="","",IF(G20="SIM",1,0))</f>
        <v/>
      </c>
      <c r="L20" s="8">
        <f>IF(H20="","",IF(H20="SIM",1,0))</f>
        <v/>
      </c>
      <c r="M20" s="8">
        <f>IF(I20="","",IF(I20="SIM",1,0))</f>
        <v/>
      </c>
      <c r="N20" s="8">
        <f>IF(J20="","",IF(J20="Conformidade",1,IF(J20="Não Conformidade",0,IF(J20="Não Conformidade Grave",-1,""))))</f>
        <v/>
      </c>
      <c r="O20" s="51">
        <f>IF(COUNTA(G20:J20)=0,"",ROUND(AVERAGE(K20:N20)*100,0))</f>
        <v/>
      </c>
      <c r="P20" s="51">
        <f>IFERROR(AVERAGEIF(C$2:C$201,C20,O$2:O$201),"N/A")</f>
        <v/>
      </c>
      <c r="Q20" s="10" t="inlineStr">
        <is>
          <t>Treinamento apresenta lacuna de conteúdo, aplicação ou atualização.</t>
        </is>
      </c>
      <c r="R20" t="inlineStr">
        <is>
          <t>Programar nova turma e registrar presença</t>
        </is>
      </c>
      <c r="S20" t="inlineStr">
        <is>
          <t>Bruno Costa</t>
        </is>
      </c>
      <c r="T20" s="47" t="n">
        <v>46336</v>
      </c>
      <c r="U20" t="inlineStr">
        <is>
          <t>Aguardando validação</t>
        </is>
      </c>
    </row>
    <row r="21" ht="15" customHeight="1" s="41">
      <c r="A21" s="8">
        <f>IF(B21="","",ROW()-1)</f>
        <v/>
      </c>
      <c r="B21" s="50" t="n">
        <v>46198</v>
      </c>
      <c r="C21" s="10" t="inlineStr">
        <is>
          <t>Qualidade</t>
        </is>
      </c>
      <c r="D21" s="10" t="inlineStr">
        <is>
          <t>Gestão de Incidentes</t>
        </is>
      </c>
      <c r="E21" s="10" t="inlineStr">
        <is>
          <t>Política de Compras</t>
        </is>
      </c>
      <c r="F21" s="10" t="n">
        <v>23</v>
      </c>
      <c r="G21" s="10" t="inlineStr">
        <is>
          <t>SIM</t>
        </is>
      </c>
      <c r="H21" s="10" t="inlineStr">
        <is>
          <t>NÃO</t>
        </is>
      </c>
      <c r="I21" s="10" t="inlineStr">
        <is>
          <t>SIM</t>
        </is>
      </c>
      <c r="J21" s="10" t="inlineStr">
        <is>
          <t>Conformidade</t>
        </is>
      </c>
      <c r="K21" s="8">
        <f>IF(G21="","",IF(G21="SIM",1,0))</f>
        <v/>
      </c>
      <c r="L21" s="8">
        <f>IF(H21="","",IF(H21="SIM",1,0))</f>
        <v/>
      </c>
      <c r="M21" s="8">
        <f>IF(I21="","",IF(I21="SIM",1,0))</f>
        <v/>
      </c>
      <c r="N21" s="8">
        <f>IF(J21="","",IF(J21="Conformidade",1,IF(J21="Não Conformidade",0,IF(J21="Não Conformidade Grave",-1,""))))</f>
        <v/>
      </c>
      <c r="O21" s="51">
        <f>IF(COUNTA(G21:J21)=0,"",ROUND(AVERAGE(K21:N21)*100,0))</f>
        <v/>
      </c>
      <c r="P21" s="51">
        <f>IFERROR(AVERAGEIF(C$2:C$201,C21,O$2:O$201),"N/A")</f>
        <v/>
      </c>
      <c r="Q21" s="10" t="inlineStr">
        <is>
          <t>Treinamento apresenta lacuna de conteúdo, aplicação ou atualização.</t>
        </is>
      </c>
      <c r="R21" t="inlineStr">
        <is>
          <t>Revisar material e obter aprovação</t>
        </is>
      </c>
      <c r="S21" t="inlineStr">
        <is>
          <t>Carla Souza</t>
        </is>
      </c>
      <c r="T21" s="47" t="n">
        <v>46276</v>
      </c>
      <c r="U21" t="inlineStr">
        <is>
          <t>Não iniciado</t>
        </is>
      </c>
    </row>
    <row r="22" ht="15" customHeight="1" s="41">
      <c r="A22" s="8">
        <f>IF(B22="","",ROW()-1)</f>
        <v/>
      </c>
      <c r="B22" s="50" t="n">
        <v>46210</v>
      </c>
      <c r="C22" s="10" t="inlineStr">
        <is>
          <t>Recursos Humanos</t>
        </is>
      </c>
      <c r="D22" s="10" t="inlineStr">
        <is>
          <t>Auditoria de Processos</t>
        </is>
      </c>
      <c r="E22" s="10" t="inlineStr">
        <is>
          <t>Auditoria Interna</t>
        </is>
      </c>
      <c r="F22" s="10" t="n">
        <v>24</v>
      </c>
      <c r="G22" s="10" t="inlineStr">
        <is>
          <t>SIM</t>
        </is>
      </c>
      <c r="H22" s="10" t="inlineStr">
        <is>
          <t>NÃO</t>
        </is>
      </c>
      <c r="I22" s="10" t="inlineStr">
        <is>
          <t>SIM</t>
        </is>
      </c>
      <c r="J22" s="10" t="inlineStr">
        <is>
          <t>Conformidade</t>
        </is>
      </c>
      <c r="K22" s="8">
        <f>IF(G22="","",IF(G22="SIM",1,0))</f>
        <v/>
      </c>
      <c r="L22" s="8">
        <f>IF(H22="","",IF(H22="SIM",1,0))</f>
        <v/>
      </c>
      <c r="M22" s="8">
        <f>IF(I22="","",IF(I22="SIM",1,0))</f>
        <v/>
      </c>
      <c r="N22" s="8">
        <f>IF(J22="","",IF(J22="Conformidade",1,IF(J22="Não Conformidade",0,IF(J22="Não Conformidade Grave",-1,""))))</f>
        <v/>
      </c>
      <c r="O22" s="51">
        <f>IF(COUNTA(G22:J22)=0,"",ROUND(AVERAGE(K22:N22)*100,0))</f>
        <v/>
      </c>
      <c r="P22" s="51">
        <f>IFERROR(AVERAGEIF(C$2:C$201,C22,O$2:O$201),"N/A")</f>
        <v/>
      </c>
      <c r="Q22" s="10" t="inlineStr">
        <is>
          <t>Treinamento apresenta lacuna de conteúdo, aplicação ou atualização.</t>
        </is>
      </c>
      <c r="R22" t="inlineStr">
        <is>
          <t>Tratar não conformidade e avaliar eficácia</t>
        </is>
      </c>
      <c r="S22" t="inlineStr">
        <is>
          <t>Diego Alves</t>
        </is>
      </c>
      <c r="T22" s="47" t="n">
        <v>46307</v>
      </c>
      <c r="U22" t="inlineStr">
        <is>
          <t>Em andamento</t>
        </is>
      </c>
    </row>
    <row r="23" ht="15" customHeight="1" s="41">
      <c r="A23" s="8">
        <f>IF(B23="","",ROW()-1)</f>
        <v/>
      </c>
      <c r="B23" s="50" t="n">
        <v>46242</v>
      </c>
      <c r="C23" s="10" t="inlineStr">
        <is>
          <t>Financeiro</t>
        </is>
      </c>
      <c r="D23" s="10" t="inlineStr">
        <is>
          <t>Faturamento</t>
        </is>
      </c>
      <c r="E23" s="10" t="inlineStr">
        <is>
          <t>Integração de Novos Colaboradores</t>
        </is>
      </c>
      <c r="F23" s="10" t="n">
        <v>25</v>
      </c>
      <c r="G23" s="10" t="inlineStr">
        <is>
          <t>SIM</t>
        </is>
      </c>
      <c r="H23" s="10" t="inlineStr">
        <is>
          <t>SIM</t>
        </is>
      </c>
      <c r="I23" s="10" t="inlineStr">
        <is>
          <t>NÃO</t>
        </is>
      </c>
      <c r="J23" s="10" t="inlineStr">
        <is>
          <t>Não Conformidade</t>
        </is>
      </c>
      <c r="K23" s="8">
        <f>IF(G23="","",IF(G23="SIM",1,0))</f>
        <v/>
      </c>
      <c r="L23" s="8">
        <f>IF(H23="","",IF(H23="SIM",1,0))</f>
        <v/>
      </c>
      <c r="M23" s="8">
        <f>IF(I23="","",IF(I23="SIM",1,0))</f>
        <v/>
      </c>
      <c r="N23" s="8">
        <f>IF(J23="","",IF(J23="Conformidade",1,IF(J23="Não Conformidade",0,IF(J23="Não Conformidade Grave",-1,""))))</f>
        <v/>
      </c>
      <c r="O23" s="51">
        <f>IF(COUNTA(G23:J23)=0,"",ROUND(AVERAGE(K23:N23)*100,0))</f>
        <v/>
      </c>
      <c r="P23" s="51">
        <f>IFERROR(AVERAGEIF(C$2:C$201,C23,O$2:O$201),"N/A")</f>
        <v/>
      </c>
      <c r="Q23" s="10" t="inlineStr">
        <is>
          <t>Treinamento apresenta lacuna de conteúdo, aplicação ou atualização.</t>
        </is>
      </c>
      <c r="R23" t="inlineStr">
        <is>
          <t>Atualizar conteúdo conforme documentos vigentes</t>
        </is>
      </c>
      <c r="S23" t="inlineStr">
        <is>
          <t>Fernanda Rocha</t>
        </is>
      </c>
      <c r="T23" s="47" t="n">
        <v>46339</v>
      </c>
      <c r="U23" t="inlineStr">
        <is>
          <t>Aguardando validação</t>
        </is>
      </c>
    </row>
    <row r="24" ht="15" customHeight="1" s="41">
      <c r="A24" s="8">
        <f>IF(B24="","",ROW()-1)</f>
        <v/>
      </c>
      <c r="B24" s="50" t="n">
        <v>46182</v>
      </c>
      <c r="C24" s="10" t="inlineStr">
        <is>
          <t>Atendimento</t>
        </is>
      </c>
      <c r="D24" s="10" t="inlineStr">
        <is>
          <t>Gestão de Contratos</t>
        </is>
      </c>
      <c r="E24" s="10" t="inlineStr">
        <is>
          <t>Gestão de Incidentes</t>
        </is>
      </c>
      <c r="F24" s="10" t="n">
        <v>26</v>
      </c>
      <c r="G24" s="10" t="inlineStr">
        <is>
          <t>SIM</t>
        </is>
      </c>
      <c r="H24" s="10" t="inlineStr">
        <is>
          <t>SIM</t>
        </is>
      </c>
      <c r="I24" s="10" t="inlineStr">
        <is>
          <t>SIM</t>
        </is>
      </c>
      <c r="J24" s="10" t="inlineStr">
        <is>
          <t>Conformidade</t>
        </is>
      </c>
      <c r="K24" s="8">
        <f>IF(G24="","",IF(G24="SIM",1,0))</f>
        <v/>
      </c>
      <c r="L24" s="8">
        <f>IF(H24="","",IF(H24="SIM",1,0))</f>
        <v/>
      </c>
      <c r="M24" s="8">
        <f>IF(I24="","",IF(I24="SIM",1,0))</f>
        <v/>
      </c>
      <c r="N24" s="8">
        <f>IF(J24="","",IF(J24="Conformidade",1,IF(J24="Não Conformidade",0,IF(J24="Não Conformidade Grave",-1,""))))</f>
        <v/>
      </c>
      <c r="O24" s="51">
        <f>IF(COUNTA(G24:J24)=0,"",ROUND(AVERAGE(K24:N24)*100,0))</f>
        <v/>
      </c>
      <c r="P24" s="51">
        <f>IFERROR(AVERAGEIF(C$2:C$201,C24,O$2:O$201),"N/A")</f>
        <v/>
      </c>
      <c r="Q24" s="10" t="inlineStr">
        <is>
          <t>Treinamento aderente e com evidência de aplicação.</t>
        </is>
      </c>
      <c r="R24" t="inlineStr">
        <is>
          <t>Manter reciclagem periódica.</t>
        </is>
      </c>
      <c r="S24" t="inlineStr">
        <is>
          <t>Gabriel Martins</t>
        </is>
      </c>
      <c r="T24" s="47" t="n">
        <v>46279</v>
      </c>
      <c r="U24" t="inlineStr">
        <is>
          <t>Concluído</t>
        </is>
      </c>
    </row>
    <row r="25" ht="15" customHeight="1" s="41">
      <c r="A25" s="8">
        <f>IF(B25="","",ROW()-1)</f>
        <v/>
      </c>
      <c r="B25" s="50" t="n">
        <v>46213</v>
      </c>
      <c r="C25" s="10" t="inlineStr">
        <is>
          <t>Tecnologia</t>
        </is>
      </c>
      <c r="D25" s="10" t="inlineStr">
        <is>
          <t>Contas a Pagar</t>
        </is>
      </c>
      <c r="E25" s="10" t="inlineStr">
        <is>
          <t>Proteção de Dados</t>
        </is>
      </c>
      <c r="F25" s="10" t="n">
        <v>27</v>
      </c>
      <c r="G25" s="10" t="inlineStr">
        <is>
          <t>SIM</t>
        </is>
      </c>
      <c r="H25" s="10" t="inlineStr">
        <is>
          <t>SIM</t>
        </is>
      </c>
      <c r="I25" s="10" t="inlineStr">
        <is>
          <t>NÃO</t>
        </is>
      </c>
      <c r="J25" s="10" t="inlineStr">
        <is>
          <t>Conformidade</t>
        </is>
      </c>
      <c r="K25" s="8">
        <f>IF(G25="","",IF(G25="SIM",1,0))</f>
        <v/>
      </c>
      <c r="L25" s="8">
        <f>IF(H25="","",IF(H25="SIM",1,0))</f>
        <v/>
      </c>
      <c r="M25" s="8">
        <f>IF(I25="","",IF(I25="SIM",1,0))</f>
        <v/>
      </c>
      <c r="N25" s="8">
        <f>IF(J25="","",IF(J25="Conformidade",1,IF(J25="Não Conformidade",0,IF(J25="Não Conformidade Grave",-1,""))))</f>
        <v/>
      </c>
      <c r="O25" s="51">
        <f>IF(COUNTA(G25:J25)=0,"",ROUND(AVERAGE(K25:N25)*100,0))</f>
        <v/>
      </c>
      <c r="P25" s="51">
        <f>IFERROR(AVERAGEIF(C$2:C$201,C25,O$2:O$201),"N/A")</f>
        <v/>
      </c>
      <c r="Q25" s="10" t="inlineStr">
        <is>
          <t>Treinamento apresenta lacuna de conteúdo, aplicação ou atualização.</t>
        </is>
      </c>
      <c r="R25" t="inlineStr">
        <is>
          <t>Revisar material e obter aprovação</t>
        </is>
      </c>
      <c r="S25" t="inlineStr">
        <is>
          <t>Ana Lima</t>
        </is>
      </c>
      <c r="T25" s="47" t="n">
        <v>46310</v>
      </c>
      <c r="U25" t="inlineStr">
        <is>
          <t>Em andamento</t>
        </is>
      </c>
    </row>
    <row r="26" ht="15" customHeight="1" s="41">
      <c r="A26" s="8">
        <f>IF(B26="","",ROW()-1)</f>
        <v/>
      </c>
      <c r="B26" s="50" t="n">
        <v>46245</v>
      </c>
      <c r="C26" s="10" t="inlineStr">
        <is>
          <t>PROCESSOS</t>
        </is>
      </c>
      <c r="D26" s="10" t="inlineStr">
        <is>
          <t>Gestão de Incidentes</t>
        </is>
      </c>
      <c r="E26" s="10" t="inlineStr">
        <is>
          <t>Qualidade Operacional</t>
        </is>
      </c>
      <c r="F26" s="10" t="n">
        <v>28</v>
      </c>
      <c r="G26" s="10" t="inlineStr">
        <is>
          <t>SIM</t>
        </is>
      </c>
      <c r="H26" s="10" t="inlineStr">
        <is>
          <t>SIM</t>
        </is>
      </c>
      <c r="I26" s="10" t="inlineStr">
        <is>
          <t>SIM</t>
        </is>
      </c>
      <c r="J26" s="10" t="inlineStr">
        <is>
          <t>Conformidade</t>
        </is>
      </c>
      <c r="K26" s="8">
        <f>IF(G26="","",IF(G26="SIM",1,0))</f>
        <v/>
      </c>
      <c r="L26" s="8">
        <f>IF(H26="","",IF(H26="SIM",1,0))</f>
        <v/>
      </c>
      <c r="M26" s="8">
        <f>IF(I26="","",IF(I26="SIM",1,0))</f>
        <v/>
      </c>
      <c r="N26" s="8">
        <f>IF(J26="","",IF(J26="Conformidade",1,IF(J26="Não Conformidade",0,IF(J26="Não Conformidade Grave",-1,""))))</f>
        <v/>
      </c>
      <c r="O26" s="51">
        <f>IF(COUNTA(G26:J26)=0,"",ROUND(AVERAGE(K26:N26)*100,0))</f>
        <v/>
      </c>
      <c r="P26" s="51">
        <f>IFERROR(AVERAGEIF(C$2:C$201,C26,O$2:O$201),"N/A")</f>
        <v/>
      </c>
      <c r="Q26" s="10" t="inlineStr">
        <is>
          <t>Treinamento aderente e com evidência de aplicação.</t>
        </is>
      </c>
      <c r="R26" t="inlineStr">
        <is>
          <t>Manter reciclagem periódica.</t>
        </is>
      </c>
      <c r="S26" t="inlineStr">
        <is>
          <t>Bruno Costa</t>
        </is>
      </c>
      <c r="T26" s="47" t="n">
        <v>46342</v>
      </c>
      <c r="U26" t="inlineStr">
        <is>
          <t>Concluído</t>
        </is>
      </c>
    </row>
    <row r="27" ht="15" customHeight="1" s="41">
      <c r="A27" s="8">
        <f>IF(B27="","",ROW()-1)</f>
        <v/>
      </c>
      <c r="B27" s="50" t="n">
        <v>46185</v>
      </c>
      <c r="C27" s="10" t="inlineStr">
        <is>
          <t>Qualidade</t>
        </is>
      </c>
      <c r="D27" s="10" t="inlineStr">
        <is>
          <t>Auditoria de Processos</t>
        </is>
      </c>
      <c r="E27" s="10" t="inlineStr">
        <is>
          <t>Atendimento ao Cliente</t>
        </is>
      </c>
      <c r="F27" s="10" t="n">
        <v>29</v>
      </c>
      <c r="G27" s="10" t="inlineStr">
        <is>
          <t>NÃO</t>
        </is>
      </c>
      <c r="H27" s="10" t="inlineStr">
        <is>
          <t>NÃO</t>
        </is>
      </c>
      <c r="I27" s="10" t="inlineStr">
        <is>
          <t>NÃO</t>
        </is>
      </c>
      <c r="J27" s="10" t="inlineStr">
        <is>
          <t>Não Conformidade Grave</t>
        </is>
      </c>
      <c r="K27" s="8">
        <f>IF(G27="","",IF(G27="SIM",1,0))</f>
        <v/>
      </c>
      <c r="L27" s="8">
        <f>IF(H27="","",IF(H27="SIM",1,0))</f>
        <v/>
      </c>
      <c r="M27" s="8">
        <f>IF(I27="","",IF(I27="SIM",1,0))</f>
        <v/>
      </c>
      <c r="N27" s="8">
        <f>IF(J27="","",IF(J27="Conformidade",1,IF(J27="Não Conformidade",0,IF(J27="Não Conformidade Grave",-1,""))))</f>
        <v/>
      </c>
      <c r="O27" s="51">
        <f>IF(COUNTA(G27:J27)=0,"",ROUND(AVERAGE(K27:N27)*100,0))</f>
        <v/>
      </c>
      <c r="P27" s="51">
        <f>IFERROR(AVERAGEIF(C$2:C$201,C27,O$2:O$201),"N/A")</f>
        <v/>
      </c>
      <c r="Q27" s="10" t="inlineStr">
        <is>
          <t>Treinamento apresenta lacuna de conteúdo, aplicação ou atualização.</t>
        </is>
      </c>
      <c r="R27" t="inlineStr">
        <is>
          <t>Atualizar conteúdo conforme documentos vigentes</t>
        </is>
      </c>
      <c r="S27" t="inlineStr">
        <is>
          <t>Carla Souza</t>
        </is>
      </c>
      <c r="T27" s="47" t="n">
        <v>46282</v>
      </c>
      <c r="U27" t="inlineStr">
        <is>
          <t>Não iniciado</t>
        </is>
      </c>
    </row>
    <row r="28" ht="15" customHeight="1" s="41">
      <c r="A28" s="8">
        <f>IF(B28="","",ROW()-1)</f>
        <v/>
      </c>
      <c r="B28" s="50" t="n">
        <v>46216</v>
      </c>
      <c r="C28" s="10" t="inlineStr">
        <is>
          <t>Recursos Humanos</t>
        </is>
      </c>
      <c r="D28" s="10" t="inlineStr">
        <is>
          <t>Faturamento</t>
        </is>
      </c>
      <c r="E28" s="10" t="inlineStr">
        <is>
          <t>Controles Financeiros</t>
        </is>
      </c>
      <c r="F28" s="10" t="n">
        <v>30</v>
      </c>
      <c r="G28" s="10" t="inlineStr">
        <is>
          <t>SIM</t>
        </is>
      </c>
      <c r="H28" s="10" t="inlineStr">
        <is>
          <t>SIM</t>
        </is>
      </c>
      <c r="I28" s="10" t="inlineStr">
        <is>
          <t>SIM</t>
        </is>
      </c>
      <c r="J28" s="10" t="inlineStr">
        <is>
          <t>Não Conformidade</t>
        </is>
      </c>
      <c r="K28" s="8">
        <f>IF(G28="","",IF(G28="SIM",1,0))</f>
        <v/>
      </c>
      <c r="L28" s="8">
        <f>IF(H28="","",IF(H28="SIM",1,0))</f>
        <v/>
      </c>
      <c r="M28" s="8">
        <f>IF(I28="","",IF(I28="SIM",1,0))</f>
        <v/>
      </c>
      <c r="N28" s="8">
        <f>IF(J28="","",IF(J28="Conformidade",1,IF(J28="Não Conformidade",0,IF(J28="Não Conformidade Grave",-1,""))))</f>
        <v/>
      </c>
      <c r="O28" s="51">
        <f>IF(COUNTA(G28:J28)=0,"",ROUND(AVERAGE(K28:N28)*100,0))</f>
        <v/>
      </c>
      <c r="P28" s="51">
        <f>IFERROR(AVERAGEIF(C$2:C$201,C28,O$2:O$201),"N/A")</f>
        <v/>
      </c>
      <c r="Q28" s="10" t="inlineStr">
        <is>
          <t>Treinamento apresenta lacuna de conteúdo, aplicação ou atualização.</t>
        </is>
      </c>
      <c r="R28" t="inlineStr">
        <is>
          <t>Programar nova turma e registrar presença</t>
        </is>
      </c>
      <c r="S28" t="inlineStr">
        <is>
          <t>Diego Alves</t>
        </is>
      </c>
      <c r="T28" s="47" t="n">
        <v>46313</v>
      </c>
      <c r="U28" t="inlineStr">
        <is>
          <t>Em andamento</t>
        </is>
      </c>
    </row>
    <row r="29" ht="15" customHeight="1" s="41">
      <c r="A29" s="8">
        <f>IF(B29="","",ROW()-1)</f>
        <v/>
      </c>
      <c r="B29" s="50" t="n">
        <v>46248</v>
      </c>
      <c r="C29" s="10" t="inlineStr">
        <is>
          <t>Financeiro</t>
        </is>
      </c>
      <c r="D29" s="10" t="inlineStr">
        <is>
          <t>Gestão de Contratos</t>
        </is>
      </c>
      <c r="E29" s="10" t="inlineStr">
        <is>
          <t>Gestão de Contratos</t>
        </is>
      </c>
      <c r="F29" s="10" t="n">
        <v>5</v>
      </c>
      <c r="G29" s="10" t="inlineStr">
        <is>
          <t>SIM</t>
        </is>
      </c>
      <c r="H29" s="10" t="inlineStr">
        <is>
          <t>SIM</t>
        </is>
      </c>
      <c r="I29" s="10" t="inlineStr">
        <is>
          <t>SIM</t>
        </is>
      </c>
      <c r="J29" s="10" t="inlineStr">
        <is>
          <t>Conformidade</t>
        </is>
      </c>
      <c r="K29" s="8">
        <f>IF(G29="","",IF(G29="SIM",1,0))</f>
        <v/>
      </c>
      <c r="L29" s="8">
        <f>IF(H29="","",IF(H29="SIM",1,0))</f>
        <v/>
      </c>
      <c r="M29" s="8">
        <f>IF(I29="","",IF(I29="SIM",1,0))</f>
        <v/>
      </c>
      <c r="N29" s="8">
        <f>IF(J29="","",IF(J29="Conformidade",1,IF(J29="Não Conformidade",0,IF(J29="Não Conformidade Grave",-1,""))))</f>
        <v/>
      </c>
      <c r="O29" s="51">
        <f>IF(COUNTA(G29:J29)=0,"",ROUND(AVERAGE(K29:N29)*100,0))</f>
        <v/>
      </c>
      <c r="P29" s="51">
        <f>IFERROR(AVERAGEIF(C$2:C$201,C29,O$2:O$201),"N/A")</f>
        <v/>
      </c>
      <c r="Q29" s="10" t="inlineStr">
        <is>
          <t>Treinamento aderente e com evidência de aplicação.</t>
        </is>
      </c>
      <c r="R29" t="inlineStr">
        <is>
          <t>Manter reciclagem periódica.</t>
        </is>
      </c>
      <c r="S29" t="inlineStr">
        <is>
          <t>Fernanda Rocha</t>
        </is>
      </c>
      <c r="T29" s="47" t="n">
        <v>46345</v>
      </c>
      <c r="U29" t="inlineStr">
        <is>
          <t>Concluído</t>
        </is>
      </c>
    </row>
    <row r="30" ht="15" customHeight="1" s="41">
      <c r="A30" s="8">
        <f>IF(B30="","",ROW()-1)</f>
        <v/>
      </c>
      <c r="B30" s="50" t="n">
        <v>46188</v>
      </c>
      <c r="C30" s="10" t="inlineStr">
        <is>
          <t>Atendimento</t>
        </is>
      </c>
      <c r="D30" s="10" t="inlineStr">
        <is>
          <t>Contas a Pagar</t>
        </is>
      </c>
      <c r="E30" s="10" t="inlineStr">
        <is>
          <t>Segurança da Informação</t>
        </is>
      </c>
      <c r="F30" s="10" t="n">
        <v>6</v>
      </c>
      <c r="G30" s="10" t="inlineStr">
        <is>
          <t>SIM</t>
        </is>
      </c>
      <c r="H30" s="10" t="inlineStr">
        <is>
          <t>SIM</t>
        </is>
      </c>
      <c r="I30" s="10" t="inlineStr">
        <is>
          <t>SIM</t>
        </is>
      </c>
      <c r="J30" s="10" t="inlineStr">
        <is>
          <t>Conformidade</t>
        </is>
      </c>
      <c r="K30" s="8">
        <f>IF(G30="","",IF(G30="SIM",1,0))</f>
        <v/>
      </c>
      <c r="L30" s="8">
        <f>IF(H30="","",IF(H30="SIM",1,0))</f>
        <v/>
      </c>
      <c r="M30" s="8">
        <f>IF(I30="","",IF(I30="SIM",1,0))</f>
        <v/>
      </c>
      <c r="N30" s="8">
        <f>IF(J30="","",IF(J30="Conformidade",1,IF(J30="Não Conformidade",0,IF(J30="Não Conformidade Grave",-1,""))))</f>
        <v/>
      </c>
      <c r="O30" s="51">
        <f>IF(COUNTA(G30:J30)=0,"",ROUND(AVERAGE(K30:N30)*100,0))</f>
        <v/>
      </c>
      <c r="P30" s="51">
        <f>IFERROR(AVERAGEIF(C$2:C$201,C30,O$2:O$201),"N/A")</f>
        <v/>
      </c>
      <c r="Q30" s="10" t="inlineStr">
        <is>
          <t>Treinamento aderente e com evidência de aplicação.</t>
        </is>
      </c>
      <c r="R30" t="inlineStr">
        <is>
          <t>Manter reciclagem periódica.</t>
        </is>
      </c>
      <c r="S30" t="inlineStr">
        <is>
          <t>Gabriel Martins</t>
        </is>
      </c>
      <c r="T30" s="47" t="n">
        <v>46285</v>
      </c>
      <c r="U30" t="inlineStr">
        <is>
          <t>Concluído</t>
        </is>
      </c>
    </row>
    <row r="31" ht="15" customHeight="1" s="41">
      <c r="A31" s="8">
        <f>IF(B31="","",ROW()-1)</f>
        <v/>
      </c>
      <c r="B31" s="50" t="n">
        <v>46219</v>
      </c>
      <c r="C31" s="10" t="inlineStr">
        <is>
          <t>Tecnologia</t>
        </is>
      </c>
      <c r="D31" s="10" t="inlineStr">
        <is>
          <t>Gestão de Incidentes</t>
        </is>
      </c>
      <c r="E31" s="10" t="inlineStr">
        <is>
          <t>Política de Compras</t>
        </is>
      </c>
      <c r="F31" s="10" t="n">
        <v>7</v>
      </c>
      <c r="G31" s="10" t="inlineStr">
        <is>
          <t>SIM</t>
        </is>
      </c>
      <c r="H31" s="10" t="inlineStr">
        <is>
          <t>SIM</t>
        </is>
      </c>
      <c r="I31" s="10" t="inlineStr">
        <is>
          <t>NÃO</t>
        </is>
      </c>
      <c r="J31" s="10" t="inlineStr">
        <is>
          <t>Conformidade</t>
        </is>
      </c>
      <c r="K31" s="8">
        <f>IF(G31="","",IF(G31="SIM",1,0))</f>
        <v/>
      </c>
      <c r="L31" s="8">
        <f>IF(H31="","",IF(H31="SIM",1,0))</f>
        <v/>
      </c>
      <c r="M31" s="8">
        <f>IF(I31="","",IF(I31="SIM",1,0))</f>
        <v/>
      </c>
      <c r="N31" s="8">
        <f>IF(J31="","",IF(J31="Conformidade",1,IF(J31="Não Conformidade",0,IF(J31="Não Conformidade Grave",-1,""))))</f>
        <v/>
      </c>
      <c r="O31" s="51">
        <f>IF(COUNTA(G31:J31)=0,"",ROUND(AVERAGE(K31:N31)*100,0))</f>
        <v/>
      </c>
      <c r="P31" s="51">
        <f>IFERROR(AVERAGEIF(C$2:C$201,C31,O$2:O$201),"N/A")</f>
        <v/>
      </c>
      <c r="Q31" s="10" t="inlineStr">
        <is>
          <t>Treinamento apresenta lacuna de conteúdo, aplicação ou atualização.</t>
        </is>
      </c>
      <c r="R31" t="inlineStr">
        <is>
          <t>Atualizar conteúdo conforme documentos vigentes</t>
        </is>
      </c>
      <c r="S31" t="inlineStr">
        <is>
          <t>Ana Lima</t>
        </is>
      </c>
      <c r="T31" s="47" t="n">
        <v>46316</v>
      </c>
      <c r="U31" t="inlineStr">
        <is>
          <t>Em andamento</t>
        </is>
      </c>
    </row>
    <row r="32" ht="15" customHeight="1" s="41">
      <c r="A32" s="8">
        <f>IF(B32="","",ROW()-1)</f>
        <v/>
      </c>
      <c r="B32" s="50" t="n">
        <v>46251</v>
      </c>
      <c r="C32" s="10" t="inlineStr">
        <is>
          <t>PROCESSOS</t>
        </is>
      </c>
      <c r="D32" s="10" t="inlineStr">
        <is>
          <t>Auditoria de Processos</t>
        </is>
      </c>
      <c r="E32" s="10" t="inlineStr">
        <is>
          <t>Auditoria Interna</t>
        </is>
      </c>
      <c r="F32" s="10" t="n">
        <v>8</v>
      </c>
      <c r="G32" s="10" t="inlineStr">
        <is>
          <t>SIM</t>
        </is>
      </c>
      <c r="H32" s="10" t="inlineStr">
        <is>
          <t>SIM</t>
        </is>
      </c>
      <c r="I32" s="10" t="inlineStr">
        <is>
          <t>SIM</t>
        </is>
      </c>
      <c r="J32" s="10" t="inlineStr">
        <is>
          <t>Conformidade</t>
        </is>
      </c>
      <c r="K32" s="8">
        <f>IF(G32="","",IF(G32="SIM",1,0))</f>
        <v/>
      </c>
      <c r="L32" s="8">
        <f>IF(H32="","",IF(H32="SIM",1,0))</f>
        <v/>
      </c>
      <c r="M32" s="8">
        <f>IF(I32="","",IF(I32="SIM",1,0))</f>
        <v/>
      </c>
      <c r="N32" s="8">
        <f>IF(J32="","",IF(J32="Conformidade",1,IF(J32="Não Conformidade",0,IF(J32="Não Conformidade Grave",-1,""))))</f>
        <v/>
      </c>
      <c r="O32" s="51">
        <f>IF(COUNTA(G32:J32)=0,"",ROUND(AVERAGE(K32:N32)*100,0))</f>
        <v/>
      </c>
      <c r="P32" s="51">
        <f>IFERROR(AVERAGEIF(C$2:C$201,C32,O$2:O$201),"N/A")</f>
        <v/>
      </c>
      <c r="Q32" s="10" t="inlineStr">
        <is>
          <t>Treinamento aderente e com evidência de aplicação.</t>
        </is>
      </c>
      <c r="R32" t="inlineStr">
        <is>
          <t>Manter reciclagem periódica.</t>
        </is>
      </c>
      <c r="S32" t="inlineStr">
        <is>
          <t>Bruno Costa</t>
        </is>
      </c>
      <c r="T32" s="47" t="n">
        <v>46348</v>
      </c>
      <c r="U32" t="inlineStr">
        <is>
          <t>Concluído</t>
        </is>
      </c>
    </row>
    <row r="33" ht="15" customHeight="1" s="41">
      <c r="A33" s="8">
        <f>IF(B33="","",ROW()-1)</f>
        <v/>
      </c>
      <c r="B33" s="50" t="n">
        <v>46191</v>
      </c>
      <c r="C33" s="10" t="inlineStr">
        <is>
          <t>Qualidade</t>
        </is>
      </c>
      <c r="D33" s="10" t="inlineStr">
        <is>
          <t>Faturamento</t>
        </is>
      </c>
      <c r="E33" s="10" t="inlineStr">
        <is>
          <t>Integração de Novos Colaboradores</t>
        </is>
      </c>
      <c r="F33" s="10" t="n">
        <v>9</v>
      </c>
      <c r="G33" s="10" t="inlineStr">
        <is>
          <t>SIM</t>
        </is>
      </c>
      <c r="H33" s="10" t="inlineStr">
        <is>
          <t>NÃO</t>
        </is>
      </c>
      <c r="I33" s="10" t="inlineStr">
        <is>
          <t>SIM</t>
        </is>
      </c>
      <c r="J33" s="10" t="inlineStr">
        <is>
          <t>Não Conformidade</t>
        </is>
      </c>
      <c r="K33" s="8">
        <f>IF(G33="","",IF(G33="SIM",1,0))</f>
        <v/>
      </c>
      <c r="L33" s="8">
        <f>IF(H33="","",IF(H33="SIM",1,0))</f>
        <v/>
      </c>
      <c r="M33" s="8">
        <f>IF(I33="","",IF(I33="SIM",1,0))</f>
        <v/>
      </c>
      <c r="N33" s="8">
        <f>IF(J33="","",IF(J33="Conformidade",1,IF(J33="Não Conformidade",0,IF(J33="Não Conformidade Grave",-1,""))))</f>
        <v/>
      </c>
      <c r="O33" s="51">
        <f>IF(COUNTA(G33:J33)=0,"",ROUND(AVERAGE(K33:N33)*100,0))</f>
        <v/>
      </c>
      <c r="P33" s="51">
        <f>IFERROR(AVERAGEIF(C$2:C$201,C33,O$2:O$201),"N/A")</f>
        <v/>
      </c>
      <c r="Q33" s="10" t="inlineStr">
        <is>
          <t>Treinamento apresenta lacuna de conteúdo, aplicação ou atualização.</t>
        </is>
      </c>
      <c r="R33" t="inlineStr">
        <is>
          <t>Revisar material e obter aprovação</t>
        </is>
      </c>
      <c r="S33" t="inlineStr">
        <is>
          <t>Carla Souza</t>
        </is>
      </c>
      <c r="T33" s="47" t="n">
        <v>46288</v>
      </c>
      <c r="U33" t="inlineStr">
        <is>
          <t>Não iniciado</t>
        </is>
      </c>
    </row>
    <row r="34" ht="15" customHeight="1" s="41">
      <c r="A34" s="8">
        <f>IF(B34="","",ROW()-1)</f>
        <v/>
      </c>
      <c r="B34" s="50" t="n">
        <v>46222</v>
      </c>
      <c r="C34" s="10" t="inlineStr">
        <is>
          <t>Recursos Humanos</t>
        </is>
      </c>
      <c r="D34" s="10" t="inlineStr">
        <is>
          <t>Gestão de Contratos</t>
        </is>
      </c>
      <c r="E34" s="10" t="inlineStr">
        <is>
          <t>Gestão de Incidentes</t>
        </is>
      </c>
      <c r="F34" s="10" t="n">
        <v>10</v>
      </c>
      <c r="G34" s="10" t="inlineStr">
        <is>
          <t>SIM</t>
        </is>
      </c>
      <c r="H34" s="10" t="inlineStr">
        <is>
          <t>SIM</t>
        </is>
      </c>
      <c r="I34" s="10" t="inlineStr">
        <is>
          <t>SIM</t>
        </is>
      </c>
      <c r="J34" s="10" t="inlineStr">
        <is>
          <t>Conformidade</t>
        </is>
      </c>
      <c r="K34" s="8">
        <f>IF(G34="","",IF(G34="SIM",1,0))</f>
        <v/>
      </c>
      <c r="L34" s="8">
        <f>IF(H34="","",IF(H34="SIM",1,0))</f>
        <v/>
      </c>
      <c r="M34" s="8">
        <f>IF(I34="","",IF(I34="SIM",1,0))</f>
        <v/>
      </c>
      <c r="N34" s="8">
        <f>IF(J34="","",IF(J34="Conformidade",1,IF(J34="Não Conformidade",0,IF(J34="Não Conformidade Grave",-1,""))))</f>
        <v/>
      </c>
      <c r="O34" s="51">
        <f>IF(COUNTA(G34:J34)=0,"",ROUND(AVERAGE(K34:N34)*100,0))</f>
        <v/>
      </c>
      <c r="P34" s="51">
        <f>IFERROR(AVERAGEIF(C$2:C$201,C34,O$2:O$201),"N/A")</f>
        <v/>
      </c>
      <c r="Q34" s="10" t="inlineStr">
        <is>
          <t>Treinamento aderente e com evidência de aplicação.</t>
        </is>
      </c>
      <c r="R34" t="inlineStr">
        <is>
          <t>Manter reciclagem periódica.</t>
        </is>
      </c>
      <c r="S34" t="inlineStr">
        <is>
          <t>Diego Alves</t>
        </is>
      </c>
      <c r="T34" s="47" t="n">
        <v>46319</v>
      </c>
      <c r="U34" t="inlineStr">
        <is>
          <t>Concluído</t>
        </is>
      </c>
    </row>
    <row r="35" ht="15" customHeight="1" s="41">
      <c r="A35" s="8">
        <f>IF(B35="","",ROW()-1)</f>
        <v/>
      </c>
      <c r="B35" s="50" t="n">
        <v>46254</v>
      </c>
      <c r="C35" s="10" t="inlineStr">
        <is>
          <t>Financeiro</t>
        </is>
      </c>
      <c r="D35" s="10" t="inlineStr">
        <is>
          <t>Contas a Pagar</t>
        </is>
      </c>
      <c r="E35" s="10" t="inlineStr">
        <is>
          <t>Proteção de Dados</t>
        </is>
      </c>
      <c r="F35" s="10" t="n">
        <v>11</v>
      </c>
      <c r="G35" s="10" t="inlineStr">
        <is>
          <t>NÃO</t>
        </is>
      </c>
      <c r="H35" s="10" t="inlineStr">
        <is>
          <t>SIM</t>
        </is>
      </c>
      <c r="I35" s="10" t="inlineStr">
        <is>
          <t>NÃO</t>
        </is>
      </c>
      <c r="J35" s="10" t="inlineStr">
        <is>
          <t>Conformidade</t>
        </is>
      </c>
      <c r="K35" s="8">
        <f>IF(G35="","",IF(G35="SIM",1,0))</f>
        <v/>
      </c>
      <c r="L35" s="8">
        <f>IF(H35="","",IF(H35="SIM",1,0))</f>
        <v/>
      </c>
      <c r="M35" s="8">
        <f>IF(I35="","",IF(I35="SIM",1,0))</f>
        <v/>
      </c>
      <c r="N35" s="8">
        <f>IF(J35="","",IF(J35="Conformidade",1,IF(J35="Não Conformidade",0,IF(J35="Não Conformidade Grave",-1,""))))</f>
        <v/>
      </c>
      <c r="O35" s="51">
        <f>IF(COUNTA(G35:J35)=0,"",ROUND(AVERAGE(K35:N35)*100,0))</f>
        <v/>
      </c>
      <c r="P35" s="51">
        <f>IFERROR(AVERAGEIF(C$2:C$201,C35,O$2:O$201),"N/A")</f>
        <v/>
      </c>
      <c r="Q35" s="10" t="inlineStr">
        <is>
          <t>Treinamento apresenta lacuna de conteúdo, aplicação ou atualização.</t>
        </is>
      </c>
      <c r="R35" t="inlineStr">
        <is>
          <t>Atualizar conteúdo conforme documentos vigentes</t>
        </is>
      </c>
      <c r="S35" t="inlineStr">
        <is>
          <t>Fernanda Rocha</t>
        </is>
      </c>
      <c r="T35" s="47" t="n">
        <v>46351</v>
      </c>
      <c r="U35" t="inlineStr">
        <is>
          <t>Aguardando validação</t>
        </is>
      </c>
    </row>
    <row r="36" ht="15" customHeight="1" s="41">
      <c r="A36" s="8">
        <f>IF(B36="","",ROW()-1)</f>
        <v/>
      </c>
      <c r="B36" s="50" t="n">
        <v>46194</v>
      </c>
      <c r="C36" s="10" t="inlineStr">
        <is>
          <t>Atendimento</t>
        </is>
      </c>
      <c r="D36" s="10" t="inlineStr">
        <is>
          <t>Gestão de Incidentes</t>
        </is>
      </c>
      <c r="E36" s="10" t="inlineStr">
        <is>
          <t>Qualidade Operacional</t>
        </is>
      </c>
      <c r="F36" s="10" t="n">
        <v>12</v>
      </c>
      <c r="G36" s="10" t="inlineStr">
        <is>
          <t>SIM</t>
        </is>
      </c>
      <c r="H36" s="10" t="inlineStr">
        <is>
          <t>SIM</t>
        </is>
      </c>
      <c r="I36" s="10" t="inlineStr">
        <is>
          <t>NÃO</t>
        </is>
      </c>
      <c r="J36" s="10" t="inlineStr">
        <is>
          <t>Conformidade</t>
        </is>
      </c>
      <c r="K36" s="8">
        <f>IF(G36="","",IF(G36="SIM",1,0))</f>
        <v/>
      </c>
      <c r="L36" s="8">
        <f>IF(H36="","",IF(H36="SIM",1,0))</f>
        <v/>
      </c>
      <c r="M36" s="8">
        <f>IF(I36="","",IF(I36="SIM",1,0))</f>
        <v/>
      </c>
      <c r="N36" s="8">
        <f>IF(J36="","",IF(J36="Conformidade",1,IF(J36="Não Conformidade",0,IF(J36="Não Conformidade Grave",-1,""))))</f>
        <v/>
      </c>
      <c r="O36" s="51">
        <f>IF(COUNTA(G36:J36)=0,"",ROUND(AVERAGE(K36:N36)*100,0))</f>
        <v/>
      </c>
      <c r="P36" s="51">
        <f>IFERROR(AVERAGEIF(C$2:C$201,C36,O$2:O$201),"N/A")</f>
        <v/>
      </c>
      <c r="Q36" s="10" t="inlineStr">
        <is>
          <t>Treinamento apresenta lacuna de conteúdo, aplicação ou atualização.</t>
        </is>
      </c>
      <c r="R36" t="inlineStr">
        <is>
          <t>Programar nova turma e registrar presença</t>
        </is>
      </c>
      <c r="S36" t="inlineStr">
        <is>
          <t>Gabriel Martins</t>
        </is>
      </c>
      <c r="T36" s="47" t="n">
        <v>46291</v>
      </c>
      <c r="U36" t="inlineStr">
        <is>
          <t>Não iniciado</t>
        </is>
      </c>
    </row>
    <row r="37" ht="15" customHeight="1" s="41">
      <c r="A37" s="8">
        <f>IF(B37="","",ROW()-1)</f>
        <v/>
      </c>
      <c r="B37" s="50" t="n">
        <v>46225</v>
      </c>
      <c r="C37" s="10" t="inlineStr">
        <is>
          <t>Tecnologia</t>
        </is>
      </c>
      <c r="D37" s="10" t="inlineStr">
        <is>
          <t>Auditoria de Processos</t>
        </is>
      </c>
      <c r="E37" s="10" t="inlineStr">
        <is>
          <t>Atendimento ao Cliente</t>
        </is>
      </c>
      <c r="F37" s="10" t="n">
        <v>13</v>
      </c>
      <c r="G37" s="10" t="inlineStr">
        <is>
          <t>NÃO</t>
        </is>
      </c>
      <c r="H37" s="10" t="inlineStr">
        <is>
          <t>SIM</t>
        </is>
      </c>
      <c r="I37" s="10" t="inlineStr">
        <is>
          <t>SIM</t>
        </is>
      </c>
      <c r="J37" s="10" t="inlineStr">
        <is>
          <t>Conformidade</t>
        </is>
      </c>
      <c r="K37" s="8">
        <f>IF(G37="","",IF(G37="SIM",1,0))</f>
        <v/>
      </c>
      <c r="L37" s="8">
        <f>IF(H37="","",IF(H37="SIM",1,0))</f>
        <v/>
      </c>
      <c r="M37" s="8">
        <f>IF(I37="","",IF(I37="SIM",1,0))</f>
        <v/>
      </c>
      <c r="N37" s="8">
        <f>IF(J37="","",IF(J37="Conformidade",1,IF(J37="Não Conformidade",0,IF(J37="Não Conformidade Grave",-1,""))))</f>
        <v/>
      </c>
      <c r="O37" s="51">
        <f>IF(COUNTA(G37:J37)=0,"",ROUND(AVERAGE(K37:N37)*100,0))</f>
        <v/>
      </c>
      <c r="P37" s="51">
        <f>IFERROR(AVERAGEIF(C$2:C$201,C37,O$2:O$201),"N/A")</f>
        <v/>
      </c>
      <c r="Q37" s="10" t="inlineStr">
        <is>
          <t>Treinamento apresenta lacuna de conteúdo, aplicação ou atualização.</t>
        </is>
      </c>
      <c r="R37" t="inlineStr">
        <is>
          <t>Revisar material e obter aprovação</t>
        </is>
      </c>
      <c r="S37" t="inlineStr">
        <is>
          <t>Ana Lima</t>
        </is>
      </c>
      <c r="T37" s="47" t="n">
        <v>46305</v>
      </c>
      <c r="U37" t="inlineStr">
        <is>
          <t>Em andamento</t>
        </is>
      </c>
    </row>
    <row r="38" ht="15" customHeight="1" s="41">
      <c r="A38" s="8">
        <f>IF(B38="","",ROW()-1)</f>
        <v/>
      </c>
      <c r="B38" s="50" t="n">
        <v>46257</v>
      </c>
      <c r="C38" s="10" t="inlineStr">
        <is>
          <t>PROCESSOS</t>
        </is>
      </c>
      <c r="D38" s="10" t="inlineStr">
        <is>
          <t>Faturamento</t>
        </is>
      </c>
      <c r="E38" s="10" t="inlineStr">
        <is>
          <t>Controles Financeiros</t>
        </is>
      </c>
      <c r="F38" s="10" t="n">
        <v>14</v>
      </c>
      <c r="G38" s="10" t="inlineStr">
        <is>
          <t>SIM</t>
        </is>
      </c>
      <c r="H38" s="10" t="inlineStr">
        <is>
          <t>SIM</t>
        </is>
      </c>
      <c r="I38" s="10" t="inlineStr">
        <is>
          <t>SIM</t>
        </is>
      </c>
      <c r="J38" s="10" t="inlineStr">
        <is>
          <t>Não Conformidade</t>
        </is>
      </c>
      <c r="K38" s="8">
        <f>IF(G38="","",IF(G38="SIM",1,0))</f>
        <v/>
      </c>
      <c r="L38" s="8">
        <f>IF(H38="","",IF(H38="SIM",1,0))</f>
        <v/>
      </c>
      <c r="M38" s="8">
        <f>IF(I38="","",IF(I38="SIM",1,0))</f>
        <v/>
      </c>
      <c r="N38" s="8">
        <f>IF(J38="","",IF(J38="Conformidade",1,IF(J38="Não Conformidade",0,IF(J38="Não Conformidade Grave",-1,""))))</f>
        <v/>
      </c>
      <c r="O38" s="51">
        <f>IF(COUNTA(G38:J38)=0,"",ROUND(AVERAGE(K38:N38)*100,0))</f>
        <v/>
      </c>
      <c r="P38" s="51">
        <f>IFERROR(AVERAGEIF(C$2:C$201,C38,O$2:O$201),"N/A")</f>
        <v/>
      </c>
      <c r="Q38" s="10" t="inlineStr">
        <is>
          <t>Treinamento apresenta lacuna de conteúdo, aplicação ou atualização.</t>
        </is>
      </c>
      <c r="R38" t="inlineStr">
        <is>
          <t>Tratar não conformidade e avaliar eficácia</t>
        </is>
      </c>
      <c r="S38" t="inlineStr">
        <is>
          <t>Bruno Costa</t>
        </is>
      </c>
      <c r="T38" s="47" t="n">
        <v>46337</v>
      </c>
      <c r="U38" t="inlineStr">
        <is>
          <t>Aguardando validação</t>
        </is>
      </c>
    </row>
    <row r="39" ht="15" customHeight="1" s="41">
      <c r="A39" s="8">
        <f>IF(B39="","",ROW()-1)</f>
        <v/>
      </c>
      <c r="B39" s="50" t="n">
        <v>46197</v>
      </c>
      <c r="C39" s="10" t="inlineStr">
        <is>
          <t>Qualidade</t>
        </is>
      </c>
      <c r="D39" s="10" t="inlineStr">
        <is>
          <t>Gestão de Contratos</t>
        </is>
      </c>
      <c r="E39" s="10" t="inlineStr">
        <is>
          <t>Gestão de Contratos</t>
        </is>
      </c>
      <c r="F39" s="10" t="n">
        <v>15</v>
      </c>
      <c r="G39" s="10" t="inlineStr">
        <is>
          <t>SIM</t>
        </is>
      </c>
      <c r="H39" s="10" t="inlineStr">
        <is>
          <t>NÃO</t>
        </is>
      </c>
      <c r="I39" s="10" t="inlineStr">
        <is>
          <t>NÃO</t>
        </is>
      </c>
      <c r="J39" s="10" t="inlineStr">
        <is>
          <t>Não Conformidade Grave</t>
        </is>
      </c>
      <c r="K39" s="8">
        <f>IF(G39="","",IF(G39="SIM",1,0))</f>
        <v/>
      </c>
      <c r="L39" s="8">
        <f>IF(H39="","",IF(H39="SIM",1,0))</f>
        <v/>
      </c>
      <c r="M39" s="8">
        <f>IF(I39="","",IF(I39="SIM",1,0))</f>
        <v/>
      </c>
      <c r="N39" s="8">
        <f>IF(J39="","",IF(J39="Conformidade",1,IF(J39="Não Conformidade",0,IF(J39="Não Conformidade Grave",-1,""))))</f>
        <v/>
      </c>
      <c r="O39" s="51">
        <f>IF(COUNTA(G39:J39)=0,"",ROUND(AVERAGE(K39:N39)*100,0))</f>
        <v/>
      </c>
      <c r="P39" s="51">
        <f>IFERROR(AVERAGEIF(C$2:C$201,C39,O$2:O$201),"N/A")</f>
        <v/>
      </c>
      <c r="Q39" s="10" t="inlineStr">
        <is>
          <t>Treinamento apresenta lacuna de conteúdo, aplicação ou atualização.</t>
        </is>
      </c>
      <c r="R39" t="inlineStr">
        <is>
          <t>Atualizar conteúdo conforme documentos vigentes</t>
        </is>
      </c>
      <c r="S39" t="inlineStr">
        <is>
          <t>Carla Souza</t>
        </is>
      </c>
      <c r="T39" s="47" t="n">
        <v>46277</v>
      </c>
      <c r="U39" t="inlineStr">
        <is>
          <t>Não iniciado</t>
        </is>
      </c>
    </row>
    <row r="40" ht="15" customHeight="1" s="41">
      <c r="A40" s="8">
        <f>IF(B40="","",ROW()-1)</f>
        <v/>
      </c>
      <c r="B40" s="50" t="n">
        <v>46228</v>
      </c>
      <c r="C40" s="10" t="inlineStr">
        <is>
          <t>Recursos Humanos</t>
        </is>
      </c>
      <c r="D40" s="10" t="inlineStr">
        <is>
          <t>Contas a Pagar</t>
        </is>
      </c>
      <c r="E40" s="10" t="inlineStr">
        <is>
          <t>Segurança da Informação</t>
        </is>
      </c>
      <c r="F40" s="10" t="n">
        <v>16</v>
      </c>
      <c r="G40" s="10" t="inlineStr">
        <is>
          <t>SIM</t>
        </is>
      </c>
      <c r="H40" s="10" t="inlineStr">
        <is>
          <t>SIM</t>
        </is>
      </c>
      <c r="I40" s="10" t="inlineStr">
        <is>
          <t>SIM</t>
        </is>
      </c>
      <c r="J40" s="10" t="inlineStr">
        <is>
          <t>Conformidade</t>
        </is>
      </c>
      <c r="K40" s="8">
        <f>IF(G40="","",IF(G40="SIM",1,0))</f>
        <v/>
      </c>
      <c r="L40" s="8">
        <f>IF(H40="","",IF(H40="SIM",1,0))</f>
        <v/>
      </c>
      <c r="M40" s="8">
        <f>IF(I40="","",IF(I40="SIM",1,0))</f>
        <v/>
      </c>
      <c r="N40" s="8">
        <f>IF(J40="","",IF(J40="Conformidade",1,IF(J40="Não Conformidade",0,IF(J40="Não Conformidade Grave",-1,""))))</f>
        <v/>
      </c>
      <c r="O40" s="51">
        <f>IF(COUNTA(G40:J40)=0,"",ROUND(AVERAGE(K40:N40)*100,0))</f>
        <v/>
      </c>
      <c r="P40" s="51">
        <f>IFERROR(AVERAGEIF(C$2:C$201,C40,O$2:O$201),"N/A")</f>
        <v/>
      </c>
      <c r="Q40" s="10" t="inlineStr">
        <is>
          <t>Treinamento aderente e com evidência de aplicação.</t>
        </is>
      </c>
      <c r="R40" t="inlineStr">
        <is>
          <t>Manter reciclagem periódica.</t>
        </is>
      </c>
      <c r="S40" t="inlineStr">
        <is>
          <t>Diego Alves</t>
        </is>
      </c>
      <c r="T40" s="47" t="n">
        <v>46308</v>
      </c>
      <c r="U40" t="inlineStr">
        <is>
          <t>Concluído</t>
        </is>
      </c>
    </row>
    <row r="41" ht="15" customHeight="1" s="41">
      <c r="A41" s="8">
        <f>IF(B41="","",ROW()-1)</f>
        <v/>
      </c>
      <c r="B41" s="50" t="n">
        <v>46241</v>
      </c>
      <c r="C41" s="10" t="inlineStr">
        <is>
          <t>Financeiro</t>
        </is>
      </c>
      <c r="D41" s="10" t="inlineStr">
        <is>
          <t>Gestão de Incidentes</t>
        </is>
      </c>
      <c r="E41" s="10" t="inlineStr">
        <is>
          <t>Política de Compras</t>
        </is>
      </c>
      <c r="F41" s="10" t="n">
        <v>17</v>
      </c>
      <c r="G41" s="10" t="inlineStr">
        <is>
          <t>SIM</t>
        </is>
      </c>
      <c r="H41" s="10" t="inlineStr">
        <is>
          <t>NÃO</t>
        </is>
      </c>
      <c r="I41" s="10" t="inlineStr">
        <is>
          <t>SIM</t>
        </is>
      </c>
      <c r="J41" s="10" t="inlineStr">
        <is>
          <t>Conformidade</t>
        </is>
      </c>
      <c r="K41" s="8">
        <f>IF(G41="","",IF(G41="SIM",1,0))</f>
        <v/>
      </c>
      <c r="L41" s="8">
        <f>IF(H41="","",IF(H41="SIM",1,0))</f>
        <v/>
      </c>
      <c r="M41" s="8">
        <f>IF(I41="","",IF(I41="SIM",1,0))</f>
        <v/>
      </c>
      <c r="N41" s="8">
        <f>IF(J41="","",IF(J41="Conformidade",1,IF(J41="Não Conformidade",0,IF(J41="Não Conformidade Grave",-1,""))))</f>
        <v/>
      </c>
      <c r="O41" s="51">
        <f>IF(COUNTA(G41:J41)=0,"",ROUND(AVERAGE(K41:N41)*100,0))</f>
        <v/>
      </c>
      <c r="P41" s="51">
        <f>IFERROR(AVERAGEIF(C$2:C$201,C41,O$2:O$201),"N/A")</f>
        <v/>
      </c>
      <c r="Q41" s="10" t="inlineStr">
        <is>
          <t>Treinamento apresenta lacuna de conteúdo, aplicação ou atualização.</t>
        </is>
      </c>
      <c r="R41" t="inlineStr">
        <is>
          <t>Revisar material e obter aprovação</t>
        </is>
      </c>
      <c r="S41" t="inlineStr">
        <is>
          <t>Fernanda Rocha</t>
        </is>
      </c>
      <c r="T41" s="47" t="n">
        <v>46340</v>
      </c>
      <c r="U41" t="inlineStr">
        <is>
          <t>Aguardando validação</t>
        </is>
      </c>
    </row>
    <row r="42" ht="15" customHeight="1" s="41">
      <c r="A42" s="8">
        <f>IF(B42="","",ROW()-1)</f>
        <v/>
      </c>
      <c r="B42" s="50" t="n">
        <v>46181</v>
      </c>
      <c r="C42" s="10" t="inlineStr">
        <is>
          <t>Atendimento</t>
        </is>
      </c>
      <c r="D42" s="10" t="inlineStr">
        <is>
          <t>Auditoria de Processos</t>
        </is>
      </c>
      <c r="E42" s="10" t="inlineStr">
        <is>
          <t>Auditoria Interna</t>
        </is>
      </c>
      <c r="F42" s="10" t="n">
        <v>18</v>
      </c>
      <c r="G42" s="10" t="inlineStr">
        <is>
          <t>SIM</t>
        </is>
      </c>
      <c r="H42" s="10" t="inlineStr">
        <is>
          <t>SIM</t>
        </is>
      </c>
      <c r="I42" s="10" t="inlineStr">
        <is>
          <t>SIM</t>
        </is>
      </c>
      <c r="J42" s="10" t="inlineStr">
        <is>
          <t>Conformidade</t>
        </is>
      </c>
      <c r="K42" s="8">
        <f>IF(G42="","",IF(G42="SIM",1,0))</f>
        <v/>
      </c>
      <c r="L42" s="8">
        <f>IF(H42="","",IF(H42="SIM",1,0))</f>
        <v/>
      </c>
      <c r="M42" s="8">
        <f>IF(I42="","",IF(I42="SIM",1,0))</f>
        <v/>
      </c>
      <c r="N42" s="8">
        <f>IF(J42="","",IF(J42="Conformidade",1,IF(J42="Não Conformidade",0,IF(J42="Não Conformidade Grave",-1,""))))</f>
        <v/>
      </c>
      <c r="O42" s="51">
        <f>IF(COUNTA(G42:J42)=0,"",ROUND(AVERAGE(K42:N42)*100,0))</f>
        <v/>
      </c>
      <c r="P42" s="51">
        <f>IFERROR(AVERAGEIF(C$2:C$201,C42,O$2:O$201),"N/A")</f>
        <v/>
      </c>
      <c r="Q42" s="10" t="inlineStr">
        <is>
          <t>Treinamento aderente e com evidência de aplicação.</t>
        </is>
      </c>
      <c r="R42" t="inlineStr">
        <is>
          <t>Manter reciclagem periódica.</t>
        </is>
      </c>
      <c r="S42" t="inlineStr">
        <is>
          <t>Gabriel Martins</t>
        </is>
      </c>
      <c r="T42" s="47" t="n">
        <v>46280</v>
      </c>
      <c r="U42" t="inlineStr">
        <is>
          <t>Concluído</t>
        </is>
      </c>
    </row>
    <row r="43" ht="15" customHeight="1" s="41">
      <c r="A43" s="8">
        <f>IF(B43="","",ROW()-1)</f>
        <v/>
      </c>
      <c r="B43" s="50" t="n">
        <v>46212</v>
      </c>
      <c r="C43" s="10" t="inlineStr">
        <is>
          <t>Tecnologia</t>
        </is>
      </c>
      <c r="D43" s="10" t="inlineStr">
        <is>
          <t>Faturamento</t>
        </is>
      </c>
      <c r="E43" s="10" t="inlineStr">
        <is>
          <t>Integração de Novos Colaboradores</t>
        </is>
      </c>
      <c r="F43" s="10" t="n">
        <v>19</v>
      </c>
      <c r="G43" s="10" t="inlineStr">
        <is>
          <t>NÃO</t>
        </is>
      </c>
      <c r="H43" s="10" t="inlineStr">
        <is>
          <t>SIM</t>
        </is>
      </c>
      <c r="I43" s="10" t="inlineStr">
        <is>
          <t>NÃO</t>
        </is>
      </c>
      <c r="J43" s="10" t="inlineStr">
        <is>
          <t>Não Conformidade</t>
        </is>
      </c>
      <c r="K43" s="8">
        <f>IF(G43="","",IF(G43="SIM",1,0))</f>
        <v/>
      </c>
      <c r="L43" s="8">
        <f>IF(H43="","",IF(H43="SIM",1,0))</f>
        <v/>
      </c>
      <c r="M43" s="8">
        <f>IF(I43="","",IF(I43="SIM",1,0))</f>
        <v/>
      </c>
      <c r="N43" s="8">
        <f>IF(J43="","",IF(J43="Conformidade",1,IF(J43="Não Conformidade",0,IF(J43="Não Conformidade Grave",-1,""))))</f>
        <v/>
      </c>
      <c r="O43" s="51">
        <f>IF(COUNTA(G43:J43)=0,"",ROUND(AVERAGE(K43:N43)*100,0))</f>
        <v/>
      </c>
      <c r="P43" s="51">
        <f>IFERROR(AVERAGEIF(C$2:C$201,C43,O$2:O$201),"N/A")</f>
        <v/>
      </c>
      <c r="Q43" s="10" t="inlineStr">
        <is>
          <t>Treinamento apresenta lacuna de conteúdo, aplicação ou atualização.</t>
        </is>
      </c>
      <c r="R43" t="inlineStr">
        <is>
          <t>Atualizar conteúdo conforme documentos vigentes</t>
        </is>
      </c>
      <c r="S43" t="inlineStr">
        <is>
          <t>Ana Lima</t>
        </is>
      </c>
      <c r="T43" s="47" t="n">
        <v>46311</v>
      </c>
      <c r="U43" t="inlineStr">
        <is>
          <t>Em andamento</t>
        </is>
      </c>
    </row>
    <row r="44" ht="15" customHeight="1" s="41">
      <c r="A44" s="8">
        <f>IF(B44="","",ROW()-1)</f>
        <v/>
      </c>
      <c r="B44" s="50" t="n">
        <v>46244</v>
      </c>
      <c r="C44" s="10" t="inlineStr">
        <is>
          <t>PROCESSOS</t>
        </is>
      </c>
      <c r="D44" s="10" t="inlineStr">
        <is>
          <t>Gestão de Contratos</t>
        </is>
      </c>
      <c r="E44" s="10" t="inlineStr">
        <is>
          <t>Gestão de Incidentes</t>
        </is>
      </c>
      <c r="F44" s="10" t="n">
        <v>20</v>
      </c>
      <c r="G44" s="10" t="inlineStr">
        <is>
          <t>SIM</t>
        </is>
      </c>
      <c r="H44" s="10" t="inlineStr">
        <is>
          <t>SIM</t>
        </is>
      </c>
      <c r="I44" s="10" t="inlineStr">
        <is>
          <t>SIM</t>
        </is>
      </c>
      <c r="J44" s="10" t="inlineStr">
        <is>
          <t>Conformidade</t>
        </is>
      </c>
      <c r="K44" s="8">
        <f>IF(G44="","",IF(G44="SIM",1,0))</f>
        <v/>
      </c>
      <c r="L44" s="8">
        <f>IF(H44="","",IF(H44="SIM",1,0))</f>
        <v/>
      </c>
      <c r="M44" s="8">
        <f>IF(I44="","",IF(I44="SIM",1,0))</f>
        <v/>
      </c>
      <c r="N44" s="8">
        <f>IF(J44="","",IF(J44="Conformidade",1,IF(J44="Não Conformidade",0,IF(J44="Não Conformidade Grave",-1,""))))</f>
        <v/>
      </c>
      <c r="O44" s="51">
        <f>IF(COUNTA(G44:J44)=0,"",ROUND(AVERAGE(K44:N44)*100,0))</f>
        <v/>
      </c>
      <c r="P44" s="51">
        <f>IFERROR(AVERAGEIF(C$2:C$201,C44,O$2:O$201),"N/A")</f>
        <v/>
      </c>
      <c r="Q44" s="10" t="inlineStr">
        <is>
          <t>Treinamento aderente e com evidência de aplicação.</t>
        </is>
      </c>
      <c r="R44" t="inlineStr">
        <is>
          <t>Manter reciclagem periódica.</t>
        </is>
      </c>
      <c r="S44" t="inlineStr">
        <is>
          <t>Bruno Costa</t>
        </is>
      </c>
      <c r="T44" s="47" t="n">
        <v>46343</v>
      </c>
      <c r="U44" t="inlineStr">
        <is>
          <t>Concluído</t>
        </is>
      </c>
    </row>
    <row r="45" ht="15" customHeight="1" s="41">
      <c r="A45" s="8">
        <f>IF(B45="","",ROW()-1)</f>
        <v/>
      </c>
      <c r="B45" s="50" t="n">
        <v>46184</v>
      </c>
      <c r="C45" s="10" t="inlineStr">
        <is>
          <t>Qualidade</t>
        </is>
      </c>
      <c r="D45" s="10" t="inlineStr">
        <is>
          <t>Contas a Pagar</t>
        </is>
      </c>
      <c r="E45" s="10" t="inlineStr">
        <is>
          <t>Proteção de Dados</t>
        </is>
      </c>
      <c r="F45" s="10" t="n">
        <v>21</v>
      </c>
      <c r="G45" s="10" t="inlineStr">
        <is>
          <t>SIM</t>
        </is>
      </c>
      <c r="H45" s="10" t="inlineStr">
        <is>
          <t>NÃO</t>
        </is>
      </c>
      <c r="I45" s="10" t="inlineStr">
        <is>
          <t>SIM</t>
        </is>
      </c>
      <c r="J45" s="10" t="inlineStr">
        <is>
          <t>Conformidade</t>
        </is>
      </c>
      <c r="K45" s="8">
        <f>IF(G45="","",IF(G45="SIM",1,0))</f>
        <v/>
      </c>
      <c r="L45" s="8">
        <f>IF(H45="","",IF(H45="SIM",1,0))</f>
        <v/>
      </c>
      <c r="M45" s="8">
        <f>IF(I45="","",IF(I45="SIM",1,0))</f>
        <v/>
      </c>
      <c r="N45" s="8">
        <f>IF(J45="","",IF(J45="Conformidade",1,IF(J45="Não Conformidade",0,IF(J45="Não Conformidade Grave",-1,""))))</f>
        <v/>
      </c>
      <c r="O45" s="51">
        <f>IF(COUNTA(G45:J45)=0,"",ROUND(AVERAGE(K45:N45)*100,0))</f>
        <v/>
      </c>
      <c r="P45" s="51">
        <f>IFERROR(AVERAGEIF(C$2:C$201,C45,O$2:O$201),"N/A")</f>
        <v/>
      </c>
      <c r="Q45" s="10" t="inlineStr">
        <is>
          <t>Treinamento apresenta lacuna de conteúdo, aplicação ou atualização.</t>
        </is>
      </c>
      <c r="R45" t="inlineStr">
        <is>
          <t>Revisar material e obter aprovação</t>
        </is>
      </c>
      <c r="S45" t="inlineStr">
        <is>
          <t>Carla Souza</t>
        </is>
      </c>
      <c r="T45" s="47" t="n">
        <v>46283</v>
      </c>
      <c r="U45" t="inlineStr">
        <is>
          <t>Não iniciado</t>
        </is>
      </c>
    </row>
    <row r="46" ht="15" customHeight="1" s="41">
      <c r="A46" s="8">
        <f>IF(B46="","",ROW()-1)</f>
        <v/>
      </c>
      <c r="B46" s="50" t="n">
        <v>46215</v>
      </c>
      <c r="C46" s="10" t="inlineStr">
        <is>
          <t>Recursos Humanos</t>
        </is>
      </c>
      <c r="D46" s="10" t="inlineStr">
        <is>
          <t>Gestão de Incidentes</t>
        </is>
      </c>
      <c r="E46" s="10" t="inlineStr">
        <is>
          <t>Qualidade Operacional</t>
        </is>
      </c>
      <c r="F46" s="10" t="n">
        <v>22</v>
      </c>
      <c r="G46" s="10" t="inlineStr">
        <is>
          <t>SIM</t>
        </is>
      </c>
      <c r="H46" s="10" t="inlineStr">
        <is>
          <t>SIM</t>
        </is>
      </c>
      <c r="I46" s="10" t="inlineStr">
        <is>
          <t>SIM</t>
        </is>
      </c>
      <c r="J46" s="10" t="inlineStr">
        <is>
          <t>Conformidade</t>
        </is>
      </c>
      <c r="K46" s="8">
        <f>IF(G46="","",IF(G46="SIM",1,0))</f>
        <v/>
      </c>
      <c r="L46" s="8">
        <f>IF(H46="","",IF(H46="SIM",1,0))</f>
        <v/>
      </c>
      <c r="M46" s="8">
        <f>IF(I46="","",IF(I46="SIM",1,0))</f>
        <v/>
      </c>
      <c r="N46" s="8">
        <f>IF(J46="","",IF(J46="Conformidade",1,IF(J46="Não Conformidade",0,IF(J46="Não Conformidade Grave",-1,""))))</f>
        <v/>
      </c>
      <c r="O46" s="51">
        <f>IF(COUNTA(G46:J46)=0,"",ROUND(AVERAGE(K46:N46)*100,0))</f>
        <v/>
      </c>
      <c r="P46" s="51">
        <f>IFERROR(AVERAGEIF(C$2:C$201,C46,O$2:O$201),"N/A")</f>
        <v/>
      </c>
      <c r="Q46" s="10" t="inlineStr">
        <is>
          <t>Treinamento aderente e com evidência de aplicação.</t>
        </is>
      </c>
      <c r="R46" t="inlineStr">
        <is>
          <t>Manter reciclagem periódica.</t>
        </is>
      </c>
      <c r="S46" t="inlineStr">
        <is>
          <t>Diego Alves</t>
        </is>
      </c>
      <c r="T46" s="47" t="n">
        <v>46314</v>
      </c>
      <c r="U46" t="inlineStr">
        <is>
          <t>Concluído</t>
        </is>
      </c>
    </row>
    <row r="47" ht="15" customHeight="1" s="41">
      <c r="A47" s="8">
        <f>IF(B47="","",ROW()-1)</f>
        <v/>
      </c>
      <c r="B47" s="50" t="n">
        <v>46247</v>
      </c>
      <c r="C47" s="10" t="inlineStr">
        <is>
          <t>Financeiro</t>
        </is>
      </c>
      <c r="D47" s="10" t="inlineStr">
        <is>
          <t>Auditoria de Processos</t>
        </is>
      </c>
      <c r="E47" s="10" t="inlineStr">
        <is>
          <t>Atendimento ao Cliente</t>
        </is>
      </c>
      <c r="F47" s="10" t="n">
        <v>23</v>
      </c>
      <c r="G47" s="10" t="inlineStr">
        <is>
          <t>SIM</t>
        </is>
      </c>
      <c r="H47" s="10" t="inlineStr">
        <is>
          <t>SIM</t>
        </is>
      </c>
      <c r="I47" s="10" t="inlineStr">
        <is>
          <t>NÃO</t>
        </is>
      </c>
      <c r="J47" s="10" t="inlineStr">
        <is>
          <t>Conformidade</t>
        </is>
      </c>
      <c r="K47" s="8">
        <f>IF(G47="","",IF(G47="SIM",1,0))</f>
        <v/>
      </c>
      <c r="L47" s="8">
        <f>IF(H47="","",IF(H47="SIM",1,0))</f>
        <v/>
      </c>
      <c r="M47" s="8">
        <f>IF(I47="","",IF(I47="SIM",1,0))</f>
        <v/>
      </c>
      <c r="N47" s="8">
        <f>IF(J47="","",IF(J47="Conformidade",1,IF(J47="Não Conformidade",0,IF(J47="Não Conformidade Grave",-1,""))))</f>
        <v/>
      </c>
      <c r="O47" s="51">
        <f>IF(COUNTA(G47:J47)=0,"",ROUND(AVERAGE(K47:N47)*100,0))</f>
        <v/>
      </c>
      <c r="P47" s="51">
        <f>IFERROR(AVERAGEIF(C$2:C$201,C47,O$2:O$201),"N/A")</f>
        <v/>
      </c>
      <c r="Q47" s="10" t="inlineStr">
        <is>
          <t>Treinamento apresenta lacuna de conteúdo, aplicação ou atualização.</t>
        </is>
      </c>
      <c r="R47" t="inlineStr">
        <is>
          <t>Atualizar conteúdo conforme documentos vigentes</t>
        </is>
      </c>
      <c r="S47" t="inlineStr">
        <is>
          <t>Fernanda Rocha</t>
        </is>
      </c>
      <c r="T47" s="47" t="n">
        <v>46346</v>
      </c>
      <c r="U47" t="inlineStr">
        <is>
          <t>Aguardando validação</t>
        </is>
      </c>
    </row>
    <row r="48" ht="15" customHeight="1" s="41">
      <c r="A48" s="8">
        <f>IF(B48="","",ROW()-1)</f>
        <v/>
      </c>
      <c r="B48" s="50" t="n">
        <v>46187</v>
      </c>
      <c r="C48" s="10" t="inlineStr">
        <is>
          <t>Atendimento</t>
        </is>
      </c>
      <c r="D48" s="10" t="inlineStr">
        <is>
          <t>Faturamento</t>
        </is>
      </c>
      <c r="E48" s="10" t="inlineStr">
        <is>
          <t>Controles Financeiros</t>
        </is>
      </c>
      <c r="F48" s="10" t="n">
        <v>24</v>
      </c>
      <c r="G48" s="10" t="inlineStr">
        <is>
          <t>SIM</t>
        </is>
      </c>
      <c r="H48" s="10" t="inlineStr">
        <is>
          <t>SIM</t>
        </is>
      </c>
      <c r="I48" s="10" t="inlineStr">
        <is>
          <t>SIM</t>
        </is>
      </c>
      <c r="J48" s="10" t="inlineStr">
        <is>
          <t>Não Conformidade</t>
        </is>
      </c>
      <c r="K48" s="8">
        <f>IF(G48="","",IF(G48="SIM",1,0))</f>
        <v/>
      </c>
      <c r="L48" s="8">
        <f>IF(H48="","",IF(H48="SIM",1,0))</f>
        <v/>
      </c>
      <c r="M48" s="8">
        <f>IF(I48="","",IF(I48="SIM",1,0))</f>
        <v/>
      </c>
      <c r="N48" s="8">
        <f>IF(J48="","",IF(J48="Conformidade",1,IF(J48="Não Conformidade",0,IF(J48="Não Conformidade Grave",-1,""))))</f>
        <v/>
      </c>
      <c r="O48" s="51">
        <f>IF(COUNTA(G48:J48)=0,"",ROUND(AVERAGE(K48:N48)*100,0))</f>
        <v/>
      </c>
      <c r="P48" s="51">
        <f>IFERROR(AVERAGEIF(C$2:C$201,C48,O$2:O$201),"N/A")</f>
        <v/>
      </c>
      <c r="Q48" s="10" t="inlineStr">
        <is>
          <t>Treinamento apresenta lacuna de conteúdo, aplicação ou atualização.</t>
        </is>
      </c>
      <c r="R48" t="inlineStr">
        <is>
          <t>Programar nova turma e registrar presença</t>
        </is>
      </c>
      <c r="S48" t="inlineStr">
        <is>
          <t>Gabriel Martins</t>
        </is>
      </c>
      <c r="T48" s="47" t="n">
        <v>46286</v>
      </c>
      <c r="U48" t="inlineStr">
        <is>
          <t>Não iniciado</t>
        </is>
      </c>
    </row>
    <row r="49" ht="15" customHeight="1" s="41">
      <c r="A49" s="8">
        <f>IF(B49="","",ROW()-1)</f>
        <v/>
      </c>
      <c r="B49" s="50" t="n">
        <v>46218</v>
      </c>
      <c r="C49" s="10" t="inlineStr">
        <is>
          <t>Tecnologia</t>
        </is>
      </c>
      <c r="D49" s="10" t="inlineStr">
        <is>
          <t>Gestão de Contratos</t>
        </is>
      </c>
      <c r="E49" s="10" t="inlineStr">
        <is>
          <t>Gestão de Contratos</t>
        </is>
      </c>
      <c r="F49" s="10" t="n">
        <v>25</v>
      </c>
      <c r="G49" s="10" t="inlineStr">
        <is>
          <t>SIM</t>
        </is>
      </c>
      <c r="H49" s="10" t="inlineStr">
        <is>
          <t>SIM</t>
        </is>
      </c>
      <c r="I49" s="10" t="inlineStr">
        <is>
          <t>SIM</t>
        </is>
      </c>
      <c r="J49" s="10" t="inlineStr">
        <is>
          <t>Conformidade</t>
        </is>
      </c>
      <c r="K49" s="8">
        <f>IF(G49="","",IF(G49="SIM",1,0))</f>
        <v/>
      </c>
      <c r="L49" s="8">
        <f>IF(H49="","",IF(H49="SIM",1,0))</f>
        <v/>
      </c>
      <c r="M49" s="8">
        <f>IF(I49="","",IF(I49="SIM",1,0))</f>
        <v/>
      </c>
      <c r="N49" s="8">
        <f>IF(J49="","",IF(J49="Conformidade",1,IF(J49="Não Conformidade",0,IF(J49="Não Conformidade Grave",-1,""))))</f>
        <v/>
      </c>
      <c r="O49" s="51">
        <f>IF(COUNTA(G49:J49)=0,"",ROUND(AVERAGE(K49:N49)*100,0))</f>
        <v/>
      </c>
      <c r="P49" s="51">
        <f>IFERROR(AVERAGEIF(C$2:C$201,C49,O$2:O$201),"N/A")</f>
        <v/>
      </c>
      <c r="Q49" s="10" t="inlineStr">
        <is>
          <t>Treinamento aderente e com evidência de aplicação.</t>
        </is>
      </c>
      <c r="R49" t="inlineStr">
        <is>
          <t>Manter reciclagem periódica.</t>
        </is>
      </c>
      <c r="S49" t="inlineStr">
        <is>
          <t>Ana Lima</t>
        </is>
      </c>
      <c r="T49" s="47" t="n">
        <v>46317</v>
      </c>
      <c r="U49" t="inlineStr">
        <is>
          <t>Concluído</t>
        </is>
      </c>
    </row>
    <row r="50" ht="15" customHeight="1" s="41">
      <c r="A50" s="8">
        <f>IF(B50="","",ROW()-1)</f>
        <v/>
      </c>
      <c r="B50" s="50" t="n">
        <v>46250</v>
      </c>
      <c r="C50" s="10" t="inlineStr">
        <is>
          <t>PROCESSOS</t>
        </is>
      </c>
      <c r="D50" s="10" t="inlineStr">
        <is>
          <t>Contas a Pagar</t>
        </is>
      </c>
      <c r="E50" s="10" t="inlineStr">
        <is>
          <t>Segurança da Informação</t>
        </is>
      </c>
      <c r="F50" s="10" t="n">
        <v>26</v>
      </c>
      <c r="G50" s="10" t="inlineStr">
        <is>
          <t>SIM</t>
        </is>
      </c>
      <c r="H50" s="10" t="inlineStr">
        <is>
          <t>SIM</t>
        </is>
      </c>
      <c r="I50" s="10" t="inlineStr">
        <is>
          <t>SIM</t>
        </is>
      </c>
      <c r="J50" s="10" t="inlineStr">
        <is>
          <t>Conformidade</t>
        </is>
      </c>
      <c r="K50" s="8">
        <f>IF(G50="","",IF(G50="SIM",1,0))</f>
        <v/>
      </c>
      <c r="L50" s="8">
        <f>IF(H50="","",IF(H50="SIM",1,0))</f>
        <v/>
      </c>
      <c r="M50" s="8">
        <f>IF(I50="","",IF(I50="SIM",1,0))</f>
        <v/>
      </c>
      <c r="N50" s="8">
        <f>IF(J50="","",IF(J50="Conformidade",1,IF(J50="Não Conformidade",0,IF(J50="Não Conformidade Grave",-1,""))))</f>
        <v/>
      </c>
      <c r="O50" s="51">
        <f>IF(COUNTA(G50:J50)=0,"",ROUND(AVERAGE(K50:N50)*100,0))</f>
        <v/>
      </c>
      <c r="P50" s="51">
        <f>IFERROR(AVERAGEIF(C$2:C$201,C50,O$2:O$201),"N/A")</f>
        <v/>
      </c>
      <c r="Q50" s="10" t="inlineStr">
        <is>
          <t>Treinamento aderente e com evidência de aplicação.</t>
        </is>
      </c>
      <c r="R50" t="inlineStr">
        <is>
          <t>Manter reciclagem periódica.</t>
        </is>
      </c>
      <c r="S50" t="inlineStr">
        <is>
          <t>Bruno Costa</t>
        </is>
      </c>
      <c r="T50" s="47" t="n">
        <v>46349</v>
      </c>
      <c r="U50" t="inlineStr">
        <is>
          <t>Concluído</t>
        </is>
      </c>
    </row>
    <row r="51" ht="15" customHeight="1" s="41">
      <c r="A51" s="8">
        <f>IF(B51="","",ROW()-1)</f>
        <v/>
      </c>
      <c r="B51" s="50" t="n">
        <v>46190</v>
      </c>
      <c r="C51" s="10" t="inlineStr">
        <is>
          <t>Qualidade</t>
        </is>
      </c>
      <c r="D51" s="10" t="inlineStr">
        <is>
          <t>Gestão de Incidentes</t>
        </is>
      </c>
      <c r="E51" s="10" t="inlineStr">
        <is>
          <t>Política de Compras</t>
        </is>
      </c>
      <c r="F51" s="10" t="n">
        <v>27</v>
      </c>
      <c r="G51" s="10" t="inlineStr">
        <is>
          <t>NÃO</t>
        </is>
      </c>
      <c r="H51" s="10" t="inlineStr">
        <is>
          <t>NÃO</t>
        </is>
      </c>
      <c r="I51" s="10" t="inlineStr">
        <is>
          <t>NÃO</t>
        </is>
      </c>
      <c r="J51" s="10" t="inlineStr">
        <is>
          <t>Não Conformidade Grave</t>
        </is>
      </c>
      <c r="K51" s="8">
        <f>IF(G51="","",IF(G51="SIM",1,0))</f>
        <v/>
      </c>
      <c r="L51" s="8">
        <f>IF(H51="","",IF(H51="SIM",1,0))</f>
        <v/>
      </c>
      <c r="M51" s="8">
        <f>IF(I51="","",IF(I51="SIM",1,0))</f>
        <v/>
      </c>
      <c r="N51" s="8">
        <f>IF(J51="","",IF(J51="Conformidade",1,IF(J51="Não Conformidade",0,IF(J51="Não Conformidade Grave",-1,""))))</f>
        <v/>
      </c>
      <c r="O51" s="51">
        <f>IF(COUNTA(G51:J51)=0,"",ROUND(AVERAGE(K51:N51)*100,0))</f>
        <v/>
      </c>
      <c r="P51" s="51">
        <f>IFERROR(AVERAGEIF(C$2:C$201,C51,O$2:O$201),"N/A")</f>
        <v/>
      </c>
      <c r="Q51" s="10" t="inlineStr">
        <is>
          <t>Treinamento apresenta lacuna de conteúdo, aplicação ou atualização.</t>
        </is>
      </c>
      <c r="R51" t="inlineStr">
        <is>
          <t>Atualizar conteúdo conforme documentos vigentes</t>
        </is>
      </c>
      <c r="S51" t="inlineStr">
        <is>
          <t>Carla Souza</t>
        </is>
      </c>
      <c r="T51" s="47" t="n">
        <v>46289</v>
      </c>
      <c r="U51" t="inlineStr">
        <is>
          <t>Não iniciado</t>
        </is>
      </c>
    </row>
    <row r="52" ht="15" customHeight="1" s="41">
      <c r="A52" s="8">
        <f>IF(B52="","",ROW()-1)</f>
        <v/>
      </c>
      <c r="B52" s="50" t="n">
        <v>46221</v>
      </c>
      <c r="C52" s="10" t="inlineStr">
        <is>
          <t>Recursos Humanos</t>
        </is>
      </c>
      <c r="D52" s="10" t="inlineStr">
        <is>
          <t>Auditoria de Processos</t>
        </is>
      </c>
      <c r="E52" s="10" t="inlineStr">
        <is>
          <t>Auditoria Interna</t>
        </is>
      </c>
      <c r="F52" s="10" t="n">
        <v>28</v>
      </c>
      <c r="G52" s="10" t="inlineStr">
        <is>
          <t>SIM</t>
        </is>
      </c>
      <c r="H52" s="10" t="inlineStr">
        <is>
          <t>SIM</t>
        </is>
      </c>
      <c r="I52" s="10" t="inlineStr">
        <is>
          <t>SIM</t>
        </is>
      </c>
      <c r="J52" s="10" t="inlineStr">
        <is>
          <t>Conformidade</t>
        </is>
      </c>
      <c r="K52" s="8">
        <f>IF(G52="","",IF(G52="SIM",1,0))</f>
        <v/>
      </c>
      <c r="L52" s="8">
        <f>IF(H52="","",IF(H52="SIM",1,0))</f>
        <v/>
      </c>
      <c r="M52" s="8">
        <f>IF(I52="","",IF(I52="SIM",1,0))</f>
        <v/>
      </c>
      <c r="N52" s="8">
        <f>IF(J52="","",IF(J52="Conformidade",1,IF(J52="Não Conformidade",0,IF(J52="Não Conformidade Grave",-1,""))))</f>
        <v/>
      </c>
      <c r="O52" s="51">
        <f>IF(COUNTA(G52:J52)=0,"",ROUND(AVERAGE(K52:N52)*100,0))</f>
        <v/>
      </c>
      <c r="P52" s="51">
        <f>IFERROR(AVERAGEIF(C$2:C$201,C52,O$2:O$201),"N/A")</f>
        <v/>
      </c>
      <c r="Q52" s="10" t="inlineStr">
        <is>
          <t>Treinamento aderente e com evidência de aplicação.</t>
        </is>
      </c>
      <c r="R52" t="inlineStr">
        <is>
          <t>Manter reciclagem periódica.</t>
        </is>
      </c>
      <c r="S52" t="inlineStr">
        <is>
          <t>Diego Alves</t>
        </is>
      </c>
      <c r="T52" s="47" t="n">
        <v>46320</v>
      </c>
      <c r="U52" t="inlineStr">
        <is>
          <t>Concluído</t>
        </is>
      </c>
    </row>
    <row r="53" ht="15" customHeight="1" s="41">
      <c r="A53" s="8">
        <f>IF(B53="","",ROW()-1)</f>
        <v/>
      </c>
      <c r="B53" s="11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>
        <f>IF(G53="","",IF(G53="SIM",1,0))</f>
        <v/>
      </c>
      <c r="L53" s="8">
        <f>IF(H53="","",IF(H53="SIM",1,0))</f>
        <v/>
      </c>
      <c r="M53" s="8">
        <f>IF(I53="","",IF(I53="SIM",1,0))</f>
        <v/>
      </c>
      <c r="N53" s="8">
        <f>IF(J53="","",IF(J53="Conformidade",1,IF(J53="Não Conformidade",0,IF(J53="Não Conformidade Grave",-1,""))))</f>
        <v/>
      </c>
      <c r="O53" s="8">
        <f>IF(COUNTA(G53:J53)=0,"",ROUND(AVERAGE(K53:N53)*100,0))</f>
        <v/>
      </c>
      <c r="P53" s="8">
        <f>IFERROR(AVERAGEIF(C$2:C$201,C53,O$2:O$201),"N/A")</f>
        <v/>
      </c>
      <c r="Q53" s="8" t="n"/>
    </row>
    <row r="54" ht="15" customHeight="1" s="41">
      <c r="A54" s="8">
        <f>IF(B54="","",ROW()-1)</f>
        <v/>
      </c>
      <c r="B54" s="11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>
        <f>IF(G54="","",IF(G54="SIM",1,0))</f>
        <v/>
      </c>
      <c r="L54" s="8">
        <f>IF(H54="","",IF(H54="SIM",1,0))</f>
        <v/>
      </c>
      <c r="M54" s="8">
        <f>IF(I54="","",IF(I54="SIM",1,0))</f>
        <v/>
      </c>
      <c r="N54" s="8">
        <f>IF(J54="","",IF(J54="Conformidade",1,IF(J54="Não Conformidade",0,IF(J54="Não Conformidade Grave",-1,""))))</f>
        <v/>
      </c>
      <c r="O54" s="8">
        <f>IF(COUNTA(G54:J54)=0,"",ROUND(AVERAGE(K54:N54)*100,0))</f>
        <v/>
      </c>
      <c r="P54" s="8">
        <f>IFERROR(AVERAGEIF(C$2:C$201,C54,O$2:O$201),"N/A")</f>
        <v/>
      </c>
      <c r="Q54" s="8" t="n"/>
    </row>
    <row r="55" ht="15" customHeight="1" s="41">
      <c r="A55" s="8">
        <f>IF(B55="","",ROW()-1)</f>
        <v/>
      </c>
      <c r="B55" s="11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>
        <f>IF(G55="","",IF(G55="SIM",1,0))</f>
        <v/>
      </c>
      <c r="L55" s="8">
        <f>IF(H55="","",IF(H55="SIM",1,0))</f>
        <v/>
      </c>
      <c r="M55" s="8">
        <f>IF(I55="","",IF(I55="SIM",1,0))</f>
        <v/>
      </c>
      <c r="N55" s="8">
        <f>IF(J55="","",IF(J55="Conformidade",1,IF(J55="Não Conformidade",0,IF(J55="Não Conformidade Grave",-1,""))))</f>
        <v/>
      </c>
      <c r="O55" s="8">
        <f>IF(COUNTA(G55:J55)=0,"",ROUND(AVERAGE(K55:N55)*100,0))</f>
        <v/>
      </c>
      <c r="P55" s="8">
        <f>IFERROR(AVERAGEIF(C$2:C$201,C55,O$2:O$201),"N/A")</f>
        <v/>
      </c>
      <c r="Q55" s="8" t="n"/>
    </row>
    <row r="56" ht="15" customHeight="1" s="41">
      <c r="A56" s="8">
        <f>IF(B56="","",ROW()-1)</f>
        <v/>
      </c>
      <c r="B56" s="11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>
        <f>IF(G56="","",IF(G56="SIM",1,0))</f>
        <v/>
      </c>
      <c r="L56" s="8">
        <f>IF(H56="","",IF(H56="SIM",1,0))</f>
        <v/>
      </c>
      <c r="M56" s="8">
        <f>IF(I56="","",IF(I56="SIM",1,0))</f>
        <v/>
      </c>
      <c r="N56" s="8">
        <f>IF(J56="","",IF(J56="Conformidade",1,IF(J56="Não Conformidade",0,IF(J56="Não Conformidade Grave",-1,""))))</f>
        <v/>
      </c>
      <c r="O56" s="8">
        <f>IF(COUNTA(G56:J56)=0,"",ROUND(AVERAGE(K56:N56)*100,0))</f>
        <v/>
      </c>
      <c r="P56" s="8">
        <f>IFERROR(AVERAGEIF(C$2:C$201,C56,O$2:O$201),"N/A")</f>
        <v/>
      </c>
      <c r="Q56" s="8" t="n"/>
    </row>
    <row r="57" ht="15" customHeight="1" s="41">
      <c r="A57" s="8">
        <f>IF(B57="","",ROW()-1)</f>
        <v/>
      </c>
      <c r="B57" s="11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>
        <f>IF(G57="","",IF(G57="SIM",1,0))</f>
        <v/>
      </c>
      <c r="L57" s="8">
        <f>IF(H57="","",IF(H57="SIM",1,0))</f>
        <v/>
      </c>
      <c r="M57" s="8">
        <f>IF(I57="","",IF(I57="SIM",1,0))</f>
        <v/>
      </c>
      <c r="N57" s="8">
        <f>IF(J57="","",IF(J57="Conformidade",1,IF(J57="Não Conformidade",0,IF(J57="Não Conformidade Grave",-1,""))))</f>
        <v/>
      </c>
      <c r="O57" s="8">
        <f>IF(COUNTA(G57:J57)=0,"",ROUND(AVERAGE(K57:N57)*100,0))</f>
        <v/>
      </c>
      <c r="P57" s="8">
        <f>IFERROR(AVERAGEIF(C$2:C$201,C57,O$2:O$201),"N/A")</f>
        <v/>
      </c>
      <c r="Q57" s="8" t="n"/>
    </row>
    <row r="58" ht="15" customHeight="1" s="41">
      <c r="A58" s="8">
        <f>IF(B58="","",ROW()-1)</f>
        <v/>
      </c>
      <c r="B58" s="11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>
        <f>IF(G58="","",IF(G58="SIM",1,0))</f>
        <v/>
      </c>
      <c r="L58" s="8">
        <f>IF(H58="","",IF(H58="SIM",1,0))</f>
        <v/>
      </c>
      <c r="M58" s="8">
        <f>IF(I58="","",IF(I58="SIM",1,0))</f>
        <v/>
      </c>
      <c r="N58" s="8">
        <f>IF(J58="","",IF(J58="Conformidade",1,IF(J58="Não Conformidade",0,IF(J58="Não Conformidade Grave",-1,""))))</f>
        <v/>
      </c>
      <c r="O58" s="8">
        <f>IF(COUNTA(G58:J58)=0,"",ROUND(AVERAGE(K58:N58)*100,0))</f>
        <v/>
      </c>
      <c r="P58" s="8">
        <f>IFERROR(AVERAGEIF(C$2:C$201,C58,O$2:O$201),"N/A")</f>
        <v/>
      </c>
      <c r="Q58" s="8" t="n"/>
    </row>
    <row r="59" ht="15" customHeight="1" s="41">
      <c r="A59" s="8">
        <f>IF(B59="","",ROW()-1)</f>
        <v/>
      </c>
      <c r="B59" s="11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>
        <f>IF(G59="","",IF(G59="SIM",1,0))</f>
        <v/>
      </c>
      <c r="L59" s="8">
        <f>IF(H59="","",IF(H59="SIM",1,0))</f>
        <v/>
      </c>
      <c r="M59" s="8">
        <f>IF(I59="","",IF(I59="SIM",1,0))</f>
        <v/>
      </c>
      <c r="N59" s="8">
        <f>IF(J59="","",IF(J59="Conformidade",1,IF(J59="Não Conformidade",0,IF(J59="Não Conformidade Grave",-1,""))))</f>
        <v/>
      </c>
      <c r="O59" s="8">
        <f>IF(COUNTA(G59:J59)=0,"",ROUND(AVERAGE(K59:N59)*100,0))</f>
        <v/>
      </c>
      <c r="P59" s="8">
        <f>IFERROR(AVERAGEIF(C$2:C$201,C59,O$2:O$201),"N/A")</f>
        <v/>
      </c>
      <c r="Q59" s="8" t="n"/>
    </row>
    <row r="60" ht="15" customHeight="1" s="41">
      <c r="A60" s="8">
        <f>IF(B60="","",ROW()-1)</f>
        <v/>
      </c>
      <c r="B60" s="11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>
        <f>IF(G60="","",IF(G60="SIM",1,0))</f>
        <v/>
      </c>
      <c r="L60" s="8">
        <f>IF(H60="","",IF(H60="SIM",1,0))</f>
        <v/>
      </c>
      <c r="M60" s="8">
        <f>IF(I60="","",IF(I60="SIM",1,0))</f>
        <v/>
      </c>
      <c r="N60" s="8">
        <f>IF(J60="","",IF(J60="Conformidade",1,IF(J60="Não Conformidade",0,IF(J60="Não Conformidade Grave",-1,""))))</f>
        <v/>
      </c>
      <c r="O60" s="8">
        <f>IF(COUNTA(G60:J60)=0,"",ROUND(AVERAGE(K60:N60)*100,0))</f>
        <v/>
      </c>
      <c r="P60" s="8">
        <f>IFERROR(AVERAGEIF(C$2:C$201,C60,O$2:O$201),"N/A")</f>
        <v/>
      </c>
      <c r="Q60" s="8" t="n"/>
    </row>
    <row r="61" ht="15" customHeight="1" s="41">
      <c r="A61" s="8">
        <f>IF(B61="","",ROW()-1)</f>
        <v/>
      </c>
      <c r="B61" s="11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>
        <f>IF(G61="","",IF(G61="SIM",1,0))</f>
        <v/>
      </c>
      <c r="L61" s="8">
        <f>IF(H61="","",IF(H61="SIM",1,0))</f>
        <v/>
      </c>
      <c r="M61" s="8">
        <f>IF(I61="","",IF(I61="SIM",1,0))</f>
        <v/>
      </c>
      <c r="N61" s="8">
        <f>IF(J61="","",IF(J61="Conformidade",1,IF(J61="Não Conformidade",0,IF(J61="Não Conformidade Grave",-1,""))))</f>
        <v/>
      </c>
      <c r="O61" s="8">
        <f>IF(COUNTA(G61:J61)=0,"",ROUND(AVERAGE(K61:N61)*100,0))</f>
        <v/>
      </c>
      <c r="P61" s="8">
        <f>IFERROR(AVERAGEIF(C$2:C$201,C61,O$2:O$201),"N/A")</f>
        <v/>
      </c>
      <c r="Q61" s="8" t="n"/>
    </row>
    <row r="62" ht="15" customHeight="1" s="41">
      <c r="A62" s="8">
        <f>IF(B62="","",ROW()-1)</f>
        <v/>
      </c>
      <c r="B62" s="11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>
        <f>IF(G62="","",IF(G62="SIM",1,0))</f>
        <v/>
      </c>
      <c r="L62" s="8">
        <f>IF(H62="","",IF(H62="SIM",1,0))</f>
        <v/>
      </c>
      <c r="M62" s="8">
        <f>IF(I62="","",IF(I62="SIM",1,0))</f>
        <v/>
      </c>
      <c r="N62" s="8">
        <f>IF(J62="","",IF(J62="Conformidade",1,IF(J62="Não Conformidade",0,IF(J62="Não Conformidade Grave",-1,""))))</f>
        <v/>
      </c>
      <c r="O62" s="8">
        <f>IF(COUNTA(G62:J62)=0,"",ROUND(AVERAGE(K62:N62)*100,0))</f>
        <v/>
      </c>
      <c r="P62" s="8">
        <f>IFERROR(AVERAGEIF(C$2:C$201,C62,O$2:O$201),"N/A")</f>
        <v/>
      </c>
      <c r="Q62" s="8" t="n"/>
    </row>
    <row r="63" ht="15" customHeight="1" s="41">
      <c r="A63" s="8">
        <f>IF(B63="","",ROW()-1)</f>
        <v/>
      </c>
      <c r="B63" s="11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>
        <f>IF(G63="","",IF(G63="SIM",1,0))</f>
        <v/>
      </c>
      <c r="L63" s="8">
        <f>IF(H63="","",IF(H63="SIM",1,0))</f>
        <v/>
      </c>
      <c r="M63" s="8">
        <f>IF(I63="","",IF(I63="SIM",1,0))</f>
        <v/>
      </c>
      <c r="N63" s="8">
        <f>IF(J63="","",IF(J63="Conformidade",1,IF(J63="Não Conformidade",0,IF(J63="Não Conformidade Grave",-1,""))))</f>
        <v/>
      </c>
      <c r="O63" s="8">
        <f>IF(COUNTA(G63:J63)=0,"",ROUND(AVERAGE(K63:N63)*100,0))</f>
        <v/>
      </c>
      <c r="P63" s="8">
        <f>IFERROR(AVERAGEIF(C$2:C$201,C63,O$2:O$201),"N/A")</f>
        <v/>
      </c>
      <c r="Q63" s="8" t="n"/>
    </row>
    <row r="64" ht="15" customHeight="1" s="41">
      <c r="A64" s="8">
        <f>IF(B64="","",ROW()-1)</f>
        <v/>
      </c>
      <c r="B64" s="11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>
        <f>IF(G64="","",IF(G64="SIM",1,0))</f>
        <v/>
      </c>
      <c r="L64" s="8">
        <f>IF(H64="","",IF(H64="SIM",1,0))</f>
        <v/>
      </c>
      <c r="M64" s="8">
        <f>IF(I64="","",IF(I64="SIM",1,0))</f>
        <v/>
      </c>
      <c r="N64" s="8">
        <f>IF(J64="","",IF(J64="Conformidade",1,IF(J64="Não Conformidade",0,IF(J64="Não Conformidade Grave",-1,""))))</f>
        <v/>
      </c>
      <c r="O64" s="8">
        <f>IF(COUNTA(G64:J64)=0,"",ROUND(AVERAGE(K64:N64)*100,0))</f>
        <v/>
      </c>
      <c r="P64" s="8">
        <f>IFERROR(AVERAGEIF(C$2:C$201,C64,O$2:O$201),"N/A")</f>
        <v/>
      </c>
      <c r="Q64" s="8" t="n"/>
    </row>
    <row r="65" ht="15" customHeight="1" s="41">
      <c r="A65" s="8">
        <f>IF(B65="","",ROW()-1)</f>
        <v/>
      </c>
      <c r="B65" s="11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>
        <f>IF(G65="","",IF(G65="SIM",1,0))</f>
        <v/>
      </c>
      <c r="L65" s="8">
        <f>IF(H65="","",IF(H65="SIM",1,0))</f>
        <v/>
      </c>
      <c r="M65" s="8">
        <f>IF(I65="","",IF(I65="SIM",1,0))</f>
        <v/>
      </c>
      <c r="N65" s="8">
        <f>IF(J65="","",IF(J65="Conformidade",1,IF(J65="Não Conformidade",0,IF(J65="Não Conformidade Grave",-1,""))))</f>
        <v/>
      </c>
      <c r="O65" s="8">
        <f>IF(COUNTA(G65:J65)=0,"",ROUND(AVERAGE(K65:N65)*100,0))</f>
        <v/>
      </c>
      <c r="P65" s="8">
        <f>IFERROR(AVERAGEIF(C$2:C$201,C65,O$2:O$201),"N/A")</f>
        <v/>
      </c>
      <c r="Q65" s="8" t="n"/>
    </row>
    <row r="66" ht="15" customHeight="1" s="41">
      <c r="A66" s="8">
        <f>IF(B66="","",ROW()-1)</f>
        <v/>
      </c>
      <c r="B66" s="11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>
        <f>IF(G66="","",IF(G66="SIM",1,0))</f>
        <v/>
      </c>
      <c r="L66" s="8">
        <f>IF(H66="","",IF(H66="SIM",1,0))</f>
        <v/>
      </c>
      <c r="M66" s="8">
        <f>IF(I66="","",IF(I66="SIM",1,0))</f>
        <v/>
      </c>
      <c r="N66" s="8">
        <f>IF(J66="","",IF(J66="Conformidade",1,IF(J66="Não Conformidade",0,IF(J66="Não Conformidade Grave",-1,""))))</f>
        <v/>
      </c>
      <c r="O66" s="8">
        <f>IF(COUNTA(G66:J66)=0,"",ROUND(AVERAGE(K66:N66)*100,0))</f>
        <v/>
      </c>
      <c r="P66" s="8">
        <f>IFERROR(AVERAGEIF(C$2:C$201,C66,O$2:O$201),"N/A")</f>
        <v/>
      </c>
      <c r="Q66" s="8" t="n"/>
    </row>
    <row r="67" ht="15" customHeight="1" s="41">
      <c r="A67" s="8">
        <f>IF(B67="","",ROW()-1)</f>
        <v/>
      </c>
      <c r="B67" s="11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>
        <f>IF(G67="","",IF(G67="SIM",1,0))</f>
        <v/>
      </c>
      <c r="L67" s="8">
        <f>IF(H67="","",IF(H67="SIM",1,0))</f>
        <v/>
      </c>
      <c r="M67" s="8">
        <f>IF(I67="","",IF(I67="SIM",1,0))</f>
        <v/>
      </c>
      <c r="N67" s="8">
        <f>IF(J67="","",IF(J67="Conformidade",1,IF(J67="Não Conformidade",0,IF(J67="Não Conformidade Grave",-1,""))))</f>
        <v/>
      </c>
      <c r="O67" s="8">
        <f>IF(COUNTA(G67:J67)=0,"",ROUND(AVERAGE(K67:N67)*100,0))</f>
        <v/>
      </c>
      <c r="P67" s="8">
        <f>IFERROR(AVERAGEIF(C$2:C$201,C67,O$2:O$201),"N/A")</f>
        <v/>
      </c>
      <c r="Q67" s="8" t="n"/>
    </row>
    <row r="68" ht="15" customHeight="1" s="41">
      <c r="A68" s="8">
        <f>IF(B68="","",ROW()-1)</f>
        <v/>
      </c>
      <c r="B68" s="11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>
        <f>IF(G68="","",IF(G68="SIM",1,0))</f>
        <v/>
      </c>
      <c r="L68" s="8">
        <f>IF(H68="","",IF(H68="SIM",1,0))</f>
        <v/>
      </c>
      <c r="M68" s="8">
        <f>IF(I68="","",IF(I68="SIM",1,0))</f>
        <v/>
      </c>
      <c r="N68" s="8">
        <f>IF(J68="","",IF(J68="Conformidade",1,IF(J68="Não Conformidade",0,IF(J68="Não Conformidade Grave",-1,""))))</f>
        <v/>
      </c>
      <c r="O68" s="8">
        <f>IF(COUNTA(G68:J68)=0,"",ROUND(AVERAGE(K68:N68)*100,0))</f>
        <v/>
      </c>
      <c r="P68" s="8">
        <f>IFERROR(AVERAGEIF(C$2:C$201,C68,O$2:O$201),"N/A")</f>
        <v/>
      </c>
      <c r="Q68" s="8" t="n"/>
    </row>
    <row r="69" ht="15" customHeight="1" s="41">
      <c r="A69" s="8">
        <f>IF(B69="","",ROW()-1)</f>
        <v/>
      </c>
      <c r="B69" s="11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>
        <f>IF(G69="","",IF(G69="SIM",1,0))</f>
        <v/>
      </c>
      <c r="L69" s="8">
        <f>IF(H69="","",IF(H69="SIM",1,0))</f>
        <v/>
      </c>
      <c r="M69" s="8">
        <f>IF(I69="","",IF(I69="SIM",1,0))</f>
        <v/>
      </c>
      <c r="N69" s="8">
        <f>IF(J69="","",IF(J69="Conformidade",1,IF(J69="Não Conformidade",0,IF(J69="Não Conformidade Grave",-1,""))))</f>
        <v/>
      </c>
      <c r="O69" s="8">
        <f>IF(COUNTA(G69:J69)=0,"",ROUND(AVERAGE(K69:N69)*100,0))</f>
        <v/>
      </c>
      <c r="P69" s="8">
        <f>IFERROR(AVERAGEIF(C$2:C$201,C69,O$2:O$201),"N/A")</f>
        <v/>
      </c>
      <c r="Q69" s="8" t="n"/>
    </row>
    <row r="70" ht="15" customHeight="1" s="41">
      <c r="A70" s="8">
        <f>IF(B70="","",ROW()-1)</f>
        <v/>
      </c>
      <c r="B70" s="11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>
        <f>IF(G70="","",IF(G70="SIM",1,0))</f>
        <v/>
      </c>
      <c r="L70" s="8">
        <f>IF(H70="","",IF(H70="SIM",1,0))</f>
        <v/>
      </c>
      <c r="M70" s="8">
        <f>IF(I70="","",IF(I70="SIM",1,0))</f>
        <v/>
      </c>
      <c r="N70" s="8">
        <f>IF(J70="","",IF(J70="Conformidade",1,IF(J70="Não Conformidade",0,IF(J70="Não Conformidade Grave",-1,""))))</f>
        <v/>
      </c>
      <c r="O70" s="8">
        <f>IF(COUNTA(G70:J70)=0,"",ROUND(AVERAGE(K70:N70)*100,0))</f>
        <v/>
      </c>
      <c r="P70" s="8">
        <f>IFERROR(AVERAGEIF(C$2:C$201,C70,O$2:O$201),"N/A")</f>
        <v/>
      </c>
      <c r="Q70" s="8" t="n"/>
    </row>
    <row r="71" ht="15" customHeight="1" s="41">
      <c r="A71" s="8">
        <f>IF(B71="","",ROW()-1)</f>
        <v/>
      </c>
      <c r="B71" s="11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>
        <f>IF(G71="","",IF(G71="SIM",1,0))</f>
        <v/>
      </c>
      <c r="L71" s="8">
        <f>IF(H71="","",IF(H71="SIM",1,0))</f>
        <v/>
      </c>
      <c r="M71" s="8">
        <f>IF(I71="","",IF(I71="SIM",1,0))</f>
        <v/>
      </c>
      <c r="N71" s="8">
        <f>IF(J71="","",IF(J71="Conformidade",1,IF(J71="Não Conformidade",0,IF(J71="Não Conformidade Grave",-1,""))))</f>
        <v/>
      </c>
      <c r="O71" s="8">
        <f>IF(COUNTA(G71:J71)=0,"",ROUND(AVERAGE(K71:N71)*100,0))</f>
        <v/>
      </c>
      <c r="P71" s="8">
        <f>IFERROR(AVERAGEIF(C$2:C$201,C71,O$2:O$201),"N/A")</f>
        <v/>
      </c>
      <c r="Q71" s="8" t="n"/>
    </row>
    <row r="72" ht="15" customHeight="1" s="41">
      <c r="A72" s="8">
        <f>IF(B72="","",ROW()-1)</f>
        <v/>
      </c>
      <c r="B72" s="11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>
        <f>IF(G72="","",IF(G72="SIM",1,0))</f>
        <v/>
      </c>
      <c r="L72" s="8">
        <f>IF(H72="","",IF(H72="SIM",1,0))</f>
        <v/>
      </c>
      <c r="M72" s="8">
        <f>IF(I72="","",IF(I72="SIM",1,0))</f>
        <v/>
      </c>
      <c r="N72" s="8">
        <f>IF(J72="","",IF(J72="Conformidade",1,IF(J72="Não Conformidade",0,IF(J72="Não Conformidade Grave",-1,""))))</f>
        <v/>
      </c>
      <c r="O72" s="8">
        <f>IF(COUNTA(G72:J72)=0,"",ROUND(AVERAGE(K72:N72)*100,0))</f>
        <v/>
      </c>
      <c r="P72" s="8">
        <f>IFERROR(AVERAGEIF(C$2:C$201,C72,O$2:O$201),"N/A")</f>
        <v/>
      </c>
      <c r="Q72" s="8" t="n"/>
    </row>
    <row r="73" ht="15" customHeight="1" s="41">
      <c r="A73" s="8">
        <f>IF(B73="","",ROW()-1)</f>
        <v/>
      </c>
      <c r="B73" s="11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>
        <f>IF(G73="","",IF(G73="SIM",1,0))</f>
        <v/>
      </c>
      <c r="L73" s="8">
        <f>IF(H73="","",IF(H73="SIM",1,0))</f>
        <v/>
      </c>
      <c r="M73" s="8">
        <f>IF(I73="","",IF(I73="SIM",1,0))</f>
        <v/>
      </c>
      <c r="N73" s="8">
        <f>IF(J73="","",IF(J73="Conformidade",1,IF(J73="Não Conformidade",0,IF(J73="Não Conformidade Grave",-1,""))))</f>
        <v/>
      </c>
      <c r="O73" s="8">
        <f>IF(COUNTA(G73:J73)=0,"",ROUND(AVERAGE(K73:N73)*100,0))</f>
        <v/>
      </c>
      <c r="P73" s="8">
        <f>IFERROR(AVERAGEIF(C$2:C$201,C73,O$2:O$201),"N/A")</f>
        <v/>
      </c>
      <c r="Q73" s="8" t="n"/>
    </row>
    <row r="74" ht="15" customHeight="1" s="41">
      <c r="A74" s="8">
        <f>IF(B74="","",ROW()-1)</f>
        <v/>
      </c>
      <c r="B74" s="11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>
        <f>IF(G74="","",IF(G74="SIM",1,0))</f>
        <v/>
      </c>
      <c r="L74" s="8">
        <f>IF(H74="","",IF(H74="SIM",1,0))</f>
        <v/>
      </c>
      <c r="M74" s="8">
        <f>IF(I74="","",IF(I74="SIM",1,0))</f>
        <v/>
      </c>
      <c r="N74" s="8">
        <f>IF(J74="","",IF(J74="Conformidade",1,IF(J74="Não Conformidade",0,IF(J74="Não Conformidade Grave",-1,""))))</f>
        <v/>
      </c>
      <c r="O74" s="8">
        <f>IF(COUNTA(G74:J74)=0,"",ROUND(AVERAGE(K74:N74)*100,0))</f>
        <v/>
      </c>
      <c r="P74" s="8">
        <f>IFERROR(AVERAGEIF(C$2:C$201,C74,O$2:O$201),"N/A")</f>
        <v/>
      </c>
      <c r="Q74" s="8" t="n"/>
    </row>
    <row r="75" ht="15" customHeight="1" s="41">
      <c r="A75" s="8">
        <f>IF(B75="","",ROW()-1)</f>
        <v/>
      </c>
      <c r="B75" s="11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>
        <f>IF(G75="","",IF(G75="SIM",1,0))</f>
        <v/>
      </c>
      <c r="L75" s="8">
        <f>IF(H75="","",IF(H75="SIM",1,0))</f>
        <v/>
      </c>
      <c r="M75" s="8">
        <f>IF(I75="","",IF(I75="SIM",1,0))</f>
        <v/>
      </c>
      <c r="N75" s="8">
        <f>IF(J75="","",IF(J75="Conformidade",1,IF(J75="Não Conformidade",0,IF(J75="Não Conformidade Grave",-1,""))))</f>
        <v/>
      </c>
      <c r="O75" s="8">
        <f>IF(COUNTA(G75:J75)=0,"",ROUND(AVERAGE(K75:N75)*100,0))</f>
        <v/>
      </c>
      <c r="P75" s="8">
        <f>IFERROR(AVERAGEIF(C$2:C$201,C75,O$2:O$201),"N/A")</f>
        <v/>
      </c>
      <c r="Q75" s="8" t="n"/>
    </row>
    <row r="76" ht="15" customHeight="1" s="41">
      <c r="A76" s="8">
        <f>IF(B76="","",ROW()-1)</f>
        <v/>
      </c>
      <c r="B76" s="11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>
        <f>IF(G76="","",IF(G76="SIM",1,0))</f>
        <v/>
      </c>
      <c r="L76" s="8">
        <f>IF(H76="","",IF(H76="SIM",1,0))</f>
        <v/>
      </c>
      <c r="M76" s="8">
        <f>IF(I76="","",IF(I76="SIM",1,0))</f>
        <v/>
      </c>
      <c r="N76" s="8">
        <f>IF(J76="","",IF(J76="Conformidade",1,IF(J76="Não Conformidade",0,IF(J76="Não Conformidade Grave",-1,""))))</f>
        <v/>
      </c>
      <c r="O76" s="8">
        <f>IF(COUNTA(G76:J76)=0,"",ROUND(AVERAGE(K76:N76)*100,0))</f>
        <v/>
      </c>
      <c r="P76" s="8">
        <f>IFERROR(AVERAGEIF(C$2:C$201,C76,O$2:O$201),"N/A")</f>
        <v/>
      </c>
      <c r="Q76" s="8" t="n"/>
    </row>
    <row r="77" ht="15" customHeight="1" s="41">
      <c r="A77" s="8">
        <f>IF(B77="","",ROW()-1)</f>
        <v/>
      </c>
      <c r="B77" s="11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>
        <f>IF(G77="","",IF(G77="SIM",1,0))</f>
        <v/>
      </c>
      <c r="L77" s="8">
        <f>IF(H77="","",IF(H77="SIM",1,0))</f>
        <v/>
      </c>
      <c r="M77" s="8">
        <f>IF(I77="","",IF(I77="SIM",1,0))</f>
        <v/>
      </c>
      <c r="N77" s="8">
        <f>IF(J77="","",IF(J77="Conformidade",1,IF(J77="Não Conformidade",0,IF(J77="Não Conformidade Grave",-1,""))))</f>
        <v/>
      </c>
      <c r="O77" s="8">
        <f>IF(COUNTA(G77:J77)=0,"",ROUND(AVERAGE(K77:N77)*100,0))</f>
        <v/>
      </c>
      <c r="P77" s="8">
        <f>IFERROR(AVERAGEIF(C$2:C$201,C77,O$2:O$201),"N/A")</f>
        <v/>
      </c>
      <c r="Q77" s="8" t="n"/>
    </row>
    <row r="78" ht="15" customHeight="1" s="41">
      <c r="A78" s="8">
        <f>IF(B78="","",ROW()-1)</f>
        <v/>
      </c>
      <c r="B78" s="11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>
        <f>IF(G78="","",IF(G78="SIM",1,0))</f>
        <v/>
      </c>
      <c r="L78" s="8">
        <f>IF(H78="","",IF(H78="SIM",1,0))</f>
        <v/>
      </c>
      <c r="M78" s="8">
        <f>IF(I78="","",IF(I78="SIM",1,0))</f>
        <v/>
      </c>
      <c r="N78" s="8">
        <f>IF(J78="","",IF(J78="Conformidade",1,IF(J78="Não Conformidade",0,IF(J78="Não Conformidade Grave",-1,""))))</f>
        <v/>
      </c>
      <c r="O78" s="8">
        <f>IF(COUNTA(G78:J78)=0,"",ROUND(AVERAGE(K78:N78)*100,0))</f>
        <v/>
      </c>
      <c r="P78" s="8">
        <f>IFERROR(AVERAGEIF(C$2:C$201,C78,O$2:O$201),"N/A")</f>
        <v/>
      </c>
      <c r="Q78" s="8" t="n"/>
    </row>
    <row r="79" ht="15" customHeight="1" s="41">
      <c r="A79" s="8">
        <f>IF(B79="","",ROW()-1)</f>
        <v/>
      </c>
      <c r="B79" s="11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>
        <f>IF(G79="","",IF(G79="SIM",1,0))</f>
        <v/>
      </c>
      <c r="L79" s="8">
        <f>IF(H79="","",IF(H79="SIM",1,0))</f>
        <v/>
      </c>
      <c r="M79" s="8">
        <f>IF(I79="","",IF(I79="SIM",1,0))</f>
        <v/>
      </c>
      <c r="N79" s="8">
        <f>IF(J79="","",IF(J79="Conformidade",1,IF(J79="Não Conformidade",0,IF(J79="Não Conformidade Grave",-1,""))))</f>
        <v/>
      </c>
      <c r="O79" s="8">
        <f>IF(COUNTA(G79:J79)=0,"",ROUND(AVERAGE(K79:N79)*100,0))</f>
        <v/>
      </c>
      <c r="P79" s="8">
        <f>IFERROR(AVERAGEIF(C$2:C$201,C79,O$2:O$201),"N/A")</f>
        <v/>
      </c>
      <c r="Q79" s="8" t="n"/>
    </row>
    <row r="80" ht="15" customHeight="1" s="41">
      <c r="A80" s="8">
        <f>IF(B80="","",ROW()-1)</f>
        <v/>
      </c>
      <c r="B80" s="11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>
        <f>IF(G80="","",IF(G80="SIM",1,0))</f>
        <v/>
      </c>
      <c r="L80" s="8">
        <f>IF(H80="","",IF(H80="SIM",1,0))</f>
        <v/>
      </c>
      <c r="M80" s="8">
        <f>IF(I80="","",IF(I80="SIM",1,0))</f>
        <v/>
      </c>
      <c r="N80" s="8">
        <f>IF(J80="","",IF(J80="Conformidade",1,IF(J80="Não Conformidade",0,IF(J80="Não Conformidade Grave",-1,""))))</f>
        <v/>
      </c>
      <c r="O80" s="8">
        <f>IF(COUNTA(G80:J80)=0,"",ROUND(AVERAGE(K80:N80)*100,0))</f>
        <v/>
      </c>
      <c r="P80" s="8">
        <f>IFERROR(AVERAGEIF(C$2:C$201,C80,O$2:O$201),"N/A")</f>
        <v/>
      </c>
      <c r="Q80" s="8" t="n"/>
    </row>
    <row r="81" ht="15" customHeight="1" s="41">
      <c r="A81" s="8">
        <f>IF(B81="","",ROW()-1)</f>
        <v/>
      </c>
      <c r="B81" s="11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>
        <f>IF(G81="","",IF(G81="SIM",1,0))</f>
        <v/>
      </c>
      <c r="L81" s="8">
        <f>IF(H81="","",IF(H81="SIM",1,0))</f>
        <v/>
      </c>
      <c r="M81" s="8">
        <f>IF(I81="","",IF(I81="SIM",1,0))</f>
        <v/>
      </c>
      <c r="N81" s="8">
        <f>IF(J81="","",IF(J81="Conformidade",1,IF(J81="Não Conformidade",0,IF(J81="Não Conformidade Grave",-1,""))))</f>
        <v/>
      </c>
      <c r="O81" s="8">
        <f>IF(COUNTA(G81:J81)=0,"",ROUND(AVERAGE(K81:N81)*100,0))</f>
        <v/>
      </c>
      <c r="P81" s="8">
        <f>IFERROR(AVERAGEIF(C$2:C$201,C81,O$2:O$201),"N/A")</f>
        <v/>
      </c>
      <c r="Q81" s="8" t="n"/>
    </row>
    <row r="82" ht="15" customHeight="1" s="41">
      <c r="A82" s="8">
        <f>IF(B82="","",ROW()-1)</f>
        <v/>
      </c>
      <c r="B82" s="11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>
        <f>IF(G82="","",IF(G82="SIM",1,0))</f>
        <v/>
      </c>
      <c r="L82" s="8">
        <f>IF(H82="","",IF(H82="SIM",1,0))</f>
        <v/>
      </c>
      <c r="M82" s="8">
        <f>IF(I82="","",IF(I82="SIM",1,0))</f>
        <v/>
      </c>
      <c r="N82" s="8">
        <f>IF(J82="","",IF(J82="Conformidade",1,IF(J82="Não Conformidade",0,IF(J82="Não Conformidade Grave",-1,""))))</f>
        <v/>
      </c>
      <c r="O82" s="8">
        <f>IF(COUNTA(G82:J82)=0,"",ROUND(AVERAGE(K82:N82)*100,0))</f>
        <v/>
      </c>
      <c r="P82" s="8">
        <f>IFERROR(AVERAGEIF(C$2:C$201,C82,O$2:O$201),"N/A")</f>
        <v/>
      </c>
      <c r="Q82" s="8" t="n"/>
    </row>
    <row r="83" ht="15" customHeight="1" s="41">
      <c r="A83" s="8">
        <f>IF(B83="","",ROW()-1)</f>
        <v/>
      </c>
      <c r="B83" s="11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>
        <f>IF(G83="","",IF(G83="SIM",1,0))</f>
        <v/>
      </c>
      <c r="L83" s="8">
        <f>IF(H83="","",IF(H83="SIM",1,0))</f>
        <v/>
      </c>
      <c r="M83" s="8">
        <f>IF(I83="","",IF(I83="SIM",1,0))</f>
        <v/>
      </c>
      <c r="N83" s="8">
        <f>IF(J83="","",IF(J83="Conformidade",1,IF(J83="Não Conformidade",0,IF(J83="Não Conformidade Grave",-1,""))))</f>
        <v/>
      </c>
      <c r="O83" s="8">
        <f>IF(COUNTA(G83:J83)=0,"",ROUND(AVERAGE(K83:N83)*100,0))</f>
        <v/>
      </c>
      <c r="P83" s="8">
        <f>IFERROR(AVERAGEIF(C$2:C$201,C83,O$2:O$201),"N/A")</f>
        <v/>
      </c>
      <c r="Q83" s="8" t="n"/>
    </row>
    <row r="84" ht="15" customHeight="1" s="41">
      <c r="A84" s="8">
        <f>IF(B84="","",ROW()-1)</f>
        <v/>
      </c>
      <c r="B84" s="11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>
        <f>IF(G84="","",IF(G84="SIM",1,0))</f>
        <v/>
      </c>
      <c r="L84" s="8">
        <f>IF(H84="","",IF(H84="SIM",1,0))</f>
        <v/>
      </c>
      <c r="M84" s="8">
        <f>IF(I84="","",IF(I84="SIM",1,0))</f>
        <v/>
      </c>
      <c r="N84" s="8">
        <f>IF(J84="","",IF(J84="Conformidade",1,IF(J84="Não Conformidade",0,IF(J84="Não Conformidade Grave",-1,""))))</f>
        <v/>
      </c>
      <c r="O84" s="8">
        <f>IF(COUNTA(G84:J84)=0,"",ROUND(AVERAGE(K84:N84)*100,0))</f>
        <v/>
      </c>
      <c r="P84" s="8">
        <f>IFERROR(AVERAGEIF(C$2:C$201,C84,O$2:O$201),"N/A")</f>
        <v/>
      </c>
      <c r="Q84" s="8" t="n"/>
    </row>
    <row r="85" ht="15" customHeight="1" s="41">
      <c r="A85" s="8">
        <f>IF(B85="","",ROW()-1)</f>
        <v/>
      </c>
      <c r="B85" s="11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>
        <f>IF(G85="","",IF(G85="SIM",1,0))</f>
        <v/>
      </c>
      <c r="L85" s="8">
        <f>IF(H85="","",IF(H85="SIM",1,0))</f>
        <v/>
      </c>
      <c r="M85" s="8">
        <f>IF(I85="","",IF(I85="SIM",1,0))</f>
        <v/>
      </c>
      <c r="N85" s="8">
        <f>IF(J85="","",IF(J85="Conformidade",1,IF(J85="Não Conformidade",0,IF(J85="Não Conformidade Grave",-1,""))))</f>
        <v/>
      </c>
      <c r="O85" s="8">
        <f>IF(COUNTA(G85:J85)=0,"",ROUND(AVERAGE(K85:N85)*100,0))</f>
        <v/>
      </c>
      <c r="P85" s="8">
        <f>IFERROR(AVERAGEIF(C$2:C$201,C85,O$2:O$201),"N/A")</f>
        <v/>
      </c>
      <c r="Q85" s="8" t="n"/>
    </row>
    <row r="86" ht="15" customHeight="1" s="41">
      <c r="A86" s="8">
        <f>IF(B86="","",ROW()-1)</f>
        <v/>
      </c>
      <c r="B86" s="11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>
        <f>IF(G86="","",IF(G86="SIM",1,0))</f>
        <v/>
      </c>
      <c r="L86" s="8">
        <f>IF(H86="","",IF(H86="SIM",1,0))</f>
        <v/>
      </c>
      <c r="M86" s="8">
        <f>IF(I86="","",IF(I86="SIM",1,0))</f>
        <v/>
      </c>
      <c r="N86" s="8">
        <f>IF(J86="","",IF(J86="Conformidade",1,IF(J86="Não Conformidade",0,IF(J86="Não Conformidade Grave",-1,""))))</f>
        <v/>
      </c>
      <c r="O86" s="8">
        <f>IF(COUNTA(G86:J86)=0,"",ROUND(AVERAGE(K86:N86)*100,0))</f>
        <v/>
      </c>
      <c r="P86" s="8">
        <f>IFERROR(AVERAGEIF(C$2:C$201,C86,O$2:O$201),"N/A")</f>
        <v/>
      </c>
      <c r="Q86" s="8" t="n"/>
    </row>
    <row r="87" ht="15" customHeight="1" s="41">
      <c r="A87" s="8">
        <f>IF(B87="","",ROW()-1)</f>
        <v/>
      </c>
      <c r="B87" s="11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>
        <f>IF(G87="","",IF(G87="SIM",1,0))</f>
        <v/>
      </c>
      <c r="L87" s="8">
        <f>IF(H87="","",IF(H87="SIM",1,0))</f>
        <v/>
      </c>
      <c r="M87" s="8">
        <f>IF(I87="","",IF(I87="SIM",1,0))</f>
        <v/>
      </c>
      <c r="N87" s="8">
        <f>IF(J87="","",IF(J87="Conformidade",1,IF(J87="Não Conformidade",0,IF(J87="Não Conformidade Grave",-1,""))))</f>
        <v/>
      </c>
      <c r="O87" s="8">
        <f>IF(COUNTA(G87:J87)=0,"",ROUND(AVERAGE(K87:N87)*100,0))</f>
        <v/>
      </c>
      <c r="P87" s="8">
        <f>IFERROR(AVERAGEIF(C$2:C$201,C87,O$2:O$201),"N/A")</f>
        <v/>
      </c>
      <c r="Q87" s="8" t="n"/>
    </row>
    <row r="88" ht="15" customHeight="1" s="41">
      <c r="A88" s="8">
        <f>IF(B88="","",ROW()-1)</f>
        <v/>
      </c>
      <c r="B88" s="11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>
        <f>IF(G88="","",IF(G88="SIM",1,0))</f>
        <v/>
      </c>
      <c r="L88" s="8">
        <f>IF(H88="","",IF(H88="SIM",1,0))</f>
        <v/>
      </c>
      <c r="M88" s="8">
        <f>IF(I88="","",IF(I88="SIM",1,0))</f>
        <v/>
      </c>
      <c r="N88" s="8">
        <f>IF(J88="","",IF(J88="Conformidade",1,IF(J88="Não Conformidade",0,IF(J88="Não Conformidade Grave",-1,""))))</f>
        <v/>
      </c>
      <c r="O88" s="8">
        <f>IF(COUNTA(G88:J88)=0,"",ROUND(AVERAGE(K88:N88)*100,0))</f>
        <v/>
      </c>
      <c r="P88" s="8">
        <f>IFERROR(AVERAGEIF(C$2:C$201,C88,O$2:O$201),"N/A")</f>
        <v/>
      </c>
      <c r="Q88" s="8" t="n"/>
    </row>
    <row r="89" ht="15" customHeight="1" s="41">
      <c r="A89" s="8">
        <f>IF(B89="","",ROW()-1)</f>
        <v/>
      </c>
      <c r="B89" s="11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>
        <f>IF(G89="","",IF(G89="SIM",1,0))</f>
        <v/>
      </c>
      <c r="L89" s="8">
        <f>IF(H89="","",IF(H89="SIM",1,0))</f>
        <v/>
      </c>
      <c r="M89" s="8">
        <f>IF(I89="","",IF(I89="SIM",1,0))</f>
        <v/>
      </c>
      <c r="N89" s="8">
        <f>IF(J89="","",IF(J89="Conformidade",1,IF(J89="Não Conformidade",0,IF(J89="Não Conformidade Grave",-1,""))))</f>
        <v/>
      </c>
      <c r="O89" s="8">
        <f>IF(COUNTA(G89:J89)=0,"",ROUND(AVERAGE(K89:N89)*100,0))</f>
        <v/>
      </c>
      <c r="P89" s="8">
        <f>IFERROR(AVERAGEIF(C$2:C$201,C89,O$2:O$201),"N/A")</f>
        <v/>
      </c>
      <c r="Q89" s="8" t="n"/>
    </row>
    <row r="90" ht="15" customHeight="1" s="41">
      <c r="A90" s="8">
        <f>IF(B90="","",ROW()-1)</f>
        <v/>
      </c>
      <c r="B90" s="11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>
        <f>IF(G90="","",IF(G90="SIM",1,0))</f>
        <v/>
      </c>
      <c r="L90" s="8">
        <f>IF(H90="","",IF(H90="SIM",1,0))</f>
        <v/>
      </c>
      <c r="M90" s="8">
        <f>IF(I90="","",IF(I90="SIM",1,0))</f>
        <v/>
      </c>
      <c r="N90" s="8">
        <f>IF(J90="","",IF(J90="Conformidade",1,IF(J90="Não Conformidade",0,IF(J90="Não Conformidade Grave",-1,""))))</f>
        <v/>
      </c>
      <c r="O90" s="8">
        <f>IF(COUNTA(G90:J90)=0,"",ROUND(AVERAGE(K90:N90)*100,0))</f>
        <v/>
      </c>
      <c r="P90" s="8">
        <f>IFERROR(AVERAGEIF(C$2:C$201,C90,O$2:O$201),"N/A")</f>
        <v/>
      </c>
      <c r="Q90" s="8" t="n"/>
    </row>
    <row r="91" ht="15" customHeight="1" s="41">
      <c r="A91" s="8">
        <f>IF(B91="","",ROW()-1)</f>
        <v/>
      </c>
      <c r="B91" s="11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>
        <f>IF(G91="","",IF(G91="SIM",1,0))</f>
        <v/>
      </c>
      <c r="L91" s="8">
        <f>IF(H91="","",IF(H91="SIM",1,0))</f>
        <v/>
      </c>
      <c r="M91" s="8">
        <f>IF(I91="","",IF(I91="SIM",1,0))</f>
        <v/>
      </c>
      <c r="N91" s="8">
        <f>IF(J91="","",IF(J91="Conformidade",1,IF(J91="Não Conformidade",0,IF(J91="Não Conformidade Grave",-1,""))))</f>
        <v/>
      </c>
      <c r="O91" s="8">
        <f>IF(COUNTA(G91:J91)=0,"",ROUND(AVERAGE(K91:N91)*100,0))</f>
        <v/>
      </c>
      <c r="P91" s="8">
        <f>IFERROR(AVERAGEIF(C$2:C$201,C91,O$2:O$201),"N/A")</f>
        <v/>
      </c>
      <c r="Q91" s="8" t="n"/>
    </row>
    <row r="92" ht="15" customHeight="1" s="41">
      <c r="A92" s="8">
        <f>IF(B92="","",ROW()-1)</f>
        <v/>
      </c>
      <c r="B92" s="11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>
        <f>IF(G92="","",IF(G92="SIM",1,0))</f>
        <v/>
      </c>
      <c r="L92" s="8">
        <f>IF(H92="","",IF(H92="SIM",1,0))</f>
        <v/>
      </c>
      <c r="M92" s="8">
        <f>IF(I92="","",IF(I92="SIM",1,0))</f>
        <v/>
      </c>
      <c r="N92" s="8">
        <f>IF(J92="","",IF(J92="Conformidade",1,IF(J92="Não Conformidade",0,IF(J92="Não Conformidade Grave",-1,""))))</f>
        <v/>
      </c>
      <c r="O92" s="8">
        <f>IF(COUNTA(G92:J92)=0,"",ROUND(AVERAGE(K92:N92)*100,0))</f>
        <v/>
      </c>
      <c r="P92" s="8">
        <f>IFERROR(AVERAGEIF(C$2:C$201,C92,O$2:O$201),"N/A")</f>
        <v/>
      </c>
      <c r="Q92" s="8" t="n"/>
    </row>
    <row r="93" ht="15" customHeight="1" s="41">
      <c r="A93" s="8">
        <f>IF(B93="","",ROW()-1)</f>
        <v/>
      </c>
      <c r="B93" s="11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>
        <f>IF(G93="","",IF(G93="SIM",1,0))</f>
        <v/>
      </c>
      <c r="L93" s="8">
        <f>IF(H93="","",IF(H93="SIM",1,0))</f>
        <v/>
      </c>
      <c r="M93" s="8">
        <f>IF(I93="","",IF(I93="SIM",1,0))</f>
        <v/>
      </c>
      <c r="N93" s="8">
        <f>IF(J93="","",IF(J93="Conformidade",1,IF(J93="Não Conformidade",0,IF(J93="Não Conformidade Grave",-1,""))))</f>
        <v/>
      </c>
      <c r="O93" s="8">
        <f>IF(COUNTA(G93:J93)=0,"",ROUND(AVERAGE(K93:N93)*100,0))</f>
        <v/>
      </c>
      <c r="P93" s="8">
        <f>IFERROR(AVERAGEIF(C$2:C$201,C93,O$2:O$201),"N/A")</f>
        <v/>
      </c>
      <c r="Q93" s="8" t="n"/>
    </row>
    <row r="94" ht="15" customHeight="1" s="41">
      <c r="A94" s="8">
        <f>IF(B94="","",ROW()-1)</f>
        <v/>
      </c>
      <c r="B94" s="11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>
        <f>IF(G94="","",IF(G94="SIM",1,0))</f>
        <v/>
      </c>
      <c r="L94" s="8">
        <f>IF(H94="","",IF(H94="SIM",1,0))</f>
        <v/>
      </c>
      <c r="M94" s="8">
        <f>IF(I94="","",IF(I94="SIM",1,0))</f>
        <v/>
      </c>
      <c r="N94" s="8">
        <f>IF(J94="","",IF(J94="Conformidade",1,IF(J94="Não Conformidade",0,IF(J94="Não Conformidade Grave",-1,""))))</f>
        <v/>
      </c>
      <c r="O94" s="8">
        <f>IF(COUNTA(G94:J94)=0,"",ROUND(AVERAGE(K94:N94)*100,0))</f>
        <v/>
      </c>
      <c r="P94" s="8">
        <f>IFERROR(AVERAGEIF(C$2:C$201,C94,O$2:O$201),"N/A")</f>
        <v/>
      </c>
      <c r="Q94" s="8" t="n"/>
    </row>
    <row r="95" ht="15" customHeight="1" s="41">
      <c r="A95" s="8">
        <f>IF(B95="","",ROW()-1)</f>
        <v/>
      </c>
      <c r="B95" s="11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>
        <f>IF(G95="","",IF(G95="SIM",1,0))</f>
        <v/>
      </c>
      <c r="L95" s="8">
        <f>IF(H95="","",IF(H95="SIM",1,0))</f>
        <v/>
      </c>
      <c r="M95" s="8">
        <f>IF(I95="","",IF(I95="SIM",1,0))</f>
        <v/>
      </c>
      <c r="N95" s="8">
        <f>IF(J95="","",IF(J95="Conformidade",1,IF(J95="Não Conformidade",0,IF(J95="Não Conformidade Grave",-1,""))))</f>
        <v/>
      </c>
      <c r="O95" s="8">
        <f>IF(COUNTA(G95:J95)=0,"",ROUND(AVERAGE(K95:N95)*100,0))</f>
        <v/>
      </c>
      <c r="P95" s="8">
        <f>IFERROR(AVERAGEIF(C$2:C$201,C95,O$2:O$201),"N/A")</f>
        <v/>
      </c>
      <c r="Q95" s="8" t="n"/>
    </row>
    <row r="96" ht="15" customHeight="1" s="41">
      <c r="A96" s="8">
        <f>IF(B96="","",ROW()-1)</f>
        <v/>
      </c>
      <c r="B96" s="11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>
        <f>IF(G96="","",IF(G96="SIM",1,0))</f>
        <v/>
      </c>
      <c r="L96" s="8">
        <f>IF(H96="","",IF(H96="SIM",1,0))</f>
        <v/>
      </c>
      <c r="M96" s="8">
        <f>IF(I96="","",IF(I96="SIM",1,0))</f>
        <v/>
      </c>
      <c r="N96" s="8">
        <f>IF(J96="","",IF(J96="Conformidade",1,IF(J96="Não Conformidade",0,IF(J96="Não Conformidade Grave",-1,""))))</f>
        <v/>
      </c>
      <c r="O96" s="8">
        <f>IF(COUNTA(G96:J96)=0,"",ROUND(AVERAGE(K96:N96)*100,0))</f>
        <v/>
      </c>
      <c r="P96" s="8">
        <f>IFERROR(AVERAGEIF(C$2:C$201,C96,O$2:O$201),"N/A")</f>
        <v/>
      </c>
      <c r="Q96" s="8" t="n"/>
    </row>
    <row r="97" ht="15" customHeight="1" s="41">
      <c r="A97" s="8">
        <f>IF(B97="","",ROW()-1)</f>
        <v/>
      </c>
      <c r="B97" s="11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>
        <f>IF(G97="","",IF(G97="SIM",1,0))</f>
        <v/>
      </c>
      <c r="L97" s="8">
        <f>IF(H97="","",IF(H97="SIM",1,0))</f>
        <v/>
      </c>
      <c r="M97" s="8">
        <f>IF(I97="","",IF(I97="SIM",1,0))</f>
        <v/>
      </c>
      <c r="N97" s="8">
        <f>IF(J97="","",IF(J97="Conformidade",1,IF(J97="Não Conformidade",0,IF(J97="Não Conformidade Grave",-1,""))))</f>
        <v/>
      </c>
      <c r="O97" s="8">
        <f>IF(COUNTA(G97:J97)=0,"",ROUND(AVERAGE(K97:N97)*100,0))</f>
        <v/>
      </c>
      <c r="P97" s="8">
        <f>IFERROR(AVERAGEIF(C$2:C$201,C97,O$2:O$201),"N/A")</f>
        <v/>
      </c>
      <c r="Q97" s="8" t="n"/>
    </row>
    <row r="98" ht="15" customHeight="1" s="41">
      <c r="A98" s="8">
        <f>IF(B98="","",ROW()-1)</f>
        <v/>
      </c>
      <c r="B98" s="11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>
        <f>IF(G98="","",IF(G98="SIM",1,0))</f>
        <v/>
      </c>
      <c r="L98" s="8">
        <f>IF(H98="","",IF(H98="SIM",1,0))</f>
        <v/>
      </c>
      <c r="M98" s="8">
        <f>IF(I98="","",IF(I98="SIM",1,0))</f>
        <v/>
      </c>
      <c r="N98" s="8">
        <f>IF(J98="","",IF(J98="Conformidade",1,IF(J98="Não Conformidade",0,IF(J98="Não Conformidade Grave",-1,""))))</f>
        <v/>
      </c>
      <c r="O98" s="8">
        <f>IF(COUNTA(G98:J98)=0,"",ROUND(AVERAGE(K98:N98)*100,0))</f>
        <v/>
      </c>
      <c r="P98" s="8">
        <f>IFERROR(AVERAGEIF(C$2:C$201,C98,O$2:O$201),"N/A")</f>
        <v/>
      </c>
      <c r="Q98" s="8" t="n"/>
    </row>
    <row r="99" ht="15" customHeight="1" s="41">
      <c r="A99" s="8">
        <f>IF(B99="","",ROW()-1)</f>
        <v/>
      </c>
      <c r="B99" s="11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>
        <f>IF(G99="","",IF(G99="SIM",1,0))</f>
        <v/>
      </c>
      <c r="L99" s="8">
        <f>IF(H99="","",IF(H99="SIM",1,0))</f>
        <v/>
      </c>
      <c r="M99" s="8">
        <f>IF(I99="","",IF(I99="SIM",1,0))</f>
        <v/>
      </c>
      <c r="N99" s="8">
        <f>IF(J99="","",IF(J99="Conformidade",1,IF(J99="Não Conformidade",0,IF(J99="Não Conformidade Grave",-1,""))))</f>
        <v/>
      </c>
      <c r="O99" s="8">
        <f>IF(COUNTA(G99:J99)=0,"",ROUND(AVERAGE(K99:N99)*100,0))</f>
        <v/>
      </c>
      <c r="P99" s="8">
        <f>IFERROR(AVERAGEIF(C$2:C$201,C99,O$2:O$201),"N/A")</f>
        <v/>
      </c>
      <c r="Q99" s="8" t="n"/>
    </row>
    <row r="100" ht="15" customHeight="1" s="41">
      <c r="A100" s="8">
        <f>IF(B100="","",ROW()-1)</f>
        <v/>
      </c>
      <c r="B100" s="11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>
        <f>IF(G100="","",IF(G100="SIM",1,0))</f>
        <v/>
      </c>
      <c r="L100" s="8">
        <f>IF(H100="","",IF(H100="SIM",1,0))</f>
        <v/>
      </c>
      <c r="M100" s="8">
        <f>IF(I100="","",IF(I100="SIM",1,0))</f>
        <v/>
      </c>
      <c r="N100" s="8">
        <f>IF(J100="","",IF(J100="Conformidade",1,IF(J100="Não Conformidade",0,IF(J100="Não Conformidade Grave",-1,""))))</f>
        <v/>
      </c>
      <c r="O100" s="8">
        <f>IF(COUNTA(G100:J100)=0,"",ROUND(AVERAGE(K100:N100)*100,0))</f>
        <v/>
      </c>
      <c r="P100" s="8">
        <f>IFERROR(AVERAGEIF(C$2:C$201,C100,O$2:O$201),"N/A")</f>
        <v/>
      </c>
      <c r="Q100" s="8" t="n"/>
    </row>
    <row r="101" ht="15" customHeight="1" s="41">
      <c r="A101" s="8">
        <f>IF(B101="","",ROW()-1)</f>
        <v/>
      </c>
      <c r="B101" s="11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>
        <f>IF(G101="","",IF(G101="SIM",1,0))</f>
        <v/>
      </c>
      <c r="L101" s="8">
        <f>IF(H101="","",IF(H101="SIM",1,0))</f>
        <v/>
      </c>
      <c r="M101" s="8">
        <f>IF(I101="","",IF(I101="SIM",1,0))</f>
        <v/>
      </c>
      <c r="N101" s="8">
        <f>IF(J101="","",IF(J101="Conformidade",1,IF(J101="Não Conformidade",0,IF(J101="Não Conformidade Grave",-1,""))))</f>
        <v/>
      </c>
      <c r="O101" s="8">
        <f>IF(COUNTA(G101:J101)=0,"",ROUND(AVERAGE(K101:N101)*100,0))</f>
        <v/>
      </c>
      <c r="P101" s="8">
        <f>IFERROR(AVERAGEIF(C$2:C$201,C101,O$2:O$201),"N/A")</f>
        <v/>
      </c>
      <c r="Q101" s="8" t="n"/>
    </row>
    <row r="102" ht="15" customHeight="1" s="41">
      <c r="A102" s="8">
        <f>IF(B102="","",ROW()-1)</f>
        <v/>
      </c>
      <c r="B102" s="11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>
        <f>IF(G102="","",IF(G102="SIM",1,0))</f>
        <v/>
      </c>
      <c r="L102" s="8">
        <f>IF(H102="","",IF(H102="SIM",1,0))</f>
        <v/>
      </c>
      <c r="M102" s="8">
        <f>IF(I102="","",IF(I102="SIM",1,0))</f>
        <v/>
      </c>
      <c r="N102" s="8">
        <f>IF(J102="","",IF(J102="Conformidade",1,IF(J102="Não Conformidade",0,IF(J102="Não Conformidade Grave",-1,""))))</f>
        <v/>
      </c>
      <c r="O102" s="8">
        <f>IF(COUNTA(G102:J102)=0,"",ROUND(AVERAGE(K102:N102)*100,0))</f>
        <v/>
      </c>
      <c r="P102" s="8">
        <f>IFERROR(AVERAGEIF(C$2:C$201,C102,O$2:O$201),"N/A")</f>
        <v/>
      </c>
      <c r="Q102" s="8" t="n"/>
    </row>
    <row r="103" ht="15" customHeight="1" s="41">
      <c r="A103" s="8">
        <f>IF(B103="","",ROW()-1)</f>
        <v/>
      </c>
      <c r="B103" s="11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>
        <f>IF(G103="","",IF(G103="SIM",1,0))</f>
        <v/>
      </c>
      <c r="L103" s="8">
        <f>IF(H103="","",IF(H103="SIM",1,0))</f>
        <v/>
      </c>
      <c r="M103" s="8">
        <f>IF(I103="","",IF(I103="SIM",1,0))</f>
        <v/>
      </c>
      <c r="N103" s="8">
        <f>IF(J103="","",IF(J103="Conformidade",1,IF(J103="Não Conformidade",0,IF(J103="Não Conformidade Grave",-1,""))))</f>
        <v/>
      </c>
      <c r="O103" s="8">
        <f>IF(COUNTA(G103:J103)=0,"",ROUND(AVERAGE(K103:N103)*100,0))</f>
        <v/>
      </c>
      <c r="P103" s="8">
        <f>IFERROR(AVERAGEIF(C$2:C$201,C103,O$2:O$201),"N/A")</f>
        <v/>
      </c>
      <c r="Q103" s="8" t="n"/>
    </row>
    <row r="104" ht="15" customHeight="1" s="41">
      <c r="A104" s="8">
        <f>IF(B104="","",ROW()-1)</f>
        <v/>
      </c>
      <c r="B104" s="11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>
        <f>IF(G104="","",IF(G104="SIM",1,0))</f>
        <v/>
      </c>
      <c r="L104" s="8">
        <f>IF(H104="","",IF(H104="SIM",1,0))</f>
        <v/>
      </c>
      <c r="M104" s="8">
        <f>IF(I104="","",IF(I104="SIM",1,0))</f>
        <v/>
      </c>
      <c r="N104" s="8">
        <f>IF(J104="","",IF(J104="Conformidade",1,IF(J104="Não Conformidade",0,IF(J104="Não Conformidade Grave",-1,""))))</f>
        <v/>
      </c>
      <c r="O104" s="8">
        <f>IF(COUNTA(G104:J104)=0,"",ROUND(AVERAGE(K104:N104)*100,0))</f>
        <v/>
      </c>
      <c r="P104" s="8">
        <f>IFERROR(AVERAGEIF(C$2:C$201,C104,O$2:O$201),"N/A")</f>
        <v/>
      </c>
      <c r="Q104" s="8" t="n"/>
    </row>
    <row r="105" ht="15" customHeight="1" s="41">
      <c r="A105" s="8">
        <f>IF(B105="","",ROW()-1)</f>
        <v/>
      </c>
      <c r="B105" s="11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>
        <f>IF(G105="","",IF(G105="SIM",1,0))</f>
        <v/>
      </c>
      <c r="L105" s="8">
        <f>IF(H105="","",IF(H105="SIM",1,0))</f>
        <v/>
      </c>
      <c r="M105" s="8">
        <f>IF(I105="","",IF(I105="SIM",1,0))</f>
        <v/>
      </c>
      <c r="N105" s="8">
        <f>IF(J105="","",IF(J105="Conformidade",1,IF(J105="Não Conformidade",0,IF(J105="Não Conformidade Grave",-1,""))))</f>
        <v/>
      </c>
      <c r="O105" s="8">
        <f>IF(COUNTA(G105:J105)=0,"",ROUND(AVERAGE(K105:N105)*100,0))</f>
        <v/>
      </c>
      <c r="P105" s="8">
        <f>IFERROR(AVERAGEIF(C$2:C$201,C105,O$2:O$201),"N/A")</f>
        <v/>
      </c>
      <c r="Q105" s="8" t="n"/>
    </row>
    <row r="106" ht="15" customHeight="1" s="41">
      <c r="A106" s="8">
        <f>IF(B106="","",ROW()-1)</f>
        <v/>
      </c>
      <c r="B106" s="11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>
        <f>IF(G106="","",IF(G106="SIM",1,0))</f>
        <v/>
      </c>
      <c r="L106" s="8">
        <f>IF(H106="","",IF(H106="SIM",1,0))</f>
        <v/>
      </c>
      <c r="M106" s="8">
        <f>IF(I106="","",IF(I106="SIM",1,0))</f>
        <v/>
      </c>
      <c r="N106" s="8">
        <f>IF(J106="","",IF(J106="Conformidade",1,IF(J106="Não Conformidade",0,IF(J106="Não Conformidade Grave",-1,""))))</f>
        <v/>
      </c>
      <c r="O106" s="8">
        <f>IF(COUNTA(G106:J106)=0,"",ROUND(AVERAGE(K106:N106)*100,0))</f>
        <v/>
      </c>
      <c r="P106" s="8">
        <f>IFERROR(AVERAGEIF(C$2:C$201,C106,O$2:O$201),"N/A")</f>
        <v/>
      </c>
      <c r="Q106" s="8" t="n"/>
    </row>
    <row r="107" ht="15" customHeight="1" s="41">
      <c r="A107" s="8">
        <f>IF(B107="","",ROW()-1)</f>
        <v/>
      </c>
      <c r="B107" s="11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>
        <f>IF(G107="","",IF(G107="SIM",1,0))</f>
        <v/>
      </c>
      <c r="L107" s="8">
        <f>IF(H107="","",IF(H107="SIM",1,0))</f>
        <v/>
      </c>
      <c r="M107" s="8">
        <f>IF(I107="","",IF(I107="SIM",1,0))</f>
        <v/>
      </c>
      <c r="N107" s="8">
        <f>IF(J107="","",IF(J107="Conformidade",1,IF(J107="Não Conformidade",0,IF(J107="Não Conformidade Grave",-1,""))))</f>
        <v/>
      </c>
      <c r="O107" s="8">
        <f>IF(COUNTA(G107:J107)=0,"",ROUND(AVERAGE(K107:N107)*100,0))</f>
        <v/>
      </c>
      <c r="P107" s="8">
        <f>IFERROR(AVERAGEIF(C$2:C$201,C107,O$2:O$201),"N/A")</f>
        <v/>
      </c>
      <c r="Q107" s="8" t="n"/>
    </row>
    <row r="108" ht="15" customHeight="1" s="41">
      <c r="A108" s="8">
        <f>IF(B108="","",ROW()-1)</f>
        <v/>
      </c>
      <c r="B108" s="11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>
        <f>IF(G108="","",IF(G108="SIM",1,0))</f>
        <v/>
      </c>
      <c r="L108" s="8">
        <f>IF(H108="","",IF(H108="SIM",1,0))</f>
        <v/>
      </c>
      <c r="M108" s="8">
        <f>IF(I108="","",IF(I108="SIM",1,0))</f>
        <v/>
      </c>
      <c r="N108" s="8">
        <f>IF(J108="","",IF(J108="Conformidade",1,IF(J108="Não Conformidade",0,IF(J108="Não Conformidade Grave",-1,""))))</f>
        <v/>
      </c>
      <c r="O108" s="8">
        <f>IF(COUNTA(G108:J108)=0,"",ROUND(AVERAGE(K108:N108)*100,0))</f>
        <v/>
      </c>
      <c r="P108" s="8">
        <f>IFERROR(AVERAGEIF(C$2:C$201,C108,O$2:O$201),"N/A")</f>
        <v/>
      </c>
      <c r="Q108" s="8" t="n"/>
    </row>
    <row r="109" ht="15" customHeight="1" s="41">
      <c r="A109" s="8">
        <f>IF(B109="","",ROW()-1)</f>
        <v/>
      </c>
      <c r="B109" s="11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>
        <f>IF(G109="","",IF(G109="SIM",1,0))</f>
        <v/>
      </c>
      <c r="L109" s="8">
        <f>IF(H109="","",IF(H109="SIM",1,0))</f>
        <v/>
      </c>
      <c r="M109" s="8">
        <f>IF(I109="","",IF(I109="SIM",1,0))</f>
        <v/>
      </c>
      <c r="N109" s="8">
        <f>IF(J109="","",IF(J109="Conformidade",1,IF(J109="Não Conformidade",0,IF(J109="Não Conformidade Grave",-1,""))))</f>
        <v/>
      </c>
      <c r="O109" s="8">
        <f>IF(COUNTA(G109:J109)=0,"",ROUND(AVERAGE(K109:N109)*100,0))</f>
        <v/>
      </c>
      <c r="P109" s="8">
        <f>IFERROR(AVERAGEIF(C$2:C$201,C109,O$2:O$201),"N/A")</f>
        <v/>
      </c>
      <c r="Q109" s="8" t="n"/>
    </row>
    <row r="110" ht="15" customHeight="1" s="41">
      <c r="A110" s="8">
        <f>IF(B110="","",ROW()-1)</f>
        <v/>
      </c>
      <c r="B110" s="11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>
        <f>IF(G110="","",IF(G110="SIM",1,0))</f>
        <v/>
      </c>
      <c r="L110" s="8">
        <f>IF(H110="","",IF(H110="SIM",1,0))</f>
        <v/>
      </c>
      <c r="M110" s="8">
        <f>IF(I110="","",IF(I110="SIM",1,0))</f>
        <v/>
      </c>
      <c r="N110" s="8">
        <f>IF(J110="","",IF(J110="Conformidade",1,IF(J110="Não Conformidade",0,IF(J110="Não Conformidade Grave",-1,""))))</f>
        <v/>
      </c>
      <c r="O110" s="8">
        <f>IF(COUNTA(G110:J110)=0,"",ROUND(AVERAGE(K110:N110)*100,0))</f>
        <v/>
      </c>
      <c r="P110" s="8">
        <f>IFERROR(AVERAGEIF(C$2:C$201,C110,O$2:O$201),"N/A")</f>
        <v/>
      </c>
      <c r="Q110" s="8" t="n"/>
    </row>
    <row r="111" ht="15" customHeight="1" s="41">
      <c r="A111" s="8">
        <f>IF(B111="","",ROW()-1)</f>
        <v/>
      </c>
      <c r="B111" s="11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>
        <f>IF(G111="","",IF(G111="SIM",1,0))</f>
        <v/>
      </c>
      <c r="L111" s="8">
        <f>IF(H111="","",IF(H111="SIM",1,0))</f>
        <v/>
      </c>
      <c r="M111" s="8">
        <f>IF(I111="","",IF(I111="SIM",1,0))</f>
        <v/>
      </c>
      <c r="N111" s="8">
        <f>IF(J111="","",IF(J111="Conformidade",1,IF(J111="Não Conformidade",0,IF(J111="Não Conformidade Grave",-1,""))))</f>
        <v/>
      </c>
      <c r="O111" s="8">
        <f>IF(COUNTA(G111:J111)=0,"",ROUND(AVERAGE(K111:N111)*100,0))</f>
        <v/>
      </c>
      <c r="P111" s="8">
        <f>IFERROR(AVERAGEIF(C$2:C$201,C111,O$2:O$201),"N/A")</f>
        <v/>
      </c>
      <c r="Q111" s="8" t="n"/>
    </row>
    <row r="112" ht="15" customHeight="1" s="41">
      <c r="A112" s="8">
        <f>IF(B112="","",ROW()-1)</f>
        <v/>
      </c>
      <c r="B112" s="11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>
        <f>IF(G112="","",IF(G112="SIM",1,0))</f>
        <v/>
      </c>
      <c r="L112" s="8">
        <f>IF(H112="","",IF(H112="SIM",1,0))</f>
        <v/>
      </c>
      <c r="M112" s="8">
        <f>IF(I112="","",IF(I112="SIM",1,0))</f>
        <v/>
      </c>
      <c r="N112" s="8">
        <f>IF(J112="","",IF(J112="Conformidade",1,IF(J112="Não Conformidade",0,IF(J112="Não Conformidade Grave",-1,""))))</f>
        <v/>
      </c>
      <c r="O112" s="8">
        <f>IF(COUNTA(G112:J112)=0,"",ROUND(AVERAGE(K112:N112)*100,0))</f>
        <v/>
      </c>
      <c r="P112" s="8">
        <f>IFERROR(AVERAGEIF(C$2:C$201,C112,O$2:O$201),"N/A")</f>
        <v/>
      </c>
      <c r="Q112" s="8" t="n"/>
    </row>
    <row r="113" ht="15" customHeight="1" s="41">
      <c r="A113" s="8">
        <f>IF(B113="","",ROW()-1)</f>
        <v/>
      </c>
      <c r="B113" s="11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>
        <f>IF(G113="","",IF(G113="SIM",1,0))</f>
        <v/>
      </c>
      <c r="L113" s="8">
        <f>IF(H113="","",IF(H113="SIM",1,0))</f>
        <v/>
      </c>
      <c r="M113" s="8">
        <f>IF(I113="","",IF(I113="SIM",1,0))</f>
        <v/>
      </c>
      <c r="N113" s="8">
        <f>IF(J113="","",IF(J113="Conformidade",1,IF(J113="Não Conformidade",0,IF(J113="Não Conformidade Grave",-1,""))))</f>
        <v/>
      </c>
      <c r="O113" s="8">
        <f>IF(COUNTA(G113:J113)=0,"",ROUND(AVERAGE(K113:N113)*100,0))</f>
        <v/>
      </c>
      <c r="P113" s="8">
        <f>IFERROR(AVERAGEIF(C$2:C$201,C113,O$2:O$201),"N/A")</f>
        <v/>
      </c>
      <c r="Q113" s="8" t="n"/>
    </row>
    <row r="114" ht="15" customHeight="1" s="41">
      <c r="A114" s="8">
        <f>IF(B114="","",ROW()-1)</f>
        <v/>
      </c>
      <c r="B114" s="11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>
        <f>IF(G114="","",IF(G114="SIM",1,0))</f>
        <v/>
      </c>
      <c r="L114" s="8">
        <f>IF(H114="","",IF(H114="SIM",1,0))</f>
        <v/>
      </c>
      <c r="M114" s="8">
        <f>IF(I114="","",IF(I114="SIM",1,0))</f>
        <v/>
      </c>
      <c r="N114" s="8">
        <f>IF(J114="","",IF(J114="Conformidade",1,IF(J114="Não Conformidade",0,IF(J114="Não Conformidade Grave",-1,""))))</f>
        <v/>
      </c>
      <c r="O114" s="8">
        <f>IF(COUNTA(G114:J114)=0,"",ROUND(AVERAGE(K114:N114)*100,0))</f>
        <v/>
      </c>
      <c r="P114" s="8">
        <f>IFERROR(AVERAGEIF(C$2:C$201,C114,O$2:O$201),"N/A")</f>
        <v/>
      </c>
      <c r="Q114" s="8" t="n"/>
    </row>
    <row r="115" ht="15" customHeight="1" s="41">
      <c r="A115" s="8">
        <f>IF(B115="","",ROW()-1)</f>
        <v/>
      </c>
      <c r="B115" s="11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>
        <f>IF(G115="","",IF(G115="SIM",1,0))</f>
        <v/>
      </c>
      <c r="L115" s="8">
        <f>IF(H115="","",IF(H115="SIM",1,0))</f>
        <v/>
      </c>
      <c r="M115" s="8">
        <f>IF(I115="","",IF(I115="SIM",1,0))</f>
        <v/>
      </c>
      <c r="N115" s="8">
        <f>IF(J115="","",IF(J115="Conformidade",1,IF(J115="Não Conformidade",0,IF(J115="Não Conformidade Grave",-1,""))))</f>
        <v/>
      </c>
      <c r="O115" s="8">
        <f>IF(COUNTA(G115:J115)=0,"",ROUND(AVERAGE(K115:N115)*100,0))</f>
        <v/>
      </c>
      <c r="P115" s="8">
        <f>IFERROR(AVERAGEIF(C$2:C$201,C115,O$2:O$201),"N/A")</f>
        <v/>
      </c>
      <c r="Q115" s="8" t="n"/>
    </row>
    <row r="116" ht="15" customHeight="1" s="41">
      <c r="A116" s="8">
        <f>IF(B116="","",ROW()-1)</f>
        <v/>
      </c>
      <c r="B116" s="11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>
        <f>IF(G116="","",IF(G116="SIM",1,0))</f>
        <v/>
      </c>
      <c r="L116" s="8">
        <f>IF(H116="","",IF(H116="SIM",1,0))</f>
        <v/>
      </c>
      <c r="M116" s="8">
        <f>IF(I116="","",IF(I116="SIM",1,0))</f>
        <v/>
      </c>
      <c r="N116" s="8">
        <f>IF(J116="","",IF(J116="Conformidade",1,IF(J116="Não Conformidade",0,IF(J116="Não Conformidade Grave",-1,""))))</f>
        <v/>
      </c>
      <c r="O116" s="8">
        <f>IF(COUNTA(G116:J116)=0,"",ROUND(AVERAGE(K116:N116)*100,0))</f>
        <v/>
      </c>
      <c r="P116" s="8">
        <f>IFERROR(AVERAGEIF(C$2:C$201,C116,O$2:O$201),"N/A")</f>
        <v/>
      </c>
      <c r="Q116" s="8" t="n"/>
    </row>
    <row r="117" ht="15" customHeight="1" s="41">
      <c r="A117" s="8">
        <f>IF(B117="","",ROW()-1)</f>
        <v/>
      </c>
      <c r="B117" s="11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>
        <f>IF(G117="","",IF(G117="SIM",1,0))</f>
        <v/>
      </c>
      <c r="L117" s="8">
        <f>IF(H117="","",IF(H117="SIM",1,0))</f>
        <v/>
      </c>
      <c r="M117" s="8">
        <f>IF(I117="","",IF(I117="SIM",1,0))</f>
        <v/>
      </c>
      <c r="N117" s="8">
        <f>IF(J117="","",IF(J117="Conformidade",1,IF(J117="Não Conformidade",0,IF(J117="Não Conformidade Grave",-1,""))))</f>
        <v/>
      </c>
      <c r="O117" s="8">
        <f>IF(COUNTA(G117:J117)=0,"",ROUND(AVERAGE(K117:N117)*100,0))</f>
        <v/>
      </c>
      <c r="P117" s="8">
        <f>IFERROR(AVERAGEIF(C$2:C$201,C117,O$2:O$201),"N/A")</f>
        <v/>
      </c>
      <c r="Q117" s="8" t="n"/>
    </row>
    <row r="118" ht="15" customHeight="1" s="41">
      <c r="A118" s="8">
        <f>IF(B118="","",ROW()-1)</f>
        <v/>
      </c>
      <c r="B118" s="11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>
        <f>IF(G118="","",IF(G118="SIM",1,0))</f>
        <v/>
      </c>
      <c r="L118" s="8">
        <f>IF(H118="","",IF(H118="SIM",1,0))</f>
        <v/>
      </c>
      <c r="M118" s="8">
        <f>IF(I118="","",IF(I118="SIM",1,0))</f>
        <v/>
      </c>
      <c r="N118" s="8">
        <f>IF(J118="","",IF(J118="Conformidade",1,IF(J118="Não Conformidade",0,IF(J118="Não Conformidade Grave",-1,""))))</f>
        <v/>
      </c>
      <c r="O118" s="8">
        <f>IF(COUNTA(G118:J118)=0,"",ROUND(AVERAGE(K118:N118)*100,0))</f>
        <v/>
      </c>
      <c r="P118" s="8">
        <f>IFERROR(AVERAGEIF(C$2:C$201,C118,O$2:O$201),"N/A")</f>
        <v/>
      </c>
      <c r="Q118" s="8" t="n"/>
    </row>
    <row r="119" ht="15" customHeight="1" s="41">
      <c r="A119" s="8">
        <f>IF(B119="","",ROW()-1)</f>
        <v/>
      </c>
      <c r="B119" s="11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>
        <f>IF(G119="","",IF(G119="SIM",1,0))</f>
        <v/>
      </c>
      <c r="L119" s="8">
        <f>IF(H119="","",IF(H119="SIM",1,0))</f>
        <v/>
      </c>
      <c r="M119" s="8">
        <f>IF(I119="","",IF(I119="SIM",1,0))</f>
        <v/>
      </c>
      <c r="N119" s="8">
        <f>IF(J119="","",IF(J119="Conformidade",1,IF(J119="Não Conformidade",0,IF(J119="Não Conformidade Grave",-1,""))))</f>
        <v/>
      </c>
      <c r="O119" s="8">
        <f>IF(COUNTA(G119:J119)=0,"",ROUND(AVERAGE(K119:N119)*100,0))</f>
        <v/>
      </c>
      <c r="P119" s="8">
        <f>IFERROR(AVERAGEIF(C$2:C$201,C119,O$2:O$201),"N/A")</f>
        <v/>
      </c>
      <c r="Q119" s="8" t="n"/>
    </row>
    <row r="120" ht="15" customHeight="1" s="41">
      <c r="A120" s="8">
        <f>IF(B120="","",ROW()-1)</f>
        <v/>
      </c>
      <c r="B120" s="11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>
        <f>IF(G120="","",IF(G120="SIM",1,0))</f>
        <v/>
      </c>
      <c r="L120" s="8">
        <f>IF(H120="","",IF(H120="SIM",1,0))</f>
        <v/>
      </c>
      <c r="M120" s="8">
        <f>IF(I120="","",IF(I120="SIM",1,0))</f>
        <v/>
      </c>
      <c r="N120" s="8">
        <f>IF(J120="","",IF(J120="Conformidade",1,IF(J120="Não Conformidade",0,IF(J120="Não Conformidade Grave",-1,""))))</f>
        <v/>
      </c>
      <c r="O120" s="8">
        <f>IF(COUNTA(G120:J120)=0,"",ROUND(AVERAGE(K120:N120)*100,0))</f>
        <v/>
      </c>
      <c r="P120" s="8">
        <f>IFERROR(AVERAGEIF(C$2:C$201,C120,O$2:O$201),"N/A")</f>
        <v/>
      </c>
      <c r="Q120" s="8" t="n"/>
    </row>
    <row r="121" ht="15" customHeight="1" s="41">
      <c r="A121" s="8">
        <f>IF(B121="","",ROW()-1)</f>
        <v/>
      </c>
      <c r="B121" s="11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>
        <f>IF(G121="","",IF(G121="SIM",1,0))</f>
        <v/>
      </c>
      <c r="L121" s="8">
        <f>IF(H121="","",IF(H121="SIM",1,0))</f>
        <v/>
      </c>
      <c r="M121" s="8">
        <f>IF(I121="","",IF(I121="SIM",1,0))</f>
        <v/>
      </c>
      <c r="N121" s="8">
        <f>IF(J121="","",IF(J121="Conformidade",1,IF(J121="Não Conformidade",0,IF(J121="Não Conformidade Grave",-1,""))))</f>
        <v/>
      </c>
      <c r="O121" s="8">
        <f>IF(COUNTA(G121:J121)=0,"",ROUND(AVERAGE(K121:N121)*100,0))</f>
        <v/>
      </c>
      <c r="P121" s="8">
        <f>IFERROR(AVERAGEIF(C$2:C$201,C121,O$2:O$201),"N/A")</f>
        <v/>
      </c>
      <c r="Q121" s="8" t="n"/>
    </row>
    <row r="122" ht="15" customHeight="1" s="41">
      <c r="A122" s="8">
        <f>IF(B122="","",ROW()-1)</f>
        <v/>
      </c>
      <c r="B122" s="11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>
        <f>IF(G122="","",IF(G122="SIM",1,0))</f>
        <v/>
      </c>
      <c r="L122" s="8">
        <f>IF(H122="","",IF(H122="SIM",1,0))</f>
        <v/>
      </c>
      <c r="M122" s="8">
        <f>IF(I122="","",IF(I122="SIM",1,0))</f>
        <v/>
      </c>
      <c r="N122" s="8">
        <f>IF(J122="","",IF(J122="Conformidade",1,IF(J122="Não Conformidade",0,IF(J122="Não Conformidade Grave",-1,""))))</f>
        <v/>
      </c>
      <c r="O122" s="8">
        <f>IF(COUNTA(G122:J122)=0,"",ROUND(AVERAGE(K122:N122)*100,0))</f>
        <v/>
      </c>
      <c r="P122" s="8">
        <f>IFERROR(AVERAGEIF(C$2:C$201,C122,O$2:O$201),"N/A")</f>
        <v/>
      </c>
      <c r="Q122" s="8" t="n"/>
    </row>
    <row r="123" ht="15" customHeight="1" s="41">
      <c r="A123" s="8">
        <f>IF(B123="","",ROW()-1)</f>
        <v/>
      </c>
      <c r="B123" s="11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>
        <f>IF(G123="","",IF(G123="SIM",1,0))</f>
        <v/>
      </c>
      <c r="L123" s="8">
        <f>IF(H123="","",IF(H123="SIM",1,0))</f>
        <v/>
      </c>
      <c r="M123" s="8">
        <f>IF(I123="","",IF(I123="SIM",1,0))</f>
        <v/>
      </c>
      <c r="N123" s="8">
        <f>IF(J123="","",IF(J123="Conformidade",1,IF(J123="Não Conformidade",0,IF(J123="Não Conformidade Grave",-1,""))))</f>
        <v/>
      </c>
      <c r="O123" s="8">
        <f>IF(COUNTA(G123:J123)=0,"",ROUND(AVERAGE(K123:N123)*100,0))</f>
        <v/>
      </c>
      <c r="P123" s="8">
        <f>IFERROR(AVERAGEIF(C$2:C$201,C123,O$2:O$201),"N/A")</f>
        <v/>
      </c>
      <c r="Q123" s="8" t="n"/>
    </row>
    <row r="124" ht="15" customHeight="1" s="41">
      <c r="A124" s="8">
        <f>IF(B124="","",ROW()-1)</f>
        <v/>
      </c>
      <c r="B124" s="11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>
        <f>IF(G124="","",IF(G124="SIM",1,0))</f>
        <v/>
      </c>
      <c r="L124" s="8">
        <f>IF(H124="","",IF(H124="SIM",1,0))</f>
        <v/>
      </c>
      <c r="M124" s="8">
        <f>IF(I124="","",IF(I124="SIM",1,0))</f>
        <v/>
      </c>
      <c r="N124" s="8">
        <f>IF(J124="","",IF(J124="Conformidade",1,IF(J124="Não Conformidade",0,IF(J124="Não Conformidade Grave",-1,""))))</f>
        <v/>
      </c>
      <c r="O124" s="8">
        <f>IF(COUNTA(G124:J124)=0,"",ROUND(AVERAGE(K124:N124)*100,0))</f>
        <v/>
      </c>
      <c r="P124" s="8">
        <f>IFERROR(AVERAGEIF(C$2:C$201,C124,O$2:O$201),"N/A")</f>
        <v/>
      </c>
      <c r="Q124" s="8" t="n"/>
    </row>
    <row r="125" ht="15" customHeight="1" s="41">
      <c r="A125" s="8">
        <f>IF(B125="","",ROW()-1)</f>
        <v/>
      </c>
      <c r="B125" s="11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>
        <f>IF(G125="","",IF(G125="SIM",1,0))</f>
        <v/>
      </c>
      <c r="L125" s="8">
        <f>IF(H125="","",IF(H125="SIM",1,0))</f>
        <v/>
      </c>
      <c r="M125" s="8">
        <f>IF(I125="","",IF(I125="SIM",1,0))</f>
        <v/>
      </c>
      <c r="N125" s="8">
        <f>IF(J125="","",IF(J125="Conformidade",1,IF(J125="Não Conformidade",0,IF(J125="Não Conformidade Grave",-1,""))))</f>
        <v/>
      </c>
      <c r="O125" s="8">
        <f>IF(COUNTA(G125:J125)=0,"",ROUND(AVERAGE(K125:N125)*100,0))</f>
        <v/>
      </c>
      <c r="P125" s="8">
        <f>IFERROR(AVERAGEIF(C$2:C$201,C125,O$2:O$201),"N/A")</f>
        <v/>
      </c>
      <c r="Q125" s="8" t="n"/>
    </row>
    <row r="126" ht="15" customHeight="1" s="41">
      <c r="A126" s="8">
        <f>IF(B126="","",ROW()-1)</f>
        <v/>
      </c>
      <c r="B126" s="11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>
        <f>IF(G126="","",IF(G126="SIM",1,0))</f>
        <v/>
      </c>
      <c r="L126" s="8">
        <f>IF(H126="","",IF(H126="SIM",1,0))</f>
        <v/>
      </c>
      <c r="M126" s="8">
        <f>IF(I126="","",IF(I126="SIM",1,0))</f>
        <v/>
      </c>
      <c r="N126" s="8">
        <f>IF(J126="","",IF(J126="Conformidade",1,IF(J126="Não Conformidade",0,IF(J126="Não Conformidade Grave",-1,""))))</f>
        <v/>
      </c>
      <c r="O126" s="8">
        <f>IF(COUNTA(G126:J126)=0,"",ROUND(AVERAGE(K126:N126)*100,0))</f>
        <v/>
      </c>
      <c r="P126" s="8">
        <f>IFERROR(AVERAGEIF(C$2:C$201,C126,O$2:O$201),"N/A")</f>
        <v/>
      </c>
      <c r="Q126" s="8" t="n"/>
    </row>
    <row r="127" ht="15" customHeight="1" s="41">
      <c r="A127" s="8">
        <f>IF(B127="","",ROW()-1)</f>
        <v/>
      </c>
      <c r="B127" s="11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>
        <f>IF(G127="","",IF(G127="SIM",1,0))</f>
        <v/>
      </c>
      <c r="L127" s="8">
        <f>IF(H127="","",IF(H127="SIM",1,0))</f>
        <v/>
      </c>
      <c r="M127" s="8">
        <f>IF(I127="","",IF(I127="SIM",1,0))</f>
        <v/>
      </c>
      <c r="N127" s="8">
        <f>IF(J127="","",IF(J127="Conformidade",1,IF(J127="Não Conformidade",0,IF(J127="Não Conformidade Grave",-1,""))))</f>
        <v/>
      </c>
      <c r="O127" s="8">
        <f>IF(COUNTA(G127:J127)=0,"",ROUND(AVERAGE(K127:N127)*100,0))</f>
        <v/>
      </c>
      <c r="P127" s="8">
        <f>IFERROR(AVERAGEIF(C$2:C$201,C127,O$2:O$201),"N/A")</f>
        <v/>
      </c>
      <c r="Q127" s="8" t="n"/>
    </row>
    <row r="128" ht="15" customHeight="1" s="41">
      <c r="A128" s="8">
        <f>IF(B128="","",ROW()-1)</f>
        <v/>
      </c>
      <c r="B128" s="11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>
        <f>IF(G128="","",IF(G128="SIM",1,0))</f>
        <v/>
      </c>
      <c r="L128" s="8">
        <f>IF(H128="","",IF(H128="SIM",1,0))</f>
        <v/>
      </c>
      <c r="M128" s="8">
        <f>IF(I128="","",IF(I128="SIM",1,0))</f>
        <v/>
      </c>
      <c r="N128" s="8">
        <f>IF(J128="","",IF(J128="Conformidade",1,IF(J128="Não Conformidade",0,IF(J128="Não Conformidade Grave",-1,""))))</f>
        <v/>
      </c>
      <c r="O128" s="8">
        <f>IF(COUNTA(G128:J128)=0,"",ROUND(AVERAGE(K128:N128)*100,0))</f>
        <v/>
      </c>
      <c r="P128" s="8">
        <f>IFERROR(AVERAGEIF(C$2:C$201,C128,O$2:O$201),"N/A")</f>
        <v/>
      </c>
      <c r="Q128" s="8" t="n"/>
    </row>
    <row r="129" ht="15" customHeight="1" s="41">
      <c r="A129" s="8">
        <f>IF(B129="","",ROW()-1)</f>
        <v/>
      </c>
      <c r="B129" s="11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>
        <f>IF(G129="","",IF(G129="SIM",1,0))</f>
        <v/>
      </c>
      <c r="L129" s="8">
        <f>IF(H129="","",IF(H129="SIM",1,0))</f>
        <v/>
      </c>
      <c r="M129" s="8">
        <f>IF(I129="","",IF(I129="SIM",1,0))</f>
        <v/>
      </c>
      <c r="N129" s="8">
        <f>IF(J129="","",IF(J129="Conformidade",1,IF(J129="Não Conformidade",0,IF(J129="Não Conformidade Grave",-1,""))))</f>
        <v/>
      </c>
      <c r="O129" s="8">
        <f>IF(COUNTA(G129:J129)=0,"",ROUND(AVERAGE(K129:N129)*100,0))</f>
        <v/>
      </c>
      <c r="P129" s="8">
        <f>IFERROR(AVERAGEIF(C$2:C$201,C129,O$2:O$201),"N/A")</f>
        <v/>
      </c>
      <c r="Q129" s="8" t="n"/>
    </row>
    <row r="130" ht="15" customHeight="1" s="41">
      <c r="A130" s="8">
        <f>IF(B130="","",ROW()-1)</f>
        <v/>
      </c>
      <c r="B130" s="11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>
        <f>IF(G130="","",IF(G130="SIM",1,0))</f>
        <v/>
      </c>
      <c r="L130" s="8">
        <f>IF(H130="","",IF(H130="SIM",1,0))</f>
        <v/>
      </c>
      <c r="M130" s="8">
        <f>IF(I130="","",IF(I130="SIM",1,0))</f>
        <v/>
      </c>
      <c r="N130" s="8">
        <f>IF(J130="","",IF(J130="Conformidade",1,IF(J130="Não Conformidade",0,IF(J130="Não Conformidade Grave",-1,""))))</f>
        <v/>
      </c>
      <c r="O130" s="8">
        <f>IF(COUNTA(G130:J130)=0,"",ROUND(AVERAGE(K130:N130)*100,0))</f>
        <v/>
      </c>
      <c r="P130" s="8">
        <f>IFERROR(AVERAGEIF(C$2:C$201,C130,O$2:O$201),"N/A")</f>
        <v/>
      </c>
      <c r="Q130" s="8" t="n"/>
    </row>
    <row r="131" ht="15" customHeight="1" s="41">
      <c r="A131" s="8">
        <f>IF(B131="","",ROW()-1)</f>
        <v/>
      </c>
      <c r="B131" s="11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>
        <f>IF(G131="","",IF(G131="SIM",1,0))</f>
        <v/>
      </c>
      <c r="L131" s="8">
        <f>IF(H131="","",IF(H131="SIM",1,0))</f>
        <v/>
      </c>
      <c r="M131" s="8">
        <f>IF(I131="","",IF(I131="SIM",1,0))</f>
        <v/>
      </c>
      <c r="N131" s="8">
        <f>IF(J131="","",IF(J131="Conformidade",1,IF(J131="Não Conformidade",0,IF(J131="Não Conformidade Grave",-1,""))))</f>
        <v/>
      </c>
      <c r="O131" s="8">
        <f>IF(COUNTA(G131:J131)=0,"",ROUND(AVERAGE(K131:N131)*100,0))</f>
        <v/>
      </c>
      <c r="P131" s="8">
        <f>IFERROR(AVERAGEIF(C$2:C$201,C131,O$2:O$201),"N/A")</f>
        <v/>
      </c>
      <c r="Q131" s="8" t="n"/>
    </row>
    <row r="132" ht="15" customHeight="1" s="41">
      <c r="A132" s="8">
        <f>IF(B132="","",ROW()-1)</f>
        <v/>
      </c>
      <c r="B132" s="11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>
        <f>IF(G132="","",IF(G132="SIM",1,0))</f>
        <v/>
      </c>
      <c r="L132" s="8">
        <f>IF(H132="","",IF(H132="SIM",1,0))</f>
        <v/>
      </c>
      <c r="M132" s="8">
        <f>IF(I132="","",IF(I132="SIM",1,0))</f>
        <v/>
      </c>
      <c r="N132" s="8">
        <f>IF(J132="","",IF(J132="Conformidade",1,IF(J132="Não Conformidade",0,IF(J132="Não Conformidade Grave",-1,""))))</f>
        <v/>
      </c>
      <c r="O132" s="8">
        <f>IF(COUNTA(G132:J132)=0,"",ROUND(AVERAGE(K132:N132)*100,0))</f>
        <v/>
      </c>
      <c r="P132" s="8">
        <f>IFERROR(AVERAGEIF(C$2:C$201,C132,O$2:O$201),"N/A")</f>
        <v/>
      </c>
      <c r="Q132" s="8" t="n"/>
    </row>
    <row r="133" ht="15" customHeight="1" s="41">
      <c r="A133" s="8">
        <f>IF(B133="","",ROW()-1)</f>
        <v/>
      </c>
      <c r="B133" s="11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>
        <f>IF(G133="","",IF(G133="SIM",1,0))</f>
        <v/>
      </c>
      <c r="L133" s="8">
        <f>IF(H133="","",IF(H133="SIM",1,0))</f>
        <v/>
      </c>
      <c r="M133" s="8">
        <f>IF(I133="","",IF(I133="SIM",1,0))</f>
        <v/>
      </c>
      <c r="N133" s="8">
        <f>IF(J133="","",IF(J133="Conformidade",1,IF(J133="Não Conformidade",0,IF(J133="Não Conformidade Grave",-1,""))))</f>
        <v/>
      </c>
      <c r="O133" s="8">
        <f>IF(COUNTA(G133:J133)=0,"",ROUND(AVERAGE(K133:N133)*100,0))</f>
        <v/>
      </c>
      <c r="P133" s="8">
        <f>IFERROR(AVERAGEIF(C$2:C$201,C133,O$2:O$201),"N/A")</f>
        <v/>
      </c>
      <c r="Q133" s="8" t="n"/>
    </row>
    <row r="134" ht="15" customHeight="1" s="41">
      <c r="A134" s="8">
        <f>IF(B134="","",ROW()-1)</f>
        <v/>
      </c>
      <c r="B134" s="11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>
        <f>IF(G134="","",IF(G134="SIM",1,0))</f>
        <v/>
      </c>
      <c r="L134" s="8">
        <f>IF(H134="","",IF(H134="SIM",1,0))</f>
        <v/>
      </c>
      <c r="M134" s="8">
        <f>IF(I134="","",IF(I134="SIM",1,0))</f>
        <v/>
      </c>
      <c r="N134" s="8">
        <f>IF(J134="","",IF(J134="Conformidade",1,IF(J134="Não Conformidade",0,IF(J134="Não Conformidade Grave",-1,""))))</f>
        <v/>
      </c>
      <c r="O134" s="8">
        <f>IF(COUNTA(G134:J134)=0,"",ROUND(AVERAGE(K134:N134)*100,0))</f>
        <v/>
      </c>
      <c r="P134" s="8">
        <f>IFERROR(AVERAGEIF(C$2:C$201,C134,O$2:O$201),"N/A")</f>
        <v/>
      </c>
      <c r="Q134" s="8" t="n"/>
    </row>
    <row r="135" ht="15" customHeight="1" s="41">
      <c r="A135" s="8">
        <f>IF(B135="","",ROW()-1)</f>
        <v/>
      </c>
      <c r="B135" s="11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>
        <f>IF(G135="","",IF(G135="SIM",1,0))</f>
        <v/>
      </c>
      <c r="L135" s="8">
        <f>IF(H135="","",IF(H135="SIM",1,0))</f>
        <v/>
      </c>
      <c r="M135" s="8">
        <f>IF(I135="","",IF(I135="SIM",1,0))</f>
        <v/>
      </c>
      <c r="N135" s="8">
        <f>IF(J135="","",IF(J135="Conformidade",1,IF(J135="Não Conformidade",0,IF(J135="Não Conformidade Grave",-1,""))))</f>
        <v/>
      </c>
      <c r="O135" s="8">
        <f>IF(COUNTA(G135:J135)=0,"",ROUND(AVERAGE(K135:N135)*100,0))</f>
        <v/>
      </c>
      <c r="P135" s="8">
        <f>IFERROR(AVERAGEIF(C$2:C$201,C135,O$2:O$201),"N/A")</f>
        <v/>
      </c>
      <c r="Q135" s="8" t="n"/>
    </row>
    <row r="136" ht="15" customHeight="1" s="41">
      <c r="A136" s="8">
        <f>IF(B136="","",ROW()-1)</f>
        <v/>
      </c>
      <c r="B136" s="11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>
        <f>IF(G136="","",IF(G136="SIM",1,0))</f>
        <v/>
      </c>
      <c r="L136" s="8">
        <f>IF(H136="","",IF(H136="SIM",1,0))</f>
        <v/>
      </c>
      <c r="M136" s="8">
        <f>IF(I136="","",IF(I136="SIM",1,0))</f>
        <v/>
      </c>
      <c r="N136" s="8">
        <f>IF(J136="","",IF(J136="Conformidade",1,IF(J136="Não Conformidade",0,IF(J136="Não Conformidade Grave",-1,""))))</f>
        <v/>
      </c>
      <c r="O136" s="8">
        <f>IF(COUNTA(G136:J136)=0,"",ROUND(AVERAGE(K136:N136)*100,0))</f>
        <v/>
      </c>
      <c r="P136" s="8">
        <f>IFERROR(AVERAGEIF(C$2:C$201,C136,O$2:O$201),"N/A")</f>
        <v/>
      </c>
      <c r="Q136" s="8" t="n"/>
    </row>
    <row r="137" ht="15" customHeight="1" s="41">
      <c r="A137" s="8">
        <f>IF(B137="","",ROW()-1)</f>
        <v/>
      </c>
      <c r="B137" s="11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>
        <f>IF(G137="","",IF(G137="SIM",1,0))</f>
        <v/>
      </c>
      <c r="L137" s="8">
        <f>IF(H137="","",IF(H137="SIM",1,0))</f>
        <v/>
      </c>
      <c r="M137" s="8">
        <f>IF(I137="","",IF(I137="SIM",1,0))</f>
        <v/>
      </c>
      <c r="N137" s="8">
        <f>IF(J137="","",IF(J137="Conformidade",1,IF(J137="Não Conformidade",0,IF(J137="Não Conformidade Grave",-1,""))))</f>
        <v/>
      </c>
      <c r="O137" s="8">
        <f>IF(COUNTA(G137:J137)=0,"",ROUND(AVERAGE(K137:N137)*100,0))</f>
        <v/>
      </c>
      <c r="P137" s="8">
        <f>IFERROR(AVERAGEIF(C$2:C$201,C137,O$2:O$201),"N/A")</f>
        <v/>
      </c>
      <c r="Q137" s="8" t="n"/>
    </row>
    <row r="138" ht="15" customHeight="1" s="41">
      <c r="A138" s="8">
        <f>IF(B138="","",ROW()-1)</f>
        <v/>
      </c>
      <c r="B138" s="11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>
        <f>IF(G138="","",IF(G138="SIM",1,0))</f>
        <v/>
      </c>
      <c r="L138" s="8">
        <f>IF(H138="","",IF(H138="SIM",1,0))</f>
        <v/>
      </c>
      <c r="M138" s="8">
        <f>IF(I138="","",IF(I138="SIM",1,0))</f>
        <v/>
      </c>
      <c r="N138" s="8">
        <f>IF(J138="","",IF(J138="Conformidade",1,IF(J138="Não Conformidade",0,IF(J138="Não Conformidade Grave",-1,""))))</f>
        <v/>
      </c>
      <c r="O138" s="8">
        <f>IF(COUNTA(G138:J138)=0,"",ROUND(AVERAGE(K138:N138)*100,0))</f>
        <v/>
      </c>
      <c r="P138" s="8">
        <f>IFERROR(AVERAGEIF(C$2:C$201,C138,O$2:O$201),"N/A")</f>
        <v/>
      </c>
      <c r="Q138" s="8" t="n"/>
    </row>
    <row r="139" ht="15" customHeight="1" s="41">
      <c r="A139" s="8">
        <f>IF(B139="","",ROW()-1)</f>
        <v/>
      </c>
      <c r="B139" s="11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>
        <f>IF(G139="","",IF(G139="SIM",1,0))</f>
        <v/>
      </c>
      <c r="L139" s="8">
        <f>IF(H139="","",IF(H139="SIM",1,0))</f>
        <v/>
      </c>
      <c r="M139" s="8">
        <f>IF(I139="","",IF(I139="SIM",1,0))</f>
        <v/>
      </c>
      <c r="N139" s="8">
        <f>IF(J139="","",IF(J139="Conformidade",1,IF(J139="Não Conformidade",0,IF(J139="Não Conformidade Grave",-1,""))))</f>
        <v/>
      </c>
      <c r="O139" s="8">
        <f>IF(COUNTA(G139:J139)=0,"",ROUND(AVERAGE(K139:N139)*100,0))</f>
        <v/>
      </c>
      <c r="P139" s="8">
        <f>IFERROR(AVERAGEIF(C$2:C$201,C139,O$2:O$201),"N/A")</f>
        <v/>
      </c>
      <c r="Q139" s="8" t="n"/>
    </row>
    <row r="140" ht="15" customHeight="1" s="41">
      <c r="A140" s="8">
        <f>IF(B140="","",ROW()-1)</f>
        <v/>
      </c>
      <c r="B140" s="11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>
        <f>IF(G140="","",IF(G140="SIM",1,0))</f>
        <v/>
      </c>
      <c r="L140" s="8">
        <f>IF(H140="","",IF(H140="SIM",1,0))</f>
        <v/>
      </c>
      <c r="M140" s="8">
        <f>IF(I140="","",IF(I140="SIM",1,0))</f>
        <v/>
      </c>
      <c r="N140" s="8">
        <f>IF(J140="","",IF(J140="Conformidade",1,IF(J140="Não Conformidade",0,IF(J140="Não Conformidade Grave",-1,""))))</f>
        <v/>
      </c>
      <c r="O140" s="8">
        <f>IF(COUNTA(G140:J140)=0,"",ROUND(AVERAGE(K140:N140)*100,0))</f>
        <v/>
      </c>
      <c r="P140" s="8">
        <f>IFERROR(AVERAGEIF(C$2:C$201,C140,O$2:O$201),"N/A")</f>
        <v/>
      </c>
      <c r="Q140" s="8" t="n"/>
    </row>
    <row r="141" ht="15" customHeight="1" s="41">
      <c r="A141" s="8">
        <f>IF(B141="","",ROW()-1)</f>
        <v/>
      </c>
      <c r="B141" s="11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>
        <f>IF(G141="","",IF(G141="SIM",1,0))</f>
        <v/>
      </c>
      <c r="L141" s="8">
        <f>IF(H141="","",IF(H141="SIM",1,0))</f>
        <v/>
      </c>
      <c r="M141" s="8">
        <f>IF(I141="","",IF(I141="SIM",1,0))</f>
        <v/>
      </c>
      <c r="N141" s="8">
        <f>IF(J141="","",IF(J141="Conformidade",1,IF(J141="Não Conformidade",0,IF(J141="Não Conformidade Grave",-1,""))))</f>
        <v/>
      </c>
      <c r="O141" s="8">
        <f>IF(COUNTA(G141:J141)=0,"",ROUND(AVERAGE(K141:N141)*100,0))</f>
        <v/>
      </c>
      <c r="P141" s="8">
        <f>IFERROR(AVERAGEIF(C$2:C$201,C141,O$2:O$201),"N/A")</f>
        <v/>
      </c>
      <c r="Q141" s="8" t="n"/>
    </row>
    <row r="142" ht="15" customHeight="1" s="41">
      <c r="A142" s="8">
        <f>IF(B142="","",ROW()-1)</f>
        <v/>
      </c>
      <c r="B142" s="11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>
        <f>IF(G142="","",IF(G142="SIM",1,0))</f>
        <v/>
      </c>
      <c r="L142" s="8">
        <f>IF(H142="","",IF(H142="SIM",1,0))</f>
        <v/>
      </c>
      <c r="M142" s="8">
        <f>IF(I142="","",IF(I142="SIM",1,0))</f>
        <v/>
      </c>
      <c r="N142" s="8">
        <f>IF(J142="","",IF(J142="Conformidade",1,IF(J142="Não Conformidade",0,IF(J142="Não Conformidade Grave",-1,""))))</f>
        <v/>
      </c>
      <c r="O142" s="8">
        <f>IF(COUNTA(G142:J142)=0,"",ROUND(AVERAGE(K142:N142)*100,0))</f>
        <v/>
      </c>
      <c r="P142" s="8">
        <f>IFERROR(AVERAGEIF(C$2:C$201,C142,O$2:O$201),"N/A")</f>
        <v/>
      </c>
      <c r="Q142" s="8" t="n"/>
    </row>
    <row r="143" ht="15" customHeight="1" s="41">
      <c r="A143" s="8">
        <f>IF(B143="","",ROW()-1)</f>
        <v/>
      </c>
      <c r="B143" s="11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>
        <f>IF(G143="","",IF(G143="SIM",1,0))</f>
        <v/>
      </c>
      <c r="L143" s="8">
        <f>IF(H143="","",IF(H143="SIM",1,0))</f>
        <v/>
      </c>
      <c r="M143" s="8">
        <f>IF(I143="","",IF(I143="SIM",1,0))</f>
        <v/>
      </c>
      <c r="N143" s="8">
        <f>IF(J143="","",IF(J143="Conformidade",1,IF(J143="Não Conformidade",0,IF(J143="Não Conformidade Grave",-1,""))))</f>
        <v/>
      </c>
      <c r="O143" s="8">
        <f>IF(COUNTA(G143:J143)=0,"",ROUND(AVERAGE(K143:N143)*100,0))</f>
        <v/>
      </c>
      <c r="P143" s="8">
        <f>IFERROR(AVERAGEIF(C$2:C$201,C143,O$2:O$201),"N/A")</f>
        <v/>
      </c>
      <c r="Q143" s="8" t="n"/>
    </row>
    <row r="144" ht="15" customHeight="1" s="41">
      <c r="A144" s="8">
        <f>IF(B144="","",ROW()-1)</f>
        <v/>
      </c>
      <c r="B144" s="11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>
        <f>IF(G144="","",IF(G144="SIM",1,0))</f>
        <v/>
      </c>
      <c r="L144" s="8">
        <f>IF(H144="","",IF(H144="SIM",1,0))</f>
        <v/>
      </c>
      <c r="M144" s="8">
        <f>IF(I144="","",IF(I144="SIM",1,0))</f>
        <v/>
      </c>
      <c r="N144" s="8">
        <f>IF(J144="","",IF(J144="Conformidade",1,IF(J144="Não Conformidade",0,IF(J144="Não Conformidade Grave",-1,""))))</f>
        <v/>
      </c>
      <c r="O144" s="8">
        <f>IF(COUNTA(G144:J144)=0,"",ROUND(AVERAGE(K144:N144)*100,0))</f>
        <v/>
      </c>
      <c r="P144" s="8">
        <f>IFERROR(AVERAGEIF(C$2:C$201,C144,O$2:O$201),"N/A")</f>
        <v/>
      </c>
      <c r="Q144" s="8" t="n"/>
    </row>
    <row r="145" ht="15" customHeight="1" s="41">
      <c r="A145" s="8">
        <f>IF(B145="","",ROW()-1)</f>
        <v/>
      </c>
      <c r="B145" s="11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>
        <f>IF(G145="","",IF(G145="SIM",1,0))</f>
        <v/>
      </c>
      <c r="L145" s="8">
        <f>IF(H145="","",IF(H145="SIM",1,0))</f>
        <v/>
      </c>
      <c r="M145" s="8">
        <f>IF(I145="","",IF(I145="SIM",1,0))</f>
        <v/>
      </c>
      <c r="N145" s="8">
        <f>IF(J145="","",IF(J145="Conformidade",1,IF(J145="Não Conformidade",0,IF(J145="Não Conformidade Grave",-1,""))))</f>
        <v/>
      </c>
      <c r="O145" s="8">
        <f>IF(COUNTA(G145:J145)=0,"",ROUND(AVERAGE(K145:N145)*100,0))</f>
        <v/>
      </c>
      <c r="P145" s="8">
        <f>IFERROR(AVERAGEIF(C$2:C$201,C145,O$2:O$201),"N/A")</f>
        <v/>
      </c>
      <c r="Q145" s="8" t="n"/>
    </row>
    <row r="146" ht="15" customHeight="1" s="41">
      <c r="A146" s="8">
        <f>IF(B146="","",ROW()-1)</f>
        <v/>
      </c>
      <c r="B146" s="11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>
        <f>IF(G146="","",IF(G146="SIM",1,0))</f>
        <v/>
      </c>
      <c r="L146" s="8">
        <f>IF(H146="","",IF(H146="SIM",1,0))</f>
        <v/>
      </c>
      <c r="M146" s="8">
        <f>IF(I146="","",IF(I146="SIM",1,0))</f>
        <v/>
      </c>
      <c r="N146" s="8">
        <f>IF(J146="","",IF(J146="Conformidade",1,IF(J146="Não Conformidade",0,IF(J146="Não Conformidade Grave",-1,""))))</f>
        <v/>
      </c>
      <c r="O146" s="8">
        <f>IF(COUNTA(G146:J146)=0,"",ROUND(AVERAGE(K146:N146)*100,0))</f>
        <v/>
      </c>
      <c r="P146" s="8">
        <f>IFERROR(AVERAGEIF(C$2:C$201,C146,O$2:O$201),"N/A")</f>
        <v/>
      </c>
      <c r="Q146" s="8" t="n"/>
    </row>
    <row r="147" ht="15" customHeight="1" s="41">
      <c r="A147" s="8">
        <f>IF(B147="","",ROW()-1)</f>
        <v/>
      </c>
      <c r="B147" s="11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>
        <f>IF(G147="","",IF(G147="SIM",1,0))</f>
        <v/>
      </c>
      <c r="L147" s="8">
        <f>IF(H147="","",IF(H147="SIM",1,0))</f>
        <v/>
      </c>
      <c r="M147" s="8">
        <f>IF(I147="","",IF(I147="SIM",1,0))</f>
        <v/>
      </c>
      <c r="N147" s="8">
        <f>IF(J147="","",IF(J147="Conformidade",1,IF(J147="Não Conformidade",0,IF(J147="Não Conformidade Grave",-1,""))))</f>
        <v/>
      </c>
      <c r="O147" s="8">
        <f>IF(COUNTA(G147:J147)=0,"",ROUND(AVERAGE(K147:N147)*100,0))</f>
        <v/>
      </c>
      <c r="P147" s="8">
        <f>IFERROR(AVERAGEIF(C$2:C$201,C147,O$2:O$201),"N/A")</f>
        <v/>
      </c>
      <c r="Q147" s="8" t="n"/>
    </row>
    <row r="148" ht="15" customHeight="1" s="41">
      <c r="A148" s="8">
        <f>IF(B148="","",ROW()-1)</f>
        <v/>
      </c>
      <c r="B148" s="11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>
        <f>IF(G148="","",IF(G148="SIM",1,0))</f>
        <v/>
      </c>
      <c r="L148" s="8">
        <f>IF(H148="","",IF(H148="SIM",1,0))</f>
        <v/>
      </c>
      <c r="M148" s="8">
        <f>IF(I148="","",IF(I148="SIM",1,0))</f>
        <v/>
      </c>
      <c r="N148" s="8">
        <f>IF(J148="","",IF(J148="Conformidade",1,IF(J148="Não Conformidade",0,IF(J148="Não Conformidade Grave",-1,""))))</f>
        <v/>
      </c>
      <c r="O148" s="8">
        <f>IF(COUNTA(G148:J148)=0,"",ROUND(AVERAGE(K148:N148)*100,0))</f>
        <v/>
      </c>
      <c r="P148" s="8">
        <f>IFERROR(AVERAGEIF(C$2:C$201,C148,O$2:O$201),"N/A")</f>
        <v/>
      </c>
      <c r="Q148" s="8" t="n"/>
    </row>
    <row r="149" ht="15" customHeight="1" s="41">
      <c r="A149" s="8">
        <f>IF(B149="","",ROW()-1)</f>
        <v/>
      </c>
      <c r="B149" s="11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>
        <f>IF(G149="","",IF(G149="SIM",1,0))</f>
        <v/>
      </c>
      <c r="L149" s="8">
        <f>IF(H149="","",IF(H149="SIM",1,0))</f>
        <v/>
      </c>
      <c r="M149" s="8">
        <f>IF(I149="","",IF(I149="SIM",1,0))</f>
        <v/>
      </c>
      <c r="N149" s="8">
        <f>IF(J149="","",IF(J149="Conformidade",1,IF(J149="Não Conformidade",0,IF(J149="Não Conformidade Grave",-1,""))))</f>
        <v/>
      </c>
      <c r="O149" s="8">
        <f>IF(COUNTA(G149:J149)=0,"",ROUND(AVERAGE(K149:N149)*100,0))</f>
        <v/>
      </c>
      <c r="P149" s="8">
        <f>IFERROR(AVERAGEIF(C$2:C$201,C149,O$2:O$201),"N/A")</f>
        <v/>
      </c>
      <c r="Q149" s="8" t="n"/>
    </row>
    <row r="150" ht="15" customHeight="1" s="41">
      <c r="A150" s="8">
        <f>IF(B150="","",ROW()-1)</f>
        <v/>
      </c>
      <c r="B150" s="11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>
        <f>IF(G150="","",IF(G150="SIM",1,0))</f>
        <v/>
      </c>
      <c r="L150" s="8">
        <f>IF(H150="","",IF(H150="SIM",1,0))</f>
        <v/>
      </c>
      <c r="M150" s="8">
        <f>IF(I150="","",IF(I150="SIM",1,0))</f>
        <v/>
      </c>
      <c r="N150" s="8">
        <f>IF(J150="","",IF(J150="Conformidade",1,IF(J150="Não Conformidade",0,IF(J150="Não Conformidade Grave",-1,""))))</f>
        <v/>
      </c>
      <c r="O150" s="8">
        <f>IF(COUNTA(G150:J150)=0,"",ROUND(AVERAGE(K150:N150)*100,0))</f>
        <v/>
      </c>
      <c r="P150" s="8">
        <f>IFERROR(AVERAGEIF(C$2:C$201,C150,O$2:O$201),"N/A")</f>
        <v/>
      </c>
      <c r="Q150" s="8" t="n"/>
    </row>
    <row r="151" ht="15" customHeight="1" s="41">
      <c r="A151" s="8">
        <f>IF(B151="","",ROW()-1)</f>
        <v/>
      </c>
      <c r="B151" s="11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>
        <f>IF(G151="","",IF(G151="SIM",1,0))</f>
        <v/>
      </c>
      <c r="L151" s="8">
        <f>IF(H151="","",IF(H151="SIM",1,0))</f>
        <v/>
      </c>
      <c r="M151" s="8">
        <f>IF(I151="","",IF(I151="SIM",1,0))</f>
        <v/>
      </c>
      <c r="N151" s="8">
        <f>IF(J151="","",IF(J151="Conformidade",1,IF(J151="Não Conformidade",0,IF(J151="Não Conformidade Grave",-1,""))))</f>
        <v/>
      </c>
      <c r="O151" s="8">
        <f>IF(COUNTA(G151:J151)=0,"",ROUND(AVERAGE(K151:N151)*100,0))</f>
        <v/>
      </c>
      <c r="P151" s="8">
        <f>IFERROR(AVERAGEIF(C$2:C$201,C151,O$2:O$201),"N/A")</f>
        <v/>
      </c>
      <c r="Q151" s="8" t="n"/>
    </row>
    <row r="152" ht="15" customHeight="1" s="41">
      <c r="A152" s="8">
        <f>IF(B152="","",ROW()-1)</f>
        <v/>
      </c>
      <c r="B152" s="11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>
        <f>IF(G152="","",IF(G152="SIM",1,0))</f>
        <v/>
      </c>
      <c r="L152" s="8">
        <f>IF(H152="","",IF(H152="SIM",1,0))</f>
        <v/>
      </c>
      <c r="M152" s="8">
        <f>IF(I152="","",IF(I152="SIM",1,0))</f>
        <v/>
      </c>
      <c r="N152" s="8">
        <f>IF(J152="","",IF(J152="Conformidade",1,IF(J152="Não Conformidade",0,IF(J152="Não Conformidade Grave",-1,""))))</f>
        <v/>
      </c>
      <c r="O152" s="8">
        <f>IF(COUNTA(G152:J152)=0,"",ROUND(AVERAGE(K152:N152)*100,0))</f>
        <v/>
      </c>
      <c r="P152" s="8">
        <f>IFERROR(AVERAGEIF(C$2:C$201,C152,O$2:O$201),"N/A")</f>
        <v/>
      </c>
      <c r="Q152" s="8" t="n"/>
    </row>
    <row r="153" ht="15" customHeight="1" s="41">
      <c r="A153" s="8">
        <f>IF(B153="","",ROW()-1)</f>
        <v/>
      </c>
      <c r="B153" s="11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>
        <f>IF(G153="","",IF(G153="SIM",1,0))</f>
        <v/>
      </c>
      <c r="L153" s="8">
        <f>IF(H153="","",IF(H153="SIM",1,0))</f>
        <v/>
      </c>
      <c r="M153" s="8">
        <f>IF(I153="","",IF(I153="SIM",1,0))</f>
        <v/>
      </c>
      <c r="N153" s="8">
        <f>IF(J153="","",IF(J153="Conformidade",1,IF(J153="Não Conformidade",0,IF(J153="Não Conformidade Grave",-1,""))))</f>
        <v/>
      </c>
      <c r="O153" s="8">
        <f>IF(COUNTA(G153:J153)=0,"",ROUND(AVERAGE(K153:N153)*100,0))</f>
        <v/>
      </c>
      <c r="P153" s="8">
        <f>IFERROR(AVERAGEIF(C$2:C$201,C153,O$2:O$201),"N/A")</f>
        <v/>
      </c>
      <c r="Q153" s="8" t="n"/>
    </row>
    <row r="154" ht="15" customHeight="1" s="41">
      <c r="A154" s="8">
        <f>IF(B154="","",ROW()-1)</f>
        <v/>
      </c>
      <c r="B154" s="11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>
        <f>IF(G154="","",IF(G154="SIM",1,0))</f>
        <v/>
      </c>
      <c r="L154" s="8">
        <f>IF(H154="","",IF(H154="SIM",1,0))</f>
        <v/>
      </c>
      <c r="M154" s="8">
        <f>IF(I154="","",IF(I154="SIM",1,0))</f>
        <v/>
      </c>
      <c r="N154" s="8">
        <f>IF(J154="","",IF(J154="Conformidade",1,IF(J154="Não Conformidade",0,IF(J154="Não Conformidade Grave",-1,""))))</f>
        <v/>
      </c>
      <c r="O154" s="8">
        <f>IF(COUNTA(G154:J154)=0,"",ROUND(AVERAGE(K154:N154)*100,0))</f>
        <v/>
      </c>
      <c r="P154" s="8">
        <f>IFERROR(AVERAGEIF(C$2:C$201,C154,O$2:O$201),"N/A")</f>
        <v/>
      </c>
      <c r="Q154" s="8" t="n"/>
    </row>
    <row r="155" ht="15" customHeight="1" s="41">
      <c r="A155" s="8">
        <f>IF(B155="","",ROW()-1)</f>
        <v/>
      </c>
      <c r="B155" s="11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>
        <f>IF(G155="","",IF(G155="SIM",1,0))</f>
        <v/>
      </c>
      <c r="L155" s="8">
        <f>IF(H155="","",IF(H155="SIM",1,0))</f>
        <v/>
      </c>
      <c r="M155" s="8">
        <f>IF(I155="","",IF(I155="SIM",1,0))</f>
        <v/>
      </c>
      <c r="N155" s="8">
        <f>IF(J155="","",IF(J155="Conformidade",1,IF(J155="Não Conformidade",0,IF(J155="Não Conformidade Grave",-1,""))))</f>
        <v/>
      </c>
      <c r="O155" s="8">
        <f>IF(COUNTA(G155:J155)=0,"",ROUND(AVERAGE(K155:N155)*100,0))</f>
        <v/>
      </c>
      <c r="P155" s="8">
        <f>IFERROR(AVERAGEIF(C$2:C$201,C155,O$2:O$201),"N/A")</f>
        <v/>
      </c>
      <c r="Q155" s="8" t="n"/>
    </row>
    <row r="156" ht="15" customHeight="1" s="41">
      <c r="A156" s="8">
        <f>IF(B156="","",ROW()-1)</f>
        <v/>
      </c>
      <c r="B156" s="11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>
        <f>IF(G156="","",IF(G156="SIM",1,0))</f>
        <v/>
      </c>
      <c r="L156" s="8">
        <f>IF(H156="","",IF(H156="SIM",1,0))</f>
        <v/>
      </c>
      <c r="M156" s="8">
        <f>IF(I156="","",IF(I156="SIM",1,0))</f>
        <v/>
      </c>
      <c r="N156" s="8">
        <f>IF(J156="","",IF(J156="Conformidade",1,IF(J156="Não Conformidade",0,IF(J156="Não Conformidade Grave",-1,""))))</f>
        <v/>
      </c>
      <c r="O156" s="8">
        <f>IF(COUNTA(G156:J156)=0,"",ROUND(AVERAGE(K156:N156)*100,0))</f>
        <v/>
      </c>
      <c r="P156" s="8">
        <f>IFERROR(AVERAGEIF(C$2:C$201,C156,O$2:O$201),"N/A")</f>
        <v/>
      </c>
      <c r="Q156" s="8" t="n"/>
    </row>
    <row r="157" ht="15" customHeight="1" s="41">
      <c r="A157" s="8">
        <f>IF(B157="","",ROW()-1)</f>
        <v/>
      </c>
      <c r="B157" s="11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>
        <f>IF(G157="","",IF(G157="SIM",1,0))</f>
        <v/>
      </c>
      <c r="L157" s="8">
        <f>IF(H157="","",IF(H157="SIM",1,0))</f>
        <v/>
      </c>
      <c r="M157" s="8">
        <f>IF(I157="","",IF(I157="SIM",1,0))</f>
        <v/>
      </c>
      <c r="N157" s="8">
        <f>IF(J157="","",IF(J157="Conformidade",1,IF(J157="Não Conformidade",0,IF(J157="Não Conformidade Grave",-1,""))))</f>
        <v/>
      </c>
      <c r="O157" s="8">
        <f>IF(COUNTA(G157:J157)=0,"",ROUND(AVERAGE(K157:N157)*100,0))</f>
        <v/>
      </c>
      <c r="P157" s="8">
        <f>IFERROR(AVERAGEIF(C$2:C$201,C157,O$2:O$201),"N/A")</f>
        <v/>
      </c>
      <c r="Q157" s="8" t="n"/>
    </row>
    <row r="158" ht="15" customHeight="1" s="41">
      <c r="A158" s="8">
        <f>IF(B158="","",ROW()-1)</f>
        <v/>
      </c>
      <c r="B158" s="11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>
        <f>IF(G158="","",IF(G158="SIM",1,0))</f>
        <v/>
      </c>
      <c r="L158" s="8">
        <f>IF(H158="","",IF(H158="SIM",1,0))</f>
        <v/>
      </c>
      <c r="M158" s="8">
        <f>IF(I158="","",IF(I158="SIM",1,0))</f>
        <v/>
      </c>
      <c r="N158" s="8">
        <f>IF(J158="","",IF(J158="Conformidade",1,IF(J158="Não Conformidade",0,IF(J158="Não Conformidade Grave",-1,""))))</f>
        <v/>
      </c>
      <c r="O158" s="8">
        <f>IF(COUNTA(G158:J158)=0,"",ROUND(AVERAGE(K158:N158)*100,0))</f>
        <v/>
      </c>
      <c r="P158" s="8">
        <f>IFERROR(AVERAGEIF(C$2:C$201,C158,O$2:O$201),"N/A")</f>
        <v/>
      </c>
      <c r="Q158" s="8" t="n"/>
    </row>
    <row r="159" ht="15" customHeight="1" s="41">
      <c r="A159" s="8">
        <f>IF(B159="","",ROW()-1)</f>
        <v/>
      </c>
      <c r="B159" s="11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>
        <f>IF(G159="","",IF(G159="SIM",1,0))</f>
        <v/>
      </c>
      <c r="L159" s="8">
        <f>IF(H159="","",IF(H159="SIM",1,0))</f>
        <v/>
      </c>
      <c r="M159" s="8">
        <f>IF(I159="","",IF(I159="SIM",1,0))</f>
        <v/>
      </c>
      <c r="N159" s="8">
        <f>IF(J159="","",IF(J159="Conformidade",1,IF(J159="Não Conformidade",0,IF(J159="Não Conformidade Grave",-1,""))))</f>
        <v/>
      </c>
      <c r="O159" s="8">
        <f>IF(COUNTA(G159:J159)=0,"",ROUND(AVERAGE(K159:N159)*100,0))</f>
        <v/>
      </c>
      <c r="P159" s="8">
        <f>IFERROR(AVERAGEIF(C$2:C$201,C159,O$2:O$201),"N/A")</f>
        <v/>
      </c>
      <c r="Q159" s="8" t="n"/>
    </row>
    <row r="160" ht="15" customHeight="1" s="41">
      <c r="A160" s="8">
        <f>IF(B160="","",ROW()-1)</f>
        <v/>
      </c>
      <c r="B160" s="11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>
        <f>IF(G160="","",IF(G160="SIM",1,0))</f>
        <v/>
      </c>
      <c r="L160" s="8">
        <f>IF(H160="","",IF(H160="SIM",1,0))</f>
        <v/>
      </c>
      <c r="M160" s="8">
        <f>IF(I160="","",IF(I160="SIM",1,0))</f>
        <v/>
      </c>
      <c r="N160" s="8">
        <f>IF(J160="","",IF(J160="Conformidade",1,IF(J160="Não Conformidade",0,IF(J160="Não Conformidade Grave",-1,""))))</f>
        <v/>
      </c>
      <c r="O160" s="8">
        <f>IF(COUNTA(G160:J160)=0,"",ROUND(AVERAGE(K160:N160)*100,0))</f>
        <v/>
      </c>
      <c r="P160" s="8">
        <f>IFERROR(AVERAGEIF(C$2:C$201,C160,O$2:O$201),"N/A")</f>
        <v/>
      </c>
      <c r="Q160" s="8" t="n"/>
    </row>
    <row r="161" ht="15" customHeight="1" s="41">
      <c r="A161" s="8">
        <f>IF(B161="","",ROW()-1)</f>
        <v/>
      </c>
      <c r="B161" s="11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>
        <f>IF(G161="","",IF(G161="SIM",1,0))</f>
        <v/>
      </c>
      <c r="L161" s="8">
        <f>IF(H161="","",IF(H161="SIM",1,0))</f>
        <v/>
      </c>
      <c r="M161" s="8">
        <f>IF(I161="","",IF(I161="SIM",1,0))</f>
        <v/>
      </c>
      <c r="N161" s="8">
        <f>IF(J161="","",IF(J161="Conformidade",1,IF(J161="Não Conformidade",0,IF(J161="Não Conformidade Grave",-1,""))))</f>
        <v/>
      </c>
      <c r="O161" s="8">
        <f>IF(COUNTA(G161:J161)=0,"",ROUND(AVERAGE(K161:N161)*100,0))</f>
        <v/>
      </c>
      <c r="P161" s="8">
        <f>IFERROR(AVERAGEIF(C$2:C$201,C161,O$2:O$201),"N/A")</f>
        <v/>
      </c>
      <c r="Q161" s="8" t="n"/>
    </row>
    <row r="162" ht="15" customHeight="1" s="41">
      <c r="A162" s="8">
        <f>IF(B162="","",ROW()-1)</f>
        <v/>
      </c>
      <c r="B162" s="11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>
        <f>IF(G162="","",IF(G162="SIM",1,0))</f>
        <v/>
      </c>
      <c r="L162" s="8">
        <f>IF(H162="","",IF(H162="SIM",1,0))</f>
        <v/>
      </c>
      <c r="M162" s="8">
        <f>IF(I162="","",IF(I162="SIM",1,0))</f>
        <v/>
      </c>
      <c r="N162" s="8">
        <f>IF(J162="","",IF(J162="Conformidade",1,IF(J162="Não Conformidade",0,IF(J162="Não Conformidade Grave",-1,""))))</f>
        <v/>
      </c>
      <c r="O162" s="8">
        <f>IF(COUNTA(G162:J162)=0,"",ROUND(AVERAGE(K162:N162)*100,0))</f>
        <v/>
      </c>
      <c r="P162" s="8">
        <f>IFERROR(AVERAGEIF(C$2:C$201,C162,O$2:O$201),"N/A")</f>
        <v/>
      </c>
      <c r="Q162" s="8" t="n"/>
    </row>
    <row r="163" ht="15" customHeight="1" s="41">
      <c r="A163" s="8">
        <f>IF(B163="","",ROW()-1)</f>
        <v/>
      </c>
      <c r="B163" s="11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>
        <f>IF(G163="","",IF(G163="SIM",1,0))</f>
        <v/>
      </c>
      <c r="L163" s="8">
        <f>IF(H163="","",IF(H163="SIM",1,0))</f>
        <v/>
      </c>
      <c r="M163" s="8">
        <f>IF(I163="","",IF(I163="SIM",1,0))</f>
        <v/>
      </c>
      <c r="N163" s="8">
        <f>IF(J163="","",IF(J163="Conformidade",1,IF(J163="Não Conformidade",0,IF(J163="Não Conformidade Grave",-1,""))))</f>
        <v/>
      </c>
      <c r="O163" s="8">
        <f>IF(COUNTA(G163:J163)=0,"",ROUND(AVERAGE(K163:N163)*100,0))</f>
        <v/>
      </c>
      <c r="P163" s="8">
        <f>IFERROR(AVERAGEIF(C$2:C$201,C163,O$2:O$201),"N/A")</f>
        <v/>
      </c>
      <c r="Q163" s="8" t="n"/>
    </row>
    <row r="164" ht="15" customHeight="1" s="41">
      <c r="A164" s="8">
        <f>IF(B164="","",ROW()-1)</f>
        <v/>
      </c>
      <c r="B164" s="11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>
        <f>IF(G164="","",IF(G164="SIM",1,0))</f>
        <v/>
      </c>
      <c r="L164" s="8">
        <f>IF(H164="","",IF(H164="SIM",1,0))</f>
        <v/>
      </c>
      <c r="M164" s="8">
        <f>IF(I164="","",IF(I164="SIM",1,0))</f>
        <v/>
      </c>
      <c r="N164" s="8">
        <f>IF(J164="","",IF(J164="Conformidade",1,IF(J164="Não Conformidade",0,IF(J164="Não Conformidade Grave",-1,""))))</f>
        <v/>
      </c>
      <c r="O164" s="8">
        <f>IF(COUNTA(G164:J164)=0,"",ROUND(AVERAGE(K164:N164)*100,0))</f>
        <v/>
      </c>
      <c r="P164" s="8">
        <f>IFERROR(AVERAGEIF(C$2:C$201,C164,O$2:O$201),"N/A")</f>
        <v/>
      </c>
      <c r="Q164" s="8" t="n"/>
    </row>
    <row r="165" ht="15" customHeight="1" s="41">
      <c r="A165" s="8">
        <f>IF(B165="","",ROW()-1)</f>
        <v/>
      </c>
      <c r="B165" s="11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>
        <f>IF(G165="","",IF(G165="SIM",1,0))</f>
        <v/>
      </c>
      <c r="L165" s="8">
        <f>IF(H165="","",IF(H165="SIM",1,0))</f>
        <v/>
      </c>
      <c r="M165" s="8">
        <f>IF(I165="","",IF(I165="SIM",1,0))</f>
        <v/>
      </c>
      <c r="N165" s="8">
        <f>IF(J165="","",IF(J165="Conformidade",1,IF(J165="Não Conformidade",0,IF(J165="Não Conformidade Grave",-1,""))))</f>
        <v/>
      </c>
      <c r="O165" s="8">
        <f>IF(COUNTA(G165:J165)=0,"",ROUND(AVERAGE(K165:N165)*100,0))</f>
        <v/>
      </c>
      <c r="P165" s="8">
        <f>IFERROR(AVERAGEIF(C$2:C$201,C165,O$2:O$201),"N/A")</f>
        <v/>
      </c>
      <c r="Q165" s="8" t="n"/>
    </row>
    <row r="166" ht="15" customHeight="1" s="41">
      <c r="A166" s="8">
        <f>IF(B166="","",ROW()-1)</f>
        <v/>
      </c>
      <c r="B166" s="11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>
        <f>IF(G166="","",IF(G166="SIM",1,0))</f>
        <v/>
      </c>
      <c r="L166" s="8">
        <f>IF(H166="","",IF(H166="SIM",1,0))</f>
        <v/>
      </c>
      <c r="M166" s="8">
        <f>IF(I166="","",IF(I166="SIM",1,0))</f>
        <v/>
      </c>
      <c r="N166" s="8">
        <f>IF(J166="","",IF(J166="Conformidade",1,IF(J166="Não Conformidade",0,IF(J166="Não Conformidade Grave",-1,""))))</f>
        <v/>
      </c>
      <c r="O166" s="8">
        <f>IF(COUNTA(G166:J166)=0,"",ROUND(AVERAGE(K166:N166)*100,0))</f>
        <v/>
      </c>
      <c r="P166" s="8">
        <f>IFERROR(AVERAGEIF(C$2:C$201,C166,O$2:O$201),"N/A")</f>
        <v/>
      </c>
      <c r="Q166" s="8" t="n"/>
    </row>
    <row r="167" ht="15" customHeight="1" s="41">
      <c r="A167" s="8">
        <f>IF(B167="","",ROW()-1)</f>
        <v/>
      </c>
      <c r="B167" s="11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>
        <f>IF(G167="","",IF(G167="SIM",1,0))</f>
        <v/>
      </c>
      <c r="L167" s="8">
        <f>IF(H167="","",IF(H167="SIM",1,0))</f>
        <v/>
      </c>
      <c r="M167" s="8">
        <f>IF(I167="","",IF(I167="SIM",1,0))</f>
        <v/>
      </c>
      <c r="N167" s="8">
        <f>IF(J167="","",IF(J167="Conformidade",1,IF(J167="Não Conformidade",0,IF(J167="Não Conformidade Grave",-1,""))))</f>
        <v/>
      </c>
      <c r="O167" s="8">
        <f>IF(COUNTA(G167:J167)=0,"",ROUND(AVERAGE(K167:N167)*100,0))</f>
        <v/>
      </c>
      <c r="P167" s="8">
        <f>IFERROR(AVERAGEIF(C$2:C$201,C167,O$2:O$201),"N/A")</f>
        <v/>
      </c>
      <c r="Q167" s="8" t="n"/>
    </row>
    <row r="168" ht="15" customHeight="1" s="41">
      <c r="A168" s="8">
        <f>IF(B168="","",ROW()-1)</f>
        <v/>
      </c>
      <c r="B168" s="11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>
        <f>IF(G168="","",IF(G168="SIM",1,0))</f>
        <v/>
      </c>
      <c r="L168" s="8">
        <f>IF(H168="","",IF(H168="SIM",1,0))</f>
        <v/>
      </c>
      <c r="M168" s="8">
        <f>IF(I168="","",IF(I168="SIM",1,0))</f>
        <v/>
      </c>
      <c r="N168" s="8">
        <f>IF(J168="","",IF(J168="Conformidade",1,IF(J168="Não Conformidade",0,IF(J168="Não Conformidade Grave",-1,""))))</f>
        <v/>
      </c>
      <c r="O168" s="8">
        <f>IF(COUNTA(G168:J168)=0,"",ROUND(AVERAGE(K168:N168)*100,0))</f>
        <v/>
      </c>
      <c r="P168" s="8">
        <f>IFERROR(AVERAGEIF(C$2:C$201,C168,O$2:O$201),"N/A")</f>
        <v/>
      </c>
      <c r="Q168" s="8" t="n"/>
    </row>
    <row r="169" ht="15" customHeight="1" s="41">
      <c r="A169" s="8">
        <f>IF(B169="","",ROW()-1)</f>
        <v/>
      </c>
      <c r="B169" s="11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>
        <f>IF(G169="","",IF(G169="SIM",1,0))</f>
        <v/>
      </c>
      <c r="L169" s="8">
        <f>IF(H169="","",IF(H169="SIM",1,0))</f>
        <v/>
      </c>
      <c r="M169" s="8">
        <f>IF(I169="","",IF(I169="SIM",1,0))</f>
        <v/>
      </c>
      <c r="N169" s="8">
        <f>IF(J169="","",IF(J169="Conformidade",1,IF(J169="Não Conformidade",0,IF(J169="Não Conformidade Grave",-1,""))))</f>
        <v/>
      </c>
      <c r="O169" s="8">
        <f>IF(COUNTA(G169:J169)=0,"",ROUND(AVERAGE(K169:N169)*100,0))</f>
        <v/>
      </c>
      <c r="P169" s="8">
        <f>IFERROR(AVERAGEIF(C$2:C$201,C169,O$2:O$201),"N/A")</f>
        <v/>
      </c>
      <c r="Q169" s="8" t="n"/>
    </row>
    <row r="170" ht="15" customHeight="1" s="41">
      <c r="A170" s="8">
        <f>IF(B170="","",ROW()-1)</f>
        <v/>
      </c>
      <c r="B170" s="11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>
        <f>IF(G170="","",IF(G170="SIM",1,0))</f>
        <v/>
      </c>
      <c r="L170" s="8">
        <f>IF(H170="","",IF(H170="SIM",1,0))</f>
        <v/>
      </c>
      <c r="M170" s="8">
        <f>IF(I170="","",IF(I170="SIM",1,0))</f>
        <v/>
      </c>
      <c r="N170" s="8">
        <f>IF(J170="","",IF(J170="Conformidade",1,IF(J170="Não Conformidade",0,IF(J170="Não Conformidade Grave",-1,""))))</f>
        <v/>
      </c>
      <c r="O170" s="8">
        <f>IF(COUNTA(G170:J170)=0,"",ROUND(AVERAGE(K170:N170)*100,0))</f>
        <v/>
      </c>
      <c r="P170" s="8">
        <f>IFERROR(AVERAGEIF(C$2:C$201,C170,O$2:O$201),"N/A")</f>
        <v/>
      </c>
      <c r="Q170" s="8" t="n"/>
    </row>
    <row r="171" ht="15" customHeight="1" s="41">
      <c r="A171" s="8">
        <f>IF(B171="","",ROW()-1)</f>
        <v/>
      </c>
      <c r="B171" s="11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>
        <f>IF(G171="","",IF(G171="SIM",1,0))</f>
        <v/>
      </c>
      <c r="L171" s="8">
        <f>IF(H171="","",IF(H171="SIM",1,0))</f>
        <v/>
      </c>
      <c r="M171" s="8">
        <f>IF(I171="","",IF(I171="SIM",1,0))</f>
        <v/>
      </c>
      <c r="N171" s="8">
        <f>IF(J171="","",IF(J171="Conformidade",1,IF(J171="Não Conformidade",0,IF(J171="Não Conformidade Grave",-1,""))))</f>
        <v/>
      </c>
      <c r="O171" s="8">
        <f>IF(COUNTA(G171:J171)=0,"",ROUND(AVERAGE(K171:N171)*100,0))</f>
        <v/>
      </c>
      <c r="P171" s="8">
        <f>IFERROR(AVERAGEIF(C$2:C$201,C171,O$2:O$201),"N/A")</f>
        <v/>
      </c>
      <c r="Q171" s="8" t="n"/>
    </row>
    <row r="172" ht="15" customHeight="1" s="41">
      <c r="A172" s="8">
        <f>IF(B172="","",ROW()-1)</f>
        <v/>
      </c>
      <c r="B172" s="11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>
        <f>IF(G172="","",IF(G172="SIM",1,0))</f>
        <v/>
      </c>
      <c r="L172" s="8">
        <f>IF(H172="","",IF(H172="SIM",1,0))</f>
        <v/>
      </c>
      <c r="M172" s="8">
        <f>IF(I172="","",IF(I172="SIM",1,0))</f>
        <v/>
      </c>
      <c r="N172" s="8">
        <f>IF(J172="","",IF(J172="Conformidade",1,IF(J172="Não Conformidade",0,IF(J172="Não Conformidade Grave",-1,""))))</f>
        <v/>
      </c>
      <c r="O172" s="8">
        <f>IF(COUNTA(G172:J172)=0,"",ROUND(AVERAGE(K172:N172)*100,0))</f>
        <v/>
      </c>
      <c r="P172" s="8">
        <f>IFERROR(AVERAGEIF(C$2:C$201,C172,O$2:O$201),"N/A")</f>
        <v/>
      </c>
      <c r="Q172" s="8" t="n"/>
    </row>
    <row r="173" ht="15" customHeight="1" s="41">
      <c r="A173" s="8">
        <f>IF(B173="","",ROW()-1)</f>
        <v/>
      </c>
      <c r="B173" s="11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>
        <f>IF(G173="","",IF(G173="SIM",1,0))</f>
        <v/>
      </c>
      <c r="L173" s="8">
        <f>IF(H173="","",IF(H173="SIM",1,0))</f>
        <v/>
      </c>
      <c r="M173" s="8">
        <f>IF(I173="","",IF(I173="SIM",1,0))</f>
        <v/>
      </c>
      <c r="N173" s="8">
        <f>IF(J173="","",IF(J173="Conformidade",1,IF(J173="Não Conformidade",0,IF(J173="Não Conformidade Grave",-1,""))))</f>
        <v/>
      </c>
      <c r="O173" s="8">
        <f>IF(COUNTA(G173:J173)=0,"",ROUND(AVERAGE(K173:N173)*100,0))</f>
        <v/>
      </c>
      <c r="P173" s="8">
        <f>IFERROR(AVERAGEIF(C$2:C$201,C173,O$2:O$201),"N/A")</f>
        <v/>
      </c>
      <c r="Q173" s="8" t="n"/>
    </row>
    <row r="174" ht="15" customHeight="1" s="41">
      <c r="A174" s="8">
        <f>IF(B174="","",ROW()-1)</f>
        <v/>
      </c>
      <c r="B174" s="11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>
        <f>IF(G174="","",IF(G174="SIM",1,0))</f>
        <v/>
      </c>
      <c r="L174" s="8">
        <f>IF(H174="","",IF(H174="SIM",1,0))</f>
        <v/>
      </c>
      <c r="M174" s="8">
        <f>IF(I174="","",IF(I174="SIM",1,0))</f>
        <v/>
      </c>
      <c r="N174" s="8">
        <f>IF(J174="","",IF(J174="Conformidade",1,IF(J174="Não Conformidade",0,IF(J174="Não Conformidade Grave",-1,""))))</f>
        <v/>
      </c>
      <c r="O174" s="8">
        <f>IF(COUNTA(G174:J174)=0,"",ROUND(AVERAGE(K174:N174)*100,0))</f>
        <v/>
      </c>
      <c r="P174" s="8">
        <f>IFERROR(AVERAGEIF(C$2:C$201,C174,O$2:O$201),"N/A")</f>
        <v/>
      </c>
      <c r="Q174" s="8" t="n"/>
    </row>
    <row r="175" ht="15" customHeight="1" s="41">
      <c r="A175" s="8">
        <f>IF(B175="","",ROW()-1)</f>
        <v/>
      </c>
      <c r="B175" s="11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>
        <f>IF(G175="","",IF(G175="SIM",1,0))</f>
        <v/>
      </c>
      <c r="L175" s="8">
        <f>IF(H175="","",IF(H175="SIM",1,0))</f>
        <v/>
      </c>
      <c r="M175" s="8">
        <f>IF(I175="","",IF(I175="SIM",1,0))</f>
        <v/>
      </c>
      <c r="N175" s="8">
        <f>IF(J175="","",IF(J175="Conformidade",1,IF(J175="Não Conformidade",0,IF(J175="Não Conformidade Grave",-1,""))))</f>
        <v/>
      </c>
      <c r="O175" s="8">
        <f>IF(COUNTA(G175:J175)=0,"",ROUND(AVERAGE(K175:N175)*100,0))</f>
        <v/>
      </c>
      <c r="P175" s="8">
        <f>IFERROR(AVERAGEIF(C$2:C$201,C175,O$2:O$201),"N/A")</f>
        <v/>
      </c>
      <c r="Q175" s="8" t="n"/>
    </row>
    <row r="176" ht="15" customHeight="1" s="41">
      <c r="A176" s="8">
        <f>IF(B176="","",ROW()-1)</f>
        <v/>
      </c>
      <c r="B176" s="11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>
        <f>IF(G176="","",IF(G176="SIM",1,0))</f>
        <v/>
      </c>
      <c r="L176" s="8">
        <f>IF(H176="","",IF(H176="SIM",1,0))</f>
        <v/>
      </c>
      <c r="M176" s="8">
        <f>IF(I176="","",IF(I176="SIM",1,0))</f>
        <v/>
      </c>
      <c r="N176" s="8">
        <f>IF(J176="","",IF(J176="Conformidade",1,IF(J176="Não Conformidade",0,IF(J176="Não Conformidade Grave",-1,""))))</f>
        <v/>
      </c>
      <c r="O176" s="8">
        <f>IF(COUNTA(G176:J176)=0,"",ROUND(AVERAGE(K176:N176)*100,0))</f>
        <v/>
      </c>
      <c r="P176" s="8">
        <f>IFERROR(AVERAGEIF(C$2:C$201,C176,O$2:O$201),"N/A")</f>
        <v/>
      </c>
      <c r="Q176" s="8" t="n"/>
    </row>
    <row r="177" ht="15" customHeight="1" s="41">
      <c r="A177" s="8">
        <f>IF(B177="","",ROW()-1)</f>
        <v/>
      </c>
      <c r="B177" s="11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>
        <f>IF(G177="","",IF(G177="SIM",1,0))</f>
        <v/>
      </c>
      <c r="L177" s="8">
        <f>IF(H177="","",IF(H177="SIM",1,0))</f>
        <v/>
      </c>
      <c r="M177" s="8">
        <f>IF(I177="","",IF(I177="SIM",1,0))</f>
        <v/>
      </c>
      <c r="N177" s="8">
        <f>IF(J177="","",IF(J177="Conformidade",1,IF(J177="Não Conformidade",0,IF(J177="Não Conformidade Grave",-1,""))))</f>
        <v/>
      </c>
      <c r="O177" s="8">
        <f>IF(COUNTA(G177:J177)=0,"",ROUND(AVERAGE(K177:N177)*100,0))</f>
        <v/>
      </c>
      <c r="P177" s="8">
        <f>IFERROR(AVERAGEIF(C$2:C$201,C177,O$2:O$201),"N/A")</f>
        <v/>
      </c>
      <c r="Q177" s="8" t="n"/>
    </row>
    <row r="178" ht="15" customHeight="1" s="41">
      <c r="A178" s="8">
        <f>IF(B178="","",ROW()-1)</f>
        <v/>
      </c>
      <c r="B178" s="11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>
        <f>IF(G178="","",IF(G178="SIM",1,0))</f>
        <v/>
      </c>
      <c r="L178" s="8">
        <f>IF(H178="","",IF(H178="SIM",1,0))</f>
        <v/>
      </c>
      <c r="M178" s="8">
        <f>IF(I178="","",IF(I178="SIM",1,0))</f>
        <v/>
      </c>
      <c r="N178" s="8">
        <f>IF(J178="","",IF(J178="Conformidade",1,IF(J178="Não Conformidade",0,IF(J178="Não Conformidade Grave",-1,""))))</f>
        <v/>
      </c>
      <c r="O178" s="8">
        <f>IF(COUNTA(G178:J178)=0,"",ROUND(AVERAGE(K178:N178)*100,0))</f>
        <v/>
      </c>
      <c r="P178" s="8">
        <f>IFERROR(AVERAGEIF(C$2:C$201,C178,O$2:O$201),"N/A")</f>
        <v/>
      </c>
      <c r="Q178" s="8" t="n"/>
    </row>
    <row r="179" ht="15" customHeight="1" s="41">
      <c r="A179" s="8">
        <f>IF(B179="","",ROW()-1)</f>
        <v/>
      </c>
      <c r="B179" s="11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>
        <f>IF(G179="","",IF(G179="SIM",1,0))</f>
        <v/>
      </c>
      <c r="L179" s="8">
        <f>IF(H179="","",IF(H179="SIM",1,0))</f>
        <v/>
      </c>
      <c r="M179" s="8">
        <f>IF(I179="","",IF(I179="SIM",1,0))</f>
        <v/>
      </c>
      <c r="N179" s="8">
        <f>IF(J179="","",IF(J179="Conformidade",1,IF(J179="Não Conformidade",0,IF(J179="Não Conformidade Grave",-1,""))))</f>
        <v/>
      </c>
      <c r="O179" s="8">
        <f>IF(COUNTA(G179:J179)=0,"",ROUND(AVERAGE(K179:N179)*100,0))</f>
        <v/>
      </c>
      <c r="P179" s="8">
        <f>IFERROR(AVERAGEIF(C$2:C$201,C179,O$2:O$201),"N/A")</f>
        <v/>
      </c>
      <c r="Q179" s="8" t="n"/>
    </row>
    <row r="180" ht="15" customHeight="1" s="41">
      <c r="A180" s="8">
        <f>IF(B180="","",ROW()-1)</f>
        <v/>
      </c>
      <c r="B180" s="11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>
        <f>IF(G180="","",IF(G180="SIM",1,0))</f>
        <v/>
      </c>
      <c r="L180" s="8">
        <f>IF(H180="","",IF(H180="SIM",1,0))</f>
        <v/>
      </c>
      <c r="M180" s="8">
        <f>IF(I180="","",IF(I180="SIM",1,0))</f>
        <v/>
      </c>
      <c r="N180" s="8">
        <f>IF(J180="","",IF(J180="Conformidade",1,IF(J180="Não Conformidade",0,IF(J180="Não Conformidade Grave",-1,""))))</f>
        <v/>
      </c>
      <c r="O180" s="8">
        <f>IF(COUNTA(G180:J180)=0,"",ROUND(AVERAGE(K180:N180)*100,0))</f>
        <v/>
      </c>
      <c r="P180" s="8">
        <f>IFERROR(AVERAGEIF(C$2:C$201,C180,O$2:O$201),"N/A")</f>
        <v/>
      </c>
      <c r="Q180" s="8" t="n"/>
    </row>
    <row r="181" ht="15" customHeight="1" s="41">
      <c r="A181" s="8">
        <f>IF(B181="","",ROW()-1)</f>
        <v/>
      </c>
      <c r="B181" s="11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>
        <f>IF(G181="","",IF(G181="SIM",1,0))</f>
        <v/>
      </c>
      <c r="L181" s="8">
        <f>IF(H181="","",IF(H181="SIM",1,0))</f>
        <v/>
      </c>
      <c r="M181" s="8">
        <f>IF(I181="","",IF(I181="SIM",1,0))</f>
        <v/>
      </c>
      <c r="N181" s="8">
        <f>IF(J181="","",IF(J181="Conformidade",1,IF(J181="Não Conformidade",0,IF(J181="Não Conformidade Grave",-1,""))))</f>
        <v/>
      </c>
      <c r="O181" s="8">
        <f>IF(COUNTA(G181:J181)=0,"",ROUND(AVERAGE(K181:N181)*100,0))</f>
        <v/>
      </c>
      <c r="P181" s="8">
        <f>IFERROR(AVERAGEIF(C$2:C$201,C181,O$2:O$201),"N/A")</f>
        <v/>
      </c>
      <c r="Q181" s="8" t="n"/>
    </row>
    <row r="182" ht="15" customHeight="1" s="41">
      <c r="A182" s="8">
        <f>IF(B182="","",ROW()-1)</f>
        <v/>
      </c>
      <c r="B182" s="11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>
        <f>IF(G182="","",IF(G182="SIM",1,0))</f>
        <v/>
      </c>
      <c r="L182" s="8">
        <f>IF(H182="","",IF(H182="SIM",1,0))</f>
        <v/>
      </c>
      <c r="M182" s="8">
        <f>IF(I182="","",IF(I182="SIM",1,0))</f>
        <v/>
      </c>
      <c r="N182" s="8">
        <f>IF(J182="","",IF(J182="Conformidade",1,IF(J182="Não Conformidade",0,IF(J182="Não Conformidade Grave",-1,""))))</f>
        <v/>
      </c>
      <c r="O182" s="8">
        <f>IF(COUNTA(G182:J182)=0,"",ROUND(AVERAGE(K182:N182)*100,0))</f>
        <v/>
      </c>
      <c r="P182" s="8">
        <f>IFERROR(AVERAGEIF(C$2:C$201,C182,O$2:O$201),"N/A")</f>
        <v/>
      </c>
      <c r="Q182" s="8" t="n"/>
    </row>
    <row r="183" ht="15" customHeight="1" s="41">
      <c r="A183" s="8">
        <f>IF(B183="","",ROW()-1)</f>
        <v/>
      </c>
      <c r="B183" s="11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>
        <f>IF(G183="","",IF(G183="SIM",1,0))</f>
        <v/>
      </c>
      <c r="L183" s="8">
        <f>IF(H183="","",IF(H183="SIM",1,0))</f>
        <v/>
      </c>
      <c r="M183" s="8">
        <f>IF(I183="","",IF(I183="SIM",1,0))</f>
        <v/>
      </c>
      <c r="N183" s="8">
        <f>IF(J183="","",IF(J183="Conformidade",1,IF(J183="Não Conformidade",0,IF(J183="Não Conformidade Grave",-1,""))))</f>
        <v/>
      </c>
      <c r="O183" s="8">
        <f>IF(COUNTA(G183:J183)=0,"",ROUND(AVERAGE(K183:N183)*100,0))</f>
        <v/>
      </c>
      <c r="P183" s="8">
        <f>IFERROR(AVERAGEIF(C$2:C$201,C183,O$2:O$201),"N/A")</f>
        <v/>
      </c>
      <c r="Q183" s="8" t="n"/>
    </row>
    <row r="184" ht="15" customHeight="1" s="41">
      <c r="A184" s="8">
        <f>IF(B184="","",ROW()-1)</f>
        <v/>
      </c>
      <c r="B184" s="11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>
        <f>IF(G184="","",IF(G184="SIM",1,0))</f>
        <v/>
      </c>
      <c r="L184" s="8">
        <f>IF(H184="","",IF(H184="SIM",1,0))</f>
        <v/>
      </c>
      <c r="M184" s="8">
        <f>IF(I184="","",IF(I184="SIM",1,0))</f>
        <v/>
      </c>
      <c r="N184" s="8">
        <f>IF(J184="","",IF(J184="Conformidade",1,IF(J184="Não Conformidade",0,IF(J184="Não Conformidade Grave",-1,""))))</f>
        <v/>
      </c>
      <c r="O184" s="8">
        <f>IF(COUNTA(G184:J184)=0,"",ROUND(AVERAGE(K184:N184)*100,0))</f>
        <v/>
      </c>
      <c r="P184" s="8">
        <f>IFERROR(AVERAGEIF(C$2:C$201,C184,O$2:O$201),"N/A")</f>
        <v/>
      </c>
      <c r="Q184" s="8" t="n"/>
    </row>
    <row r="185" ht="15" customHeight="1" s="41">
      <c r="A185" s="8">
        <f>IF(B185="","",ROW()-1)</f>
        <v/>
      </c>
      <c r="B185" s="11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>
        <f>IF(G185="","",IF(G185="SIM",1,0))</f>
        <v/>
      </c>
      <c r="L185" s="8">
        <f>IF(H185="","",IF(H185="SIM",1,0))</f>
        <v/>
      </c>
      <c r="M185" s="8">
        <f>IF(I185="","",IF(I185="SIM",1,0))</f>
        <v/>
      </c>
      <c r="N185" s="8">
        <f>IF(J185="","",IF(J185="Conformidade",1,IF(J185="Não Conformidade",0,IF(J185="Não Conformidade Grave",-1,""))))</f>
        <v/>
      </c>
      <c r="O185" s="8">
        <f>IF(COUNTA(G185:J185)=0,"",ROUND(AVERAGE(K185:N185)*100,0))</f>
        <v/>
      </c>
      <c r="P185" s="8">
        <f>IFERROR(AVERAGEIF(C$2:C$201,C185,O$2:O$201),"N/A")</f>
        <v/>
      </c>
      <c r="Q185" s="8" t="n"/>
    </row>
    <row r="186" ht="15" customHeight="1" s="41">
      <c r="A186" s="8">
        <f>IF(B186="","",ROW()-1)</f>
        <v/>
      </c>
      <c r="B186" s="11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>
        <f>IF(G186="","",IF(G186="SIM",1,0))</f>
        <v/>
      </c>
      <c r="L186" s="8">
        <f>IF(H186="","",IF(H186="SIM",1,0))</f>
        <v/>
      </c>
      <c r="M186" s="8">
        <f>IF(I186="","",IF(I186="SIM",1,0))</f>
        <v/>
      </c>
      <c r="N186" s="8">
        <f>IF(J186="","",IF(J186="Conformidade",1,IF(J186="Não Conformidade",0,IF(J186="Não Conformidade Grave",-1,""))))</f>
        <v/>
      </c>
      <c r="O186" s="8">
        <f>IF(COUNTA(G186:J186)=0,"",ROUND(AVERAGE(K186:N186)*100,0))</f>
        <v/>
      </c>
      <c r="P186" s="8">
        <f>IFERROR(AVERAGEIF(C$2:C$201,C186,O$2:O$201),"N/A")</f>
        <v/>
      </c>
      <c r="Q186" s="8" t="n"/>
    </row>
    <row r="187" ht="15" customHeight="1" s="41">
      <c r="A187" s="8">
        <f>IF(B187="","",ROW()-1)</f>
        <v/>
      </c>
      <c r="B187" s="11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>
        <f>IF(G187="","",IF(G187="SIM",1,0))</f>
        <v/>
      </c>
      <c r="L187" s="8">
        <f>IF(H187="","",IF(H187="SIM",1,0))</f>
        <v/>
      </c>
      <c r="M187" s="8">
        <f>IF(I187="","",IF(I187="SIM",1,0))</f>
        <v/>
      </c>
      <c r="N187" s="8">
        <f>IF(J187="","",IF(J187="Conformidade",1,IF(J187="Não Conformidade",0,IF(J187="Não Conformidade Grave",-1,""))))</f>
        <v/>
      </c>
      <c r="O187" s="8">
        <f>IF(COUNTA(G187:J187)=0,"",ROUND(AVERAGE(K187:N187)*100,0))</f>
        <v/>
      </c>
      <c r="P187" s="8">
        <f>IFERROR(AVERAGEIF(C$2:C$201,C187,O$2:O$201),"N/A")</f>
        <v/>
      </c>
      <c r="Q187" s="8" t="n"/>
    </row>
    <row r="188" ht="15" customHeight="1" s="41">
      <c r="A188" s="8">
        <f>IF(B188="","",ROW()-1)</f>
        <v/>
      </c>
      <c r="B188" s="11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>
        <f>IF(G188="","",IF(G188="SIM",1,0))</f>
        <v/>
      </c>
      <c r="L188" s="8">
        <f>IF(H188="","",IF(H188="SIM",1,0))</f>
        <v/>
      </c>
      <c r="M188" s="8">
        <f>IF(I188="","",IF(I188="SIM",1,0))</f>
        <v/>
      </c>
      <c r="N188" s="8">
        <f>IF(J188="","",IF(J188="Conformidade",1,IF(J188="Não Conformidade",0,IF(J188="Não Conformidade Grave",-1,""))))</f>
        <v/>
      </c>
      <c r="O188" s="8">
        <f>IF(COUNTA(G188:J188)=0,"",ROUND(AVERAGE(K188:N188)*100,0))</f>
        <v/>
      </c>
      <c r="P188" s="8">
        <f>IFERROR(AVERAGEIF(C$2:C$201,C188,O$2:O$201),"N/A")</f>
        <v/>
      </c>
      <c r="Q188" s="8" t="n"/>
    </row>
    <row r="189" ht="15" customHeight="1" s="41">
      <c r="A189" s="8">
        <f>IF(B189="","",ROW()-1)</f>
        <v/>
      </c>
      <c r="B189" s="11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>
        <f>IF(G189="","",IF(G189="SIM",1,0))</f>
        <v/>
      </c>
      <c r="L189" s="8">
        <f>IF(H189="","",IF(H189="SIM",1,0))</f>
        <v/>
      </c>
      <c r="M189" s="8">
        <f>IF(I189="","",IF(I189="SIM",1,0))</f>
        <v/>
      </c>
      <c r="N189" s="8">
        <f>IF(J189="","",IF(J189="Conformidade",1,IF(J189="Não Conformidade",0,IF(J189="Não Conformidade Grave",-1,""))))</f>
        <v/>
      </c>
      <c r="O189" s="8">
        <f>IF(COUNTA(G189:J189)=0,"",ROUND(AVERAGE(K189:N189)*100,0))</f>
        <v/>
      </c>
      <c r="P189" s="8">
        <f>IFERROR(AVERAGEIF(C$2:C$201,C189,O$2:O$201),"N/A")</f>
        <v/>
      </c>
      <c r="Q189" s="8" t="n"/>
    </row>
    <row r="190" ht="15" customHeight="1" s="41">
      <c r="A190" s="8">
        <f>IF(B190="","",ROW()-1)</f>
        <v/>
      </c>
      <c r="B190" s="11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>
        <f>IF(G190="","",IF(G190="SIM",1,0))</f>
        <v/>
      </c>
      <c r="L190" s="8">
        <f>IF(H190="","",IF(H190="SIM",1,0))</f>
        <v/>
      </c>
      <c r="M190" s="8">
        <f>IF(I190="","",IF(I190="SIM",1,0))</f>
        <v/>
      </c>
      <c r="N190" s="8">
        <f>IF(J190="","",IF(J190="Conformidade",1,IF(J190="Não Conformidade",0,IF(J190="Não Conformidade Grave",-1,""))))</f>
        <v/>
      </c>
      <c r="O190" s="8">
        <f>IF(COUNTA(G190:J190)=0,"",ROUND(AVERAGE(K190:N190)*100,0))</f>
        <v/>
      </c>
      <c r="P190" s="8">
        <f>IFERROR(AVERAGEIF(C$2:C$201,C190,O$2:O$201),"N/A")</f>
        <v/>
      </c>
      <c r="Q190" s="8" t="n"/>
    </row>
    <row r="191" ht="15" customHeight="1" s="41">
      <c r="A191" s="8">
        <f>IF(B191="","",ROW()-1)</f>
        <v/>
      </c>
      <c r="B191" s="11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>
        <f>IF(G191="","",IF(G191="SIM",1,0))</f>
        <v/>
      </c>
      <c r="L191" s="8">
        <f>IF(H191="","",IF(H191="SIM",1,0))</f>
        <v/>
      </c>
      <c r="M191" s="8">
        <f>IF(I191="","",IF(I191="SIM",1,0))</f>
        <v/>
      </c>
      <c r="N191" s="8">
        <f>IF(J191="","",IF(J191="Conformidade",1,IF(J191="Não Conformidade",0,IF(J191="Não Conformidade Grave",-1,""))))</f>
        <v/>
      </c>
      <c r="O191" s="8">
        <f>IF(COUNTA(G191:J191)=0,"",ROUND(AVERAGE(K191:N191)*100,0))</f>
        <v/>
      </c>
      <c r="P191" s="8">
        <f>IFERROR(AVERAGEIF(C$2:C$201,C191,O$2:O$201),"N/A")</f>
        <v/>
      </c>
      <c r="Q191" s="8" t="n"/>
    </row>
    <row r="192" ht="15" customHeight="1" s="41">
      <c r="A192" s="8">
        <f>IF(B192="","",ROW()-1)</f>
        <v/>
      </c>
      <c r="B192" s="11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>
        <f>IF(G192="","",IF(G192="SIM",1,0))</f>
        <v/>
      </c>
      <c r="L192" s="8">
        <f>IF(H192="","",IF(H192="SIM",1,0))</f>
        <v/>
      </c>
      <c r="M192" s="8">
        <f>IF(I192="","",IF(I192="SIM",1,0))</f>
        <v/>
      </c>
      <c r="N192" s="8">
        <f>IF(J192="","",IF(J192="Conformidade",1,IF(J192="Não Conformidade",0,IF(J192="Não Conformidade Grave",-1,""))))</f>
        <v/>
      </c>
      <c r="O192" s="8">
        <f>IF(COUNTA(G192:J192)=0,"",ROUND(AVERAGE(K192:N192)*100,0))</f>
        <v/>
      </c>
      <c r="P192" s="8">
        <f>IFERROR(AVERAGEIF(C$2:C$201,C192,O$2:O$201),"N/A")</f>
        <v/>
      </c>
      <c r="Q192" s="8" t="n"/>
    </row>
    <row r="193" ht="15" customHeight="1" s="41">
      <c r="A193" s="8">
        <f>IF(B193="","",ROW()-1)</f>
        <v/>
      </c>
      <c r="B193" s="11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>
        <f>IF(G193="","",IF(G193="SIM",1,0))</f>
        <v/>
      </c>
      <c r="L193" s="8">
        <f>IF(H193="","",IF(H193="SIM",1,0))</f>
        <v/>
      </c>
      <c r="M193" s="8">
        <f>IF(I193="","",IF(I193="SIM",1,0))</f>
        <v/>
      </c>
      <c r="N193" s="8">
        <f>IF(J193="","",IF(J193="Conformidade",1,IF(J193="Não Conformidade",0,IF(J193="Não Conformidade Grave",-1,""))))</f>
        <v/>
      </c>
      <c r="O193" s="8">
        <f>IF(COUNTA(G193:J193)=0,"",ROUND(AVERAGE(K193:N193)*100,0))</f>
        <v/>
      </c>
      <c r="P193" s="8">
        <f>IFERROR(AVERAGEIF(C$2:C$201,C193,O$2:O$201),"N/A")</f>
        <v/>
      </c>
      <c r="Q193" s="8" t="n"/>
    </row>
    <row r="194" ht="15" customHeight="1" s="41">
      <c r="A194" s="8">
        <f>IF(B194="","",ROW()-1)</f>
        <v/>
      </c>
      <c r="B194" s="11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>
        <f>IF(G194="","",IF(G194="SIM",1,0))</f>
        <v/>
      </c>
      <c r="L194" s="8">
        <f>IF(H194="","",IF(H194="SIM",1,0))</f>
        <v/>
      </c>
      <c r="M194" s="8">
        <f>IF(I194="","",IF(I194="SIM",1,0))</f>
        <v/>
      </c>
      <c r="N194" s="8">
        <f>IF(J194="","",IF(J194="Conformidade",1,IF(J194="Não Conformidade",0,IF(J194="Não Conformidade Grave",-1,""))))</f>
        <v/>
      </c>
      <c r="O194" s="8">
        <f>IF(COUNTA(G194:J194)=0,"",ROUND(AVERAGE(K194:N194)*100,0))</f>
        <v/>
      </c>
      <c r="P194" s="8">
        <f>IFERROR(AVERAGEIF(C$2:C$201,C194,O$2:O$201),"N/A")</f>
        <v/>
      </c>
      <c r="Q194" s="8" t="n"/>
    </row>
    <row r="195" ht="15" customHeight="1" s="41">
      <c r="A195" s="8">
        <f>IF(B195="","",ROW()-1)</f>
        <v/>
      </c>
      <c r="B195" s="11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>
        <f>IF(G195="","",IF(G195="SIM",1,0))</f>
        <v/>
      </c>
      <c r="L195" s="8">
        <f>IF(H195="","",IF(H195="SIM",1,0))</f>
        <v/>
      </c>
      <c r="M195" s="8">
        <f>IF(I195="","",IF(I195="SIM",1,0))</f>
        <v/>
      </c>
      <c r="N195" s="8">
        <f>IF(J195="","",IF(J195="Conformidade",1,IF(J195="Não Conformidade",0,IF(J195="Não Conformidade Grave",-1,""))))</f>
        <v/>
      </c>
      <c r="O195" s="8">
        <f>IF(COUNTA(G195:J195)=0,"",ROUND(AVERAGE(K195:N195)*100,0))</f>
        <v/>
      </c>
      <c r="P195" s="8">
        <f>IFERROR(AVERAGEIF(C$2:C$201,C195,O$2:O$201),"N/A")</f>
        <v/>
      </c>
      <c r="Q195" s="8" t="n"/>
    </row>
    <row r="196" ht="15" customHeight="1" s="41">
      <c r="A196" s="8">
        <f>IF(B196="","",ROW()-1)</f>
        <v/>
      </c>
      <c r="B196" s="11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>
        <f>IF(G196="","",IF(G196="SIM",1,0))</f>
        <v/>
      </c>
      <c r="L196" s="8">
        <f>IF(H196="","",IF(H196="SIM",1,0))</f>
        <v/>
      </c>
      <c r="M196" s="8">
        <f>IF(I196="","",IF(I196="SIM",1,0))</f>
        <v/>
      </c>
      <c r="N196" s="8">
        <f>IF(J196="","",IF(J196="Conformidade",1,IF(J196="Não Conformidade",0,IF(J196="Não Conformidade Grave",-1,""))))</f>
        <v/>
      </c>
      <c r="O196" s="8">
        <f>IF(COUNTA(G196:J196)=0,"",ROUND(AVERAGE(K196:N196)*100,0))</f>
        <v/>
      </c>
      <c r="P196" s="8">
        <f>IFERROR(AVERAGEIF(C$2:C$201,C196,O$2:O$201),"N/A")</f>
        <v/>
      </c>
      <c r="Q196" s="8" t="n"/>
    </row>
    <row r="197" ht="15" customHeight="1" s="41">
      <c r="A197" s="8">
        <f>IF(B197="","",ROW()-1)</f>
        <v/>
      </c>
      <c r="B197" s="11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>
        <f>IF(G197="","",IF(G197="SIM",1,0))</f>
        <v/>
      </c>
      <c r="L197" s="8">
        <f>IF(H197="","",IF(H197="SIM",1,0))</f>
        <v/>
      </c>
      <c r="M197" s="8">
        <f>IF(I197="","",IF(I197="SIM",1,0))</f>
        <v/>
      </c>
      <c r="N197" s="8">
        <f>IF(J197="","",IF(J197="Conformidade",1,IF(J197="Não Conformidade",0,IF(J197="Não Conformidade Grave",-1,""))))</f>
        <v/>
      </c>
      <c r="O197" s="8">
        <f>IF(COUNTA(G197:J197)=0,"",ROUND(AVERAGE(K197:N197)*100,0))</f>
        <v/>
      </c>
      <c r="P197" s="8">
        <f>IFERROR(AVERAGEIF(C$2:C$201,C197,O$2:O$201),"N/A")</f>
        <v/>
      </c>
      <c r="Q197" s="8" t="n"/>
    </row>
    <row r="198" ht="15" customHeight="1" s="41">
      <c r="A198" s="8">
        <f>IF(B198="","",ROW()-1)</f>
        <v/>
      </c>
      <c r="B198" s="11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>
        <f>IF(G198="","",IF(G198="SIM",1,0))</f>
        <v/>
      </c>
      <c r="L198" s="8">
        <f>IF(H198="","",IF(H198="SIM",1,0))</f>
        <v/>
      </c>
      <c r="M198" s="8">
        <f>IF(I198="","",IF(I198="SIM",1,0))</f>
        <v/>
      </c>
      <c r="N198" s="8">
        <f>IF(J198="","",IF(J198="Conformidade",1,IF(J198="Não Conformidade",0,IF(J198="Não Conformidade Grave",-1,""))))</f>
        <v/>
      </c>
      <c r="O198" s="8">
        <f>IF(COUNTA(G198:J198)=0,"",ROUND(AVERAGE(K198:N198)*100,0))</f>
        <v/>
      </c>
      <c r="P198" s="8">
        <f>IFERROR(AVERAGEIF(C$2:C$201,C198,O$2:O$201),"N/A")</f>
        <v/>
      </c>
      <c r="Q198" s="8" t="n"/>
    </row>
    <row r="199" ht="15" customHeight="1" s="41">
      <c r="A199" s="8">
        <f>IF(B199="","",ROW()-1)</f>
        <v/>
      </c>
      <c r="B199" s="11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>
        <f>IF(G199="","",IF(G199="SIM",1,0))</f>
        <v/>
      </c>
      <c r="L199" s="8">
        <f>IF(H199="","",IF(H199="SIM",1,0))</f>
        <v/>
      </c>
      <c r="M199" s="8">
        <f>IF(I199="","",IF(I199="SIM",1,0))</f>
        <v/>
      </c>
      <c r="N199" s="8">
        <f>IF(J199="","",IF(J199="Conformidade",1,IF(J199="Não Conformidade",0,IF(J199="Não Conformidade Grave",-1,""))))</f>
        <v/>
      </c>
      <c r="O199" s="8">
        <f>IF(COUNTA(G199:J199)=0,"",ROUND(AVERAGE(K199:N199)*100,0))</f>
        <v/>
      </c>
      <c r="P199" s="8">
        <f>IFERROR(AVERAGEIF(C$2:C$201,C199,O$2:O$201),"N/A")</f>
        <v/>
      </c>
      <c r="Q199" s="8" t="n"/>
    </row>
    <row r="200" ht="15" customHeight="1" s="41">
      <c r="A200" s="8">
        <f>IF(B200="","",ROW()-1)</f>
        <v/>
      </c>
      <c r="B200" s="11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>
        <f>IF(G200="","",IF(G200="SIM",1,0))</f>
        <v/>
      </c>
      <c r="L200" s="8">
        <f>IF(H200="","",IF(H200="SIM",1,0))</f>
        <v/>
      </c>
      <c r="M200" s="8">
        <f>IF(I200="","",IF(I200="SIM",1,0))</f>
        <v/>
      </c>
      <c r="N200" s="8">
        <f>IF(J200="","",IF(J200="Conformidade",1,IF(J200="Não Conformidade",0,IF(J200="Não Conformidade Grave",-1,""))))</f>
        <v/>
      </c>
      <c r="O200" s="8">
        <f>IF(COUNTA(G200:J200)=0,"",ROUND(AVERAGE(K200:N200)*100,0))</f>
        <v/>
      </c>
      <c r="P200" s="8">
        <f>IFERROR(AVERAGEIF(C$2:C$201,C200,O$2:O$201),"N/A")</f>
        <v/>
      </c>
      <c r="Q200" s="8" t="n"/>
    </row>
    <row r="201" ht="15" customHeight="1" s="41">
      <c r="A201" s="8">
        <f>IF(B201="","",ROW()-1)</f>
        <v/>
      </c>
      <c r="B201" s="11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>
        <f>IF(G201="","",IF(G201="SIM",1,0))</f>
        <v/>
      </c>
      <c r="L201" s="8">
        <f>IF(H201="","",IF(H201="SIM",1,0))</f>
        <v/>
      </c>
      <c r="M201" s="8">
        <f>IF(I201="","",IF(I201="SIM",1,0))</f>
        <v/>
      </c>
      <c r="N201" s="8">
        <f>IF(J201="","",IF(J201="Conformidade",1,IF(J201="Não Conformidade",0,IF(J201="Não Conformidade Grave",-1,""))))</f>
        <v/>
      </c>
      <c r="O201" s="8">
        <f>IF(COUNTA(G201:J201)=0,"",ROUND(AVERAGE(K201:N201)*100,0))</f>
        <v/>
      </c>
      <c r="P201" s="8">
        <f>IFERROR(AVERAGEIF(C$2:C$201,C201,O$2:O$201),"N/A")</f>
        <v/>
      </c>
      <c r="Q201" s="8" t="n"/>
    </row>
    <row r="202">
      <c r="A202" t="n">
        <v>1</v>
      </c>
      <c r="B202" t="inlineStr">
        <is>
          <t>18/09/2026</t>
        </is>
      </c>
      <c r="C202" t="inlineStr">
        <is>
          <t>Mobilize</t>
        </is>
      </c>
      <c r="D202" t="inlineStr">
        <is>
          <t>Treinamento</t>
        </is>
      </c>
      <c r="E202" t="inlineStr">
        <is>
          <t>Treinamento - Banco N1</t>
        </is>
      </c>
      <c r="F202" t="n">
        <v>1</v>
      </c>
      <c r="G202" t="inlineStr">
        <is>
          <t>NÃO</t>
        </is>
      </c>
      <c r="H202" t="inlineStr">
        <is>
          <t>SIM</t>
        </is>
      </c>
      <c r="I202" t="inlineStr">
        <is>
          <t>NÃO</t>
        </is>
      </c>
      <c r="J202" t="inlineStr">
        <is>
          <t>Não Conformidade</t>
        </is>
      </c>
    </row>
    <row r="203">
      <c r="A203" t="n">
        <v>2</v>
      </c>
      <c r="B203" t="inlineStr">
        <is>
          <t>18/09/2026</t>
        </is>
      </c>
      <c r="C203" t="inlineStr">
        <is>
          <t>Mobilize</t>
        </is>
      </c>
      <c r="D203" t="inlineStr">
        <is>
          <t>Treinamento</t>
        </is>
      </c>
      <c r="E203" t="inlineStr">
        <is>
          <t>Treinamento - Locadora N1</t>
        </is>
      </c>
      <c r="F203" t="n">
        <v>1</v>
      </c>
      <c r="G203" t="inlineStr">
        <is>
          <t>NÃO</t>
        </is>
      </c>
      <c r="H203" t="inlineStr">
        <is>
          <t>SIM</t>
        </is>
      </c>
      <c r="I203" t="inlineStr">
        <is>
          <t>NÃO</t>
        </is>
      </c>
      <c r="J203" t="inlineStr">
        <is>
          <t>Não Conformidade</t>
        </is>
      </c>
    </row>
    <row r="204">
      <c r="A204" t="n">
        <v>3</v>
      </c>
      <c r="B204" t="inlineStr">
        <is>
          <t>18/09/2026</t>
        </is>
      </c>
      <c r="C204" t="inlineStr">
        <is>
          <t>Mobilize</t>
        </is>
      </c>
      <c r="D204" t="inlineStr">
        <is>
          <t>Treinamento</t>
        </is>
      </c>
      <c r="E204" t="inlineStr">
        <is>
          <t>Treinamento - BackOffice N2</t>
        </is>
      </c>
      <c r="F204" t="n">
        <v>1</v>
      </c>
      <c r="G204" t="inlineStr">
        <is>
          <t>SIM</t>
        </is>
      </c>
      <c r="H204" t="inlineStr">
        <is>
          <t>SIM</t>
        </is>
      </c>
      <c r="I204" t="inlineStr">
        <is>
          <t>NÃO</t>
        </is>
      </c>
      <c r="J204" t="inlineStr">
        <is>
          <t>Conformidade</t>
        </is>
      </c>
    </row>
  </sheetData>
  <conditionalFormatting sqref="G2:I201">
    <cfRule type="cellIs" priority="2" operator="equal" dxfId="0">
      <formula>"SIM"</formula>
    </cfRule>
    <cfRule type="cellIs" priority="3" operator="equal" dxfId="2">
      <formula>"NÃO"</formula>
    </cfRule>
  </conditionalFormatting>
  <conditionalFormatting sqref="O2:P201">
    <cfRule type="cellIs" priority="8" operator="lessThan" dxfId="2">
      <formula>50</formula>
    </cfRule>
    <cfRule type="cellIs" priority="9" operator="between" dxfId="1">
      <formula>50</formula>
      <formula>79</formula>
    </cfRule>
    <cfRule type="cellIs" priority="10" operator="greaterThanOrEqual" dxfId="0">
      <formula>80</formula>
    </cfRule>
  </conditionalFormatting>
  <dataValidations count="5">
    <dataValidation sqref="F2:F201" showDropDown="0" showInputMessage="0" showErrorMessage="0" allowBlank="1" type="decimal" operator="greaterThanOrEqual">
      <formula1>0</formula1>
      <formula2>0</formula2>
    </dataValidation>
    <dataValidation sqref="G2:I201" showDropDown="0" showInputMessage="0" showErrorMessage="0" allowBlank="1" type="list">
      <formula1>"SIM,NÃO"</formula1>
      <formula2>0</formula2>
    </dataValidation>
    <dataValidation sqref="J2:J201" showDropDown="0" showInputMessage="0" showErrorMessage="0" allowBlank="1" type="list">
      <formula1>"Não Conformidade Grave,Não Conformidade,Conformidade,Observação"</formula1>
      <formula2>0</formula2>
    </dataValidation>
    <dataValidation sqref="B2:B201" showDropDown="0" showInputMessage="0" showErrorMessage="0" allowBlank="1" type="date">
      <formula1>DATE(2000,1,1)</formula1>
      <formula2>0</formula2>
    </dataValidation>
    <dataValidation sqref="U2:U201" showDropDown="0" showInputMessage="0" showErrorMessage="0" allowBlank="1" type="list">
      <formula1>"Aberto,Em andamento,Concluído"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O204"/>
  <sheetViews>
    <sheetView tabSelected="1" topLeftCell="D1" zoomScaleNormal="100" workbookViewId="0">
      <pane ySplit="1" topLeftCell="A7" activePane="bottomLeft" state="frozen"/>
      <selection pane="bottomLeft" activeCell="C1" sqref="C1"/>
    </sheetView>
  </sheetViews>
  <sheetFormatPr baseColWidth="8" defaultColWidth="8.7109375" defaultRowHeight="15"/>
  <cols>
    <col width="13" customWidth="1" style="41" min="1" max="1"/>
    <col width="16" customWidth="1" style="41" min="2" max="2"/>
    <col width="22" customWidth="1" style="41" min="3" max="3"/>
    <col width="28" customWidth="1" style="41" min="4" max="4"/>
    <col width="30" customWidth="1" style="41" min="5" max="5"/>
    <col width="13" customWidth="1" style="41" min="6" max="6"/>
    <col width="24" customWidth="1" style="41" min="7" max="7"/>
    <col width="22" customWidth="1" style="41" min="8" max="8"/>
    <col width="17" customWidth="1" style="41" min="9" max="9"/>
    <col width="13" customWidth="1" style="41" min="10" max="11"/>
    <col width="14" customWidth="1" style="41" min="12" max="12"/>
    <col width="16" customWidth="1" style="41" min="13" max="13"/>
    <col width="10" customWidth="1" style="41" min="14" max="14"/>
    <col width="22" customWidth="1" style="41" min="15" max="15"/>
  </cols>
  <sheetData>
    <row r="1" ht="22.35" customHeight="1" s="41">
      <c r="A1" s="1" t="inlineStr">
        <is>
          <t>ID Avaliação</t>
        </is>
      </c>
      <c r="B1" s="1" t="inlineStr">
        <is>
          <t>Data da avaliação</t>
        </is>
      </c>
      <c r="C1" s="1" t="inlineStr">
        <is>
          <t>Operação</t>
        </is>
      </c>
      <c r="D1" s="1" t="inlineStr">
        <is>
          <t>Processo avaliado</t>
        </is>
      </c>
      <c r="E1" s="1" t="inlineStr">
        <is>
          <t>Processo Monitorado</t>
        </is>
      </c>
      <c r="F1" s="1" t="inlineStr">
        <is>
          <t>Quantidade</t>
        </is>
      </c>
      <c r="G1" s="7" t="inlineStr">
        <is>
          <t>Foram feitas monitorias de qualidade?</t>
        </is>
      </c>
      <c r="H1" s="7" t="inlineStr">
        <is>
          <t>Como são feitas as monitorias?</t>
        </is>
      </c>
      <c r="I1" s="7" t="inlineStr">
        <is>
          <t>Conforme?</t>
        </is>
      </c>
      <c r="J1" s="7" t="inlineStr">
        <is>
          <t>Existência</t>
        </is>
      </c>
      <c r="K1" s="7" t="inlineStr">
        <is>
          <t>Abrangência</t>
        </is>
      </c>
      <c r="L1" s="7" t="inlineStr">
        <is>
          <t>Conformidade</t>
        </is>
      </c>
      <c r="M1" s="7" t="inlineStr">
        <is>
          <t>Score Qualidade</t>
        </is>
      </c>
      <c r="N1" s="7" t="inlineStr">
        <is>
          <t>Geral</t>
        </is>
      </c>
      <c r="O1" s="7" t="inlineStr">
        <is>
          <t>Observação</t>
        </is>
      </c>
    </row>
    <row r="2" hidden="1" ht="15" customHeight="1" s="41">
      <c r="A2" s="8">
        <f>IF(B2="","",ROW()-1)</f>
        <v/>
      </c>
      <c r="B2" s="9" t="n">
        <v>46247</v>
      </c>
      <c r="C2" s="10" t="inlineStr">
        <is>
          <t>Financeiro</t>
        </is>
      </c>
      <c r="D2" s="10" t="inlineStr">
        <is>
          <t>Admissão</t>
        </is>
      </c>
      <c r="E2" s="10" t="inlineStr">
        <is>
          <t>Admissão</t>
        </is>
      </c>
      <c r="F2" s="10" t="n">
        <v>1</v>
      </c>
      <c r="G2" s="10" t="inlineStr">
        <is>
          <t>SIM</t>
        </is>
      </c>
      <c r="H2" s="10" t="inlineStr">
        <is>
          <t>Amostral</t>
        </is>
      </c>
      <c r="I2" s="10" t="inlineStr">
        <is>
          <t>Conformidade</t>
        </is>
      </c>
      <c r="J2" s="8">
        <f>IF(G2="","",IF(G2="SIM",1,0))</f>
        <v/>
      </c>
      <c r="K2" s="8">
        <f>IF(H2="","",IF(H2="Integral",1,IF(H2="Amostral",0.5,IF(H2="Não realizada",0,""))))</f>
        <v/>
      </c>
      <c r="L2" s="8">
        <f>IF(I2="","",IF(I2="Conformidade",1,IF(I2="Não Conformidade",0,IF(I2="Não Conformidade Grave",-1,""))))</f>
        <v/>
      </c>
      <c r="M2" s="8">
        <f>IF(COUNTA(G2:I2)=0,"",ROUND(AVERAGE(J2:L2)*100,0))</f>
        <v/>
      </c>
      <c r="N2" s="8">
        <f>IFERROR(AVERAGEIF(C$2:C$201,C2,M$2:M$201),"N/A")</f>
        <v/>
      </c>
      <c r="O2" s="10" t="inlineStr">
        <is>
          <t>Linha de exemplo - substitua pelos dados reais</t>
        </is>
      </c>
    </row>
    <row r="3" hidden="1" ht="15" customHeight="1" s="41">
      <c r="A3" s="8">
        <f>IF(B3="","",ROW()-1)</f>
        <v/>
      </c>
      <c r="B3" s="50" t="n">
        <v>46180</v>
      </c>
      <c r="C3" s="10" t="inlineStr">
        <is>
          <t>Recursos Humanos</t>
        </is>
      </c>
      <c r="D3" s="10" t="inlineStr">
        <is>
          <t>Faturamento</t>
        </is>
      </c>
      <c r="E3" s="10" t="inlineStr">
        <is>
          <t>Faturamento</t>
        </is>
      </c>
      <c r="F3" s="10" t="n">
        <v>5</v>
      </c>
      <c r="G3" s="10" t="inlineStr">
        <is>
          <t>NÃO</t>
        </is>
      </c>
      <c r="H3" s="10" t="inlineStr">
        <is>
          <t>Não realizada</t>
        </is>
      </c>
      <c r="I3" s="10" t="inlineStr">
        <is>
          <t>Não Conformidade Grave</t>
        </is>
      </c>
      <c r="J3" s="8">
        <f>IF(G3="","",IF(G3="SIM",1,0))</f>
        <v/>
      </c>
      <c r="K3" s="8">
        <f>IF(H3="","",IF(H3="Integral",1,IF(H3="Amostral",0.5,IF(H3="Não realizada",0,""))))</f>
        <v/>
      </c>
      <c r="L3" s="8">
        <f>IF(I3="","",IF(I3="Conformidade",1,IF(I3="Não Conformidade",0,IF(I3="Não Conformidade Grave",-1,""))))</f>
        <v/>
      </c>
      <c r="M3" s="51">
        <f>IF(COUNTA(G3:I3)=0,"",ROUND(AVERAGE(J3:L3)*100,0))</f>
        <v/>
      </c>
      <c r="N3" s="51">
        <f>IFERROR(AVERAGEIF(C$2:C$201,C3,M$2:M$201),"N/A")</f>
        <v/>
      </c>
      <c r="O3" s="10" t="inlineStr">
        <is>
          <t>Monitoria ainda não implantada; necessário definir rotina e amostra.</t>
        </is>
      </c>
    </row>
    <row r="4" hidden="1" ht="15" customHeight="1" s="41">
      <c r="A4" s="8">
        <f>IF(B4="","",ROW()-1)</f>
        <v/>
      </c>
      <c r="B4" s="50" t="n">
        <v>46211</v>
      </c>
      <c r="C4" s="10" t="inlineStr">
        <is>
          <t>Financeiro</t>
        </is>
      </c>
      <c r="D4" s="10" t="inlineStr">
        <is>
          <t>Gestão de Contratos</t>
        </is>
      </c>
      <c r="E4" s="10" t="inlineStr">
        <is>
          <t>Gestão de Contratos</t>
        </is>
      </c>
      <c r="F4" s="10" t="n">
        <v>6</v>
      </c>
      <c r="G4" s="10" t="inlineStr">
        <is>
          <t>SIM</t>
        </is>
      </c>
      <c r="H4" s="10" t="inlineStr">
        <is>
          <t>Amostral</t>
        </is>
      </c>
      <c r="I4" s="10" t="inlineStr">
        <is>
          <t>Conformidade</t>
        </is>
      </c>
      <c r="J4" s="8">
        <f>IF(G4="","",IF(G4="SIM",1,0))</f>
        <v/>
      </c>
      <c r="K4" s="8">
        <f>IF(H4="","",IF(H4="Integral",1,IF(H4="Amostral",0.5,IF(H4="Não realizada",0,""))))</f>
        <v/>
      </c>
      <c r="L4" s="8">
        <f>IF(I4="","",IF(I4="Conformidade",1,IF(I4="Não Conformidade",0,IF(I4="Não Conformidade Grave",-1,""))))</f>
        <v/>
      </c>
      <c r="M4" s="51">
        <f>IF(COUNTA(G4:I4)=0,"",ROUND(AVERAGE(J4:L4)*100,0))</f>
        <v/>
      </c>
      <c r="N4" s="51">
        <f>IFERROR(AVERAGEIF(C$2:C$201,C4,M$2:M$201),"N/A")</f>
        <v/>
      </c>
      <c r="O4" s="10" t="inlineStr">
        <is>
          <t>Monitoria executada sem desvios relevantes.</t>
        </is>
      </c>
    </row>
    <row r="5" hidden="1" ht="15" customHeight="1" s="41">
      <c r="A5" s="8">
        <f>IF(B5="","",ROW()-1)</f>
        <v/>
      </c>
      <c r="B5" s="50" t="n">
        <v>46243</v>
      </c>
      <c r="C5" s="10" t="inlineStr">
        <is>
          <t>Atendimento</t>
        </is>
      </c>
      <c r="D5" s="10" t="inlineStr">
        <is>
          <t>Contas a Pagar</t>
        </is>
      </c>
      <c r="E5" s="10" t="inlineStr">
        <is>
          <t>Contas a Pagar</t>
        </is>
      </c>
      <c r="F5" s="10" t="n">
        <v>7</v>
      </c>
      <c r="G5" s="10" t="inlineStr">
        <is>
          <t>SIM</t>
        </is>
      </c>
      <c r="H5" s="10" t="inlineStr">
        <is>
          <t>Amostral</t>
        </is>
      </c>
      <c r="I5" s="10" t="inlineStr">
        <is>
          <t>Conformidade</t>
        </is>
      </c>
      <c r="J5" s="8">
        <f>IF(G5="","",IF(G5="SIM",1,0))</f>
        <v/>
      </c>
      <c r="K5" s="8">
        <f>IF(H5="","",IF(H5="Integral",1,IF(H5="Amostral",0.5,IF(H5="Não realizada",0,""))))</f>
        <v/>
      </c>
      <c r="L5" s="8">
        <f>IF(I5="","",IF(I5="Conformidade",1,IF(I5="Não Conformidade",0,IF(I5="Não Conformidade Grave",-1,""))))</f>
        <v/>
      </c>
      <c r="M5" s="51">
        <f>IF(COUNTA(G5:I5)=0,"",ROUND(AVERAGE(J5:L5)*100,0))</f>
        <v/>
      </c>
      <c r="N5" s="51">
        <f>IFERROR(AVERAGEIF(C$2:C$201,C5,M$2:M$201),"N/A")</f>
        <v/>
      </c>
      <c r="O5" s="10" t="inlineStr">
        <is>
          <t>Monitoria executada sem desvios relevantes.</t>
        </is>
      </c>
    </row>
    <row r="6" hidden="1" ht="15" customHeight="1" s="41">
      <c r="A6" s="8">
        <f>IF(B6="","",ROW()-1)</f>
        <v/>
      </c>
      <c r="B6" s="50" t="n">
        <v>46183</v>
      </c>
      <c r="C6" s="10" t="inlineStr">
        <is>
          <t>Tecnologia</t>
        </is>
      </c>
      <c r="D6" s="10" t="inlineStr">
        <is>
          <t>Gestão de Incidentes</t>
        </is>
      </c>
      <c r="E6" s="10" t="inlineStr">
        <is>
          <t>Gestão de Incidentes</t>
        </is>
      </c>
      <c r="F6" s="10" t="n">
        <v>8</v>
      </c>
      <c r="G6" s="10" t="inlineStr">
        <is>
          <t>SIM</t>
        </is>
      </c>
      <c r="H6" s="10" t="inlineStr">
        <is>
          <t>Integral</t>
        </is>
      </c>
      <c r="I6" s="10" t="inlineStr">
        <is>
          <t>Conformidade</t>
        </is>
      </c>
      <c r="J6" s="8">
        <f>IF(G6="","",IF(G6="SIM",1,0))</f>
        <v/>
      </c>
      <c r="K6" s="8">
        <f>IF(H6="","",IF(H6="Integral",1,IF(H6="Amostral",0.5,IF(H6="Não realizada",0,""))))</f>
        <v/>
      </c>
      <c r="L6" s="8">
        <f>IF(I6="","",IF(I6="Conformidade",1,IF(I6="Não Conformidade",0,IF(I6="Não Conformidade Grave",-1,""))))</f>
        <v/>
      </c>
      <c r="M6" s="51">
        <f>IF(COUNTA(G6:I6)=0,"",ROUND(AVERAGE(J6:L6)*100,0))</f>
        <v/>
      </c>
      <c r="N6" s="51">
        <f>IFERROR(AVERAGEIF(C$2:C$201,C6,M$2:M$201),"N/A")</f>
        <v/>
      </c>
      <c r="O6" s="10" t="inlineStr">
        <is>
          <t>Monitoria executada sem desvios relevantes.</t>
        </is>
      </c>
    </row>
    <row r="7" ht="15" customHeight="1" s="41">
      <c r="A7" s="8">
        <f>IF(B7="","",ROW()-1)</f>
        <v/>
      </c>
      <c r="B7" s="50" t="n">
        <v>46214</v>
      </c>
      <c r="C7" s="10" t="inlineStr">
        <is>
          <t>PROCESSOS</t>
        </is>
      </c>
      <c r="D7" s="10" t="inlineStr">
        <is>
          <t>Auditoria de Processos</t>
        </is>
      </c>
      <c r="E7" s="10" t="inlineStr">
        <is>
          <t>Auditoria de Processos</t>
        </is>
      </c>
      <c r="F7" s="10" t="n">
        <v>9</v>
      </c>
      <c r="G7" s="10" t="inlineStr">
        <is>
          <t>SIM</t>
        </is>
      </c>
      <c r="H7" s="10" t="inlineStr">
        <is>
          <t>Amostral</t>
        </is>
      </c>
      <c r="I7" s="10" t="inlineStr">
        <is>
          <t>Não Conformidade</t>
        </is>
      </c>
      <c r="J7" s="8">
        <f>IF(G7="","",IF(G7="SIM",1,0))</f>
        <v/>
      </c>
      <c r="K7" s="8">
        <f>IF(H7="","",IF(H7="Integral",1,IF(H7="Amostral",0.5,IF(H7="Não realizada",0,""))))</f>
        <v/>
      </c>
      <c r="L7" s="8">
        <f>IF(I7="","",IF(I7="Conformidade",1,IF(I7="Não Conformidade",0,IF(I7="Não Conformidade Grave",-1,""))))</f>
        <v/>
      </c>
      <c r="M7" s="51">
        <f>IF(COUNTA(G7:I7)=0,"",ROUND(AVERAGE(J7:L7)*100,0))</f>
        <v/>
      </c>
      <c r="N7" s="51">
        <f>IFERROR(AVERAGEIF(C$2:C$201,C7,M$2:M$201),"N/A")</f>
        <v/>
      </c>
      <c r="O7" s="10" t="inlineStr">
        <is>
          <t>Monitoria identificou desvios que exigem tratamento.</t>
        </is>
      </c>
    </row>
    <row r="8" hidden="1" ht="15" customHeight="1" s="41">
      <c r="A8" s="8">
        <f>IF(B8="","",ROW()-1)</f>
        <v/>
      </c>
      <c r="B8" s="50" t="n">
        <v>46246</v>
      </c>
      <c r="C8" s="10" t="inlineStr">
        <is>
          <t>Qualidade</t>
        </is>
      </c>
      <c r="D8" s="10" t="inlineStr">
        <is>
          <t>Faturamento</t>
        </is>
      </c>
      <c r="E8" s="10" t="inlineStr">
        <is>
          <t>Faturamento</t>
        </is>
      </c>
      <c r="F8" s="10" t="n">
        <v>10</v>
      </c>
      <c r="G8" s="10" t="inlineStr">
        <is>
          <t>SIM</t>
        </is>
      </c>
      <c r="H8" s="10" t="inlineStr">
        <is>
          <t>Amostral</t>
        </is>
      </c>
      <c r="I8" s="10" t="inlineStr">
        <is>
          <t>Conformidade</t>
        </is>
      </c>
      <c r="J8" s="8">
        <f>IF(G8="","",IF(G8="SIM",1,0))</f>
        <v/>
      </c>
      <c r="K8" s="8">
        <f>IF(H8="","",IF(H8="Integral",1,IF(H8="Amostral",0.5,IF(H8="Não realizada",0,""))))</f>
        <v/>
      </c>
      <c r="L8" s="8">
        <f>IF(I8="","",IF(I8="Conformidade",1,IF(I8="Não Conformidade",0,IF(I8="Não Conformidade Grave",-1,""))))</f>
        <v/>
      </c>
      <c r="M8" s="51">
        <f>IF(COUNTA(G8:I8)=0,"",ROUND(AVERAGE(J8:L8)*100,0))</f>
        <v/>
      </c>
      <c r="N8" s="51">
        <f>IFERROR(AVERAGEIF(C$2:C$201,C8,M$2:M$201),"N/A")</f>
        <v/>
      </c>
      <c r="O8" s="10" t="inlineStr">
        <is>
          <t>Monitoria executada sem desvios relevantes.</t>
        </is>
      </c>
    </row>
    <row r="9" hidden="1" ht="15" customHeight="1" s="41">
      <c r="A9" s="8">
        <f>IF(B9="","",ROW()-1)</f>
        <v/>
      </c>
      <c r="B9" s="50" t="n">
        <v>46186</v>
      </c>
      <c r="C9" s="10" t="inlineStr">
        <is>
          <t>Recursos Humanos</t>
        </is>
      </c>
      <c r="D9" s="10" t="inlineStr">
        <is>
          <t>Gestão de Contratos</t>
        </is>
      </c>
      <c r="E9" s="10" t="inlineStr">
        <is>
          <t>Gestão de Contratos</t>
        </is>
      </c>
      <c r="F9" s="10" t="n">
        <v>11</v>
      </c>
      <c r="G9" s="10" t="inlineStr">
        <is>
          <t>SIM</t>
        </is>
      </c>
      <c r="H9" s="10" t="inlineStr">
        <is>
          <t>Integral</t>
        </is>
      </c>
      <c r="I9" s="10" t="inlineStr">
        <is>
          <t>Conformidade</t>
        </is>
      </c>
      <c r="J9" s="8">
        <f>IF(G9="","",IF(G9="SIM",1,0))</f>
        <v/>
      </c>
      <c r="K9" s="8">
        <f>IF(H9="","",IF(H9="Integral",1,IF(H9="Amostral",0.5,IF(H9="Não realizada",0,""))))</f>
        <v/>
      </c>
      <c r="L9" s="8">
        <f>IF(I9="","",IF(I9="Conformidade",1,IF(I9="Não Conformidade",0,IF(I9="Não Conformidade Grave",-1,""))))</f>
        <v/>
      </c>
      <c r="M9" s="51">
        <f>IF(COUNTA(G9:I9)=0,"",ROUND(AVERAGE(J9:L9)*100,0))</f>
        <v/>
      </c>
      <c r="N9" s="51">
        <f>IFERROR(AVERAGEIF(C$2:C$201,C9,M$2:M$201),"N/A")</f>
        <v/>
      </c>
      <c r="O9" s="10" t="inlineStr">
        <is>
          <t>Monitoria executada sem desvios relevantes.</t>
        </is>
      </c>
    </row>
    <row r="10" hidden="1" ht="15" customHeight="1" s="41">
      <c r="A10" s="8">
        <f>IF(B10="","",ROW()-1)</f>
        <v/>
      </c>
      <c r="B10" s="50" t="n">
        <v>46217</v>
      </c>
      <c r="C10" s="10" t="inlineStr">
        <is>
          <t>Financeiro</t>
        </is>
      </c>
      <c r="D10" s="10" t="inlineStr">
        <is>
          <t>Contas a Pagar</t>
        </is>
      </c>
      <c r="E10" s="10" t="inlineStr">
        <is>
          <t>Contas a Pagar</t>
        </is>
      </c>
      <c r="F10" s="10" t="n">
        <v>12</v>
      </c>
      <c r="G10" s="10" t="inlineStr">
        <is>
          <t>SIM</t>
        </is>
      </c>
      <c r="H10" s="10" t="inlineStr">
        <is>
          <t>Amostral</t>
        </is>
      </c>
      <c r="I10" s="10" t="inlineStr">
        <is>
          <t>Conformidade</t>
        </is>
      </c>
      <c r="J10" s="8">
        <f>IF(G10="","",IF(G10="SIM",1,0))</f>
        <v/>
      </c>
      <c r="K10" s="8">
        <f>IF(H10="","",IF(H10="Integral",1,IF(H10="Amostral",0.5,IF(H10="Não realizada",0,""))))</f>
        <v/>
      </c>
      <c r="L10" s="8">
        <f>IF(I10="","",IF(I10="Conformidade",1,IF(I10="Não Conformidade",0,IF(I10="Não Conformidade Grave",-1,""))))</f>
        <v/>
      </c>
      <c r="M10" s="51">
        <f>IF(COUNTA(G10:I10)=0,"",ROUND(AVERAGE(J10:L10)*100,0))</f>
        <v/>
      </c>
      <c r="N10" s="51">
        <f>IFERROR(AVERAGEIF(C$2:C$201,C10,M$2:M$201),"N/A")</f>
        <v/>
      </c>
      <c r="O10" s="10" t="inlineStr">
        <is>
          <t>Monitoria executada sem desvios relevantes.</t>
        </is>
      </c>
    </row>
    <row r="11" hidden="1" ht="15" customHeight="1" s="41">
      <c r="A11" s="8">
        <f>IF(B11="","",ROW()-1)</f>
        <v/>
      </c>
      <c r="B11" s="50" t="n">
        <v>46249</v>
      </c>
      <c r="C11" s="10" t="inlineStr">
        <is>
          <t>Atendimento</t>
        </is>
      </c>
      <c r="D11" s="10" t="inlineStr">
        <is>
          <t>Gestão de Incidentes</t>
        </is>
      </c>
      <c r="E11" s="10" t="inlineStr">
        <is>
          <t>Gestão de Incidentes</t>
        </is>
      </c>
      <c r="F11" s="10" t="n">
        <v>13</v>
      </c>
      <c r="G11" s="10" t="inlineStr">
        <is>
          <t>NÃO</t>
        </is>
      </c>
      <c r="H11" s="10" t="inlineStr">
        <is>
          <t>Não realizada</t>
        </is>
      </c>
      <c r="I11" s="10" t="inlineStr">
        <is>
          <t>Não Conformidade</t>
        </is>
      </c>
      <c r="J11" s="8">
        <f>IF(G11="","",IF(G11="SIM",1,0))</f>
        <v/>
      </c>
      <c r="K11" s="8">
        <f>IF(H11="","",IF(H11="Integral",1,IF(H11="Amostral",0.5,IF(H11="Não realizada",0,""))))</f>
        <v/>
      </c>
      <c r="L11" s="8">
        <f>IF(I11="","",IF(I11="Conformidade",1,IF(I11="Não Conformidade",0,IF(I11="Não Conformidade Grave",-1,""))))</f>
        <v/>
      </c>
      <c r="M11" s="51">
        <f>IF(COUNTA(G11:I11)=0,"",ROUND(AVERAGE(J11:L11)*100,0))</f>
        <v/>
      </c>
      <c r="N11" s="51">
        <f>IFERROR(AVERAGEIF(C$2:C$201,C11,M$2:M$201),"N/A")</f>
        <v/>
      </c>
      <c r="O11" s="10" t="inlineStr">
        <is>
          <t>Monitoria ainda não implantada; necessário definir rotina e amostra.</t>
        </is>
      </c>
    </row>
    <row r="12" hidden="1" ht="15" customHeight="1" s="41">
      <c r="A12" s="8">
        <f>IF(B12="","",ROW()-1)</f>
        <v/>
      </c>
      <c r="B12" s="50" t="n">
        <v>46189</v>
      </c>
      <c r="C12" s="10" t="inlineStr">
        <is>
          <t>Tecnologia</t>
        </is>
      </c>
      <c r="D12" s="10" t="inlineStr">
        <is>
          <t>Auditoria de Processos</t>
        </is>
      </c>
      <c r="E12" s="10" t="inlineStr">
        <is>
          <t>Auditoria de Processos</t>
        </is>
      </c>
      <c r="F12" s="10" t="n">
        <v>14</v>
      </c>
      <c r="G12" s="10" t="inlineStr">
        <is>
          <t>SIM</t>
        </is>
      </c>
      <c r="H12" s="10" t="inlineStr">
        <is>
          <t>Integral</t>
        </is>
      </c>
      <c r="I12" s="10" t="inlineStr">
        <is>
          <t>Conformidade</t>
        </is>
      </c>
      <c r="J12" s="8">
        <f>IF(G12="","",IF(G12="SIM",1,0))</f>
        <v/>
      </c>
      <c r="K12" s="8">
        <f>IF(H12="","",IF(H12="Integral",1,IF(H12="Amostral",0.5,IF(H12="Não realizada",0,""))))</f>
        <v/>
      </c>
      <c r="L12" s="8">
        <f>IF(I12="","",IF(I12="Conformidade",1,IF(I12="Não Conformidade",0,IF(I12="Não Conformidade Grave",-1,""))))</f>
        <v/>
      </c>
      <c r="M12" s="51">
        <f>IF(COUNTA(G12:I12)=0,"",ROUND(AVERAGE(J12:L12)*100,0))</f>
        <v/>
      </c>
      <c r="N12" s="51">
        <f>IFERROR(AVERAGEIF(C$2:C$201,C12,M$2:M$201),"N/A")</f>
        <v/>
      </c>
      <c r="O12" s="10" t="inlineStr">
        <is>
          <t>Monitoria executada sem desvios relevantes.</t>
        </is>
      </c>
    </row>
    <row r="13" ht="15" customHeight="1" s="41">
      <c r="A13" s="8">
        <f>IF(B13="","",ROW()-1)</f>
        <v/>
      </c>
      <c r="B13" s="50" t="n">
        <v>46220</v>
      </c>
      <c r="C13" s="10" t="inlineStr">
        <is>
          <t>PROCESSOS</t>
        </is>
      </c>
      <c r="D13" s="10" t="inlineStr">
        <is>
          <t>Faturamento</t>
        </is>
      </c>
      <c r="E13" s="10" t="inlineStr">
        <is>
          <t>Faturamento</t>
        </is>
      </c>
      <c r="F13" s="10" t="n">
        <v>15</v>
      </c>
      <c r="G13" s="10" t="inlineStr">
        <is>
          <t>SIM</t>
        </is>
      </c>
      <c r="H13" s="10" t="inlineStr">
        <is>
          <t>Amostral</t>
        </is>
      </c>
      <c r="I13" s="10" t="inlineStr">
        <is>
          <t>Conformidade</t>
        </is>
      </c>
      <c r="J13" s="8">
        <f>IF(G13="","",IF(G13="SIM",1,0))</f>
        <v/>
      </c>
      <c r="K13" s="8">
        <f>IF(H13="","",IF(H13="Integral",1,IF(H13="Amostral",0.5,IF(H13="Não realizada",0,""))))</f>
        <v/>
      </c>
      <c r="L13" s="8">
        <f>IF(I13="","",IF(I13="Conformidade",1,IF(I13="Não Conformidade",0,IF(I13="Não Conformidade Grave",-1,""))))</f>
        <v/>
      </c>
      <c r="M13" s="51">
        <f>IF(COUNTA(G13:I13)=0,"",ROUND(AVERAGE(J13:L13)*100,0))</f>
        <v/>
      </c>
      <c r="N13" s="51">
        <f>IFERROR(AVERAGEIF(C$2:C$201,C13,M$2:M$201),"N/A")</f>
        <v/>
      </c>
      <c r="O13" s="10" t="inlineStr">
        <is>
          <t>Monitoria executada sem desvios relevantes.</t>
        </is>
      </c>
    </row>
    <row r="14" hidden="1" ht="15" customHeight="1" s="41">
      <c r="A14" s="8">
        <f>IF(B14="","",ROW()-1)</f>
        <v/>
      </c>
      <c r="B14" s="50" t="n">
        <v>46252</v>
      </c>
      <c r="C14" s="10" t="inlineStr">
        <is>
          <t>Qualidade</t>
        </is>
      </c>
      <c r="D14" s="10" t="inlineStr">
        <is>
          <t>Gestão de Contratos</t>
        </is>
      </c>
      <c r="E14" s="10" t="inlineStr">
        <is>
          <t>Gestão de Contratos</t>
        </is>
      </c>
      <c r="F14" s="10" t="n">
        <v>16</v>
      </c>
      <c r="G14" s="10" t="inlineStr">
        <is>
          <t>SIM</t>
        </is>
      </c>
      <c r="H14" s="10" t="inlineStr">
        <is>
          <t>Amostral</t>
        </is>
      </c>
      <c r="I14" s="10" t="inlineStr">
        <is>
          <t>Não Conformidade Grave</t>
        </is>
      </c>
      <c r="J14" s="8">
        <f>IF(G14="","",IF(G14="SIM",1,0))</f>
        <v/>
      </c>
      <c r="K14" s="8">
        <f>IF(H14="","",IF(H14="Integral",1,IF(H14="Amostral",0.5,IF(H14="Não realizada",0,""))))</f>
        <v/>
      </c>
      <c r="L14" s="8">
        <f>IF(I14="","",IF(I14="Conformidade",1,IF(I14="Não Conformidade",0,IF(I14="Não Conformidade Grave",-1,""))))</f>
        <v/>
      </c>
      <c r="M14" s="51">
        <f>IF(COUNTA(G14:I14)=0,"",ROUND(AVERAGE(J14:L14)*100,0))</f>
        <v/>
      </c>
      <c r="N14" s="51">
        <f>IFERROR(AVERAGEIF(C$2:C$201,C14,M$2:M$201),"N/A")</f>
        <v/>
      </c>
      <c r="O14" s="10" t="inlineStr">
        <is>
          <t>Monitoria identificou desvios que exigem tratamento.</t>
        </is>
      </c>
    </row>
    <row r="15" hidden="1" ht="15" customHeight="1" s="41">
      <c r="A15" s="8">
        <f>IF(B15="","",ROW()-1)</f>
        <v/>
      </c>
      <c r="B15" s="50" t="n">
        <v>46192</v>
      </c>
      <c r="C15" s="10" t="inlineStr">
        <is>
          <t>Recursos Humanos</t>
        </is>
      </c>
      <c r="D15" s="10" t="inlineStr">
        <is>
          <t>Contas a Pagar</t>
        </is>
      </c>
      <c r="E15" s="10" t="inlineStr">
        <is>
          <t>Contas a Pagar</t>
        </is>
      </c>
      <c r="F15" s="10" t="n">
        <v>17</v>
      </c>
      <c r="G15" s="10" t="inlineStr">
        <is>
          <t>SIM</t>
        </is>
      </c>
      <c r="H15" s="10" t="inlineStr">
        <is>
          <t>Integral</t>
        </is>
      </c>
      <c r="I15" s="10" t="inlineStr">
        <is>
          <t>Não Conformidade</t>
        </is>
      </c>
      <c r="J15" s="8">
        <f>IF(G15="","",IF(G15="SIM",1,0))</f>
        <v/>
      </c>
      <c r="K15" s="8">
        <f>IF(H15="","",IF(H15="Integral",1,IF(H15="Amostral",0.5,IF(H15="Não realizada",0,""))))</f>
        <v/>
      </c>
      <c r="L15" s="8">
        <f>IF(I15="","",IF(I15="Conformidade",1,IF(I15="Não Conformidade",0,IF(I15="Não Conformidade Grave",-1,""))))</f>
        <v/>
      </c>
      <c r="M15" s="51">
        <f>IF(COUNTA(G15:I15)=0,"",ROUND(AVERAGE(J15:L15)*100,0))</f>
        <v/>
      </c>
      <c r="N15" s="51">
        <f>IFERROR(AVERAGEIF(C$2:C$201,C15,M$2:M$201),"N/A")</f>
        <v/>
      </c>
      <c r="O15" s="10" t="inlineStr">
        <is>
          <t>Monitoria identificou desvios que exigem tratamento.</t>
        </is>
      </c>
    </row>
    <row r="16" hidden="1" ht="15" customHeight="1" s="41">
      <c r="A16" s="8">
        <f>IF(B16="","",ROW()-1)</f>
        <v/>
      </c>
      <c r="B16" s="50" t="n">
        <v>46223</v>
      </c>
      <c r="C16" s="10" t="inlineStr">
        <is>
          <t>Financeiro</t>
        </is>
      </c>
      <c r="D16" s="10" t="inlineStr">
        <is>
          <t>Gestão de Incidentes</t>
        </is>
      </c>
      <c r="E16" s="10" t="inlineStr">
        <is>
          <t>Gestão de Incidentes</t>
        </is>
      </c>
      <c r="F16" s="10" t="n">
        <v>18</v>
      </c>
      <c r="G16" s="10" t="inlineStr">
        <is>
          <t>SIM</t>
        </is>
      </c>
      <c r="H16" s="10" t="inlineStr">
        <is>
          <t>Amostral</t>
        </is>
      </c>
      <c r="I16" s="10" t="inlineStr">
        <is>
          <t>Conformidade</t>
        </is>
      </c>
      <c r="J16" s="8">
        <f>IF(G16="","",IF(G16="SIM",1,0))</f>
        <v/>
      </c>
      <c r="K16" s="8">
        <f>IF(H16="","",IF(H16="Integral",1,IF(H16="Amostral",0.5,IF(H16="Não realizada",0,""))))</f>
        <v/>
      </c>
      <c r="L16" s="8">
        <f>IF(I16="","",IF(I16="Conformidade",1,IF(I16="Não Conformidade",0,IF(I16="Não Conformidade Grave",-1,""))))</f>
        <v/>
      </c>
      <c r="M16" s="51">
        <f>IF(COUNTA(G16:I16)=0,"",ROUND(AVERAGE(J16:L16)*100,0))</f>
        <v/>
      </c>
      <c r="N16" s="51">
        <f>IFERROR(AVERAGEIF(C$2:C$201,C16,M$2:M$201),"N/A")</f>
        <v/>
      </c>
      <c r="O16" s="10" t="inlineStr">
        <is>
          <t>Monitoria executada sem desvios relevantes.</t>
        </is>
      </c>
    </row>
    <row r="17" hidden="1" ht="15" customHeight="1" s="41">
      <c r="A17" s="8">
        <f>IF(B17="","",ROW()-1)</f>
        <v/>
      </c>
      <c r="B17" s="50" t="n">
        <v>46255</v>
      </c>
      <c r="C17" s="10" t="inlineStr">
        <is>
          <t>Atendimento</t>
        </is>
      </c>
      <c r="D17" s="10" t="inlineStr">
        <is>
          <t>Auditoria de Processos</t>
        </is>
      </c>
      <c r="E17" s="10" t="inlineStr">
        <is>
          <t>Auditoria de Processos</t>
        </is>
      </c>
      <c r="F17" s="10" t="n">
        <v>19</v>
      </c>
      <c r="G17" s="10" t="inlineStr">
        <is>
          <t>SIM</t>
        </is>
      </c>
      <c r="H17" s="10" t="inlineStr">
        <is>
          <t>Amostral</t>
        </is>
      </c>
      <c r="I17" s="10" t="inlineStr">
        <is>
          <t>Conformidade</t>
        </is>
      </c>
      <c r="J17" s="8">
        <f>IF(G17="","",IF(G17="SIM",1,0))</f>
        <v/>
      </c>
      <c r="K17" s="8">
        <f>IF(H17="","",IF(H17="Integral",1,IF(H17="Amostral",0.5,IF(H17="Não realizada",0,""))))</f>
        <v/>
      </c>
      <c r="L17" s="8">
        <f>IF(I17="","",IF(I17="Conformidade",1,IF(I17="Não Conformidade",0,IF(I17="Não Conformidade Grave",-1,""))))</f>
        <v/>
      </c>
      <c r="M17" s="51">
        <f>IF(COUNTA(G17:I17)=0,"",ROUND(AVERAGE(J17:L17)*100,0))</f>
        <v/>
      </c>
      <c r="N17" s="51">
        <f>IFERROR(AVERAGEIF(C$2:C$201,C17,M$2:M$201),"N/A")</f>
        <v/>
      </c>
      <c r="O17" s="10" t="inlineStr">
        <is>
          <t>Monitoria executada sem desvios relevantes.</t>
        </is>
      </c>
    </row>
    <row r="18" hidden="1" ht="15" customHeight="1" s="41">
      <c r="A18" s="8">
        <f>IF(B18="","",ROW()-1)</f>
        <v/>
      </c>
      <c r="B18" s="50" t="n">
        <v>46195</v>
      </c>
      <c r="C18" s="10" t="inlineStr">
        <is>
          <t>Tecnologia</t>
        </is>
      </c>
      <c r="D18" s="10" t="inlineStr">
        <is>
          <t>Faturamento</t>
        </is>
      </c>
      <c r="E18" s="10" t="inlineStr">
        <is>
          <t>Faturamento</t>
        </is>
      </c>
      <c r="F18" s="10" t="n">
        <v>20</v>
      </c>
      <c r="G18" s="10" t="inlineStr">
        <is>
          <t>NÃO</t>
        </is>
      </c>
      <c r="H18" s="10" t="inlineStr">
        <is>
          <t>Não realizada</t>
        </is>
      </c>
      <c r="I18" s="10" t="inlineStr">
        <is>
          <t>Conformidade</t>
        </is>
      </c>
      <c r="J18" s="8">
        <f>IF(G18="","",IF(G18="SIM",1,0))</f>
        <v/>
      </c>
      <c r="K18" s="8">
        <f>IF(H18="","",IF(H18="Integral",1,IF(H18="Amostral",0.5,IF(H18="Não realizada",0,""))))</f>
        <v/>
      </c>
      <c r="L18" s="8">
        <f>IF(I18="","",IF(I18="Conformidade",1,IF(I18="Não Conformidade",0,IF(I18="Não Conformidade Grave",-1,""))))</f>
        <v/>
      </c>
      <c r="M18" s="51">
        <f>IF(COUNTA(G18:I18)=0,"",ROUND(AVERAGE(J18:L18)*100,0))</f>
        <v/>
      </c>
      <c r="N18" s="51">
        <f>IFERROR(AVERAGEIF(C$2:C$201,C18,M$2:M$201),"N/A")</f>
        <v/>
      </c>
      <c r="O18" s="10" t="inlineStr">
        <is>
          <t>Monitoria ainda não implantada; necessário definir rotina e amostra.</t>
        </is>
      </c>
    </row>
    <row r="19" ht="15" customHeight="1" s="41">
      <c r="A19" s="8">
        <f>IF(B19="","",ROW()-1)</f>
        <v/>
      </c>
      <c r="B19" s="50" t="n">
        <v>46226</v>
      </c>
      <c r="C19" s="10" t="inlineStr">
        <is>
          <t>PROCESSOS</t>
        </is>
      </c>
      <c r="D19" s="10" t="inlineStr">
        <is>
          <t>Gestão de Contratos</t>
        </is>
      </c>
      <c r="E19" s="10" t="inlineStr">
        <is>
          <t>Gestão de Contratos</t>
        </is>
      </c>
      <c r="F19" s="10" t="n">
        <v>21</v>
      </c>
      <c r="G19" s="10" t="inlineStr">
        <is>
          <t>NÃO</t>
        </is>
      </c>
      <c r="H19" s="10" t="inlineStr">
        <is>
          <t>Não realizada</t>
        </is>
      </c>
      <c r="I19" s="10" t="inlineStr">
        <is>
          <t>Não Conformidade</t>
        </is>
      </c>
      <c r="J19" s="8">
        <f>IF(G19="","",IF(G19="SIM",1,0))</f>
        <v/>
      </c>
      <c r="K19" s="8">
        <f>IF(H19="","",IF(H19="Integral",1,IF(H19="Amostral",0.5,IF(H19="Não realizada",0,""))))</f>
        <v/>
      </c>
      <c r="L19" s="8">
        <f>IF(I19="","",IF(I19="Conformidade",1,IF(I19="Não Conformidade",0,IF(I19="Não Conformidade Grave",-1,""))))</f>
        <v/>
      </c>
      <c r="M19" s="51">
        <f>IF(COUNTA(G19:I19)=0,"",ROUND(AVERAGE(J19:L19)*100,0))</f>
        <v/>
      </c>
      <c r="N19" s="51">
        <f>IFERROR(AVERAGEIF(C$2:C$201,C19,M$2:M$201),"N/A")</f>
        <v/>
      </c>
      <c r="O19" s="10" t="inlineStr">
        <is>
          <t>Monitoria ainda não implantada; necessário definir rotina e amostra.</t>
        </is>
      </c>
    </row>
    <row r="20" hidden="1" ht="15" customHeight="1" s="41">
      <c r="A20" s="8">
        <f>IF(B20="","",ROW()-1)</f>
        <v/>
      </c>
      <c r="B20" s="50" t="n">
        <v>46258</v>
      </c>
      <c r="C20" s="10" t="inlineStr">
        <is>
          <t>Qualidade</t>
        </is>
      </c>
      <c r="D20" s="10" t="inlineStr">
        <is>
          <t>Contas a Pagar</t>
        </is>
      </c>
      <c r="E20" s="10" t="inlineStr">
        <is>
          <t>Contas a Pagar</t>
        </is>
      </c>
      <c r="F20" s="10" t="n">
        <v>22</v>
      </c>
      <c r="G20" s="10" t="inlineStr">
        <is>
          <t>SIM</t>
        </is>
      </c>
      <c r="H20" s="10" t="inlineStr">
        <is>
          <t>Amostral</t>
        </is>
      </c>
      <c r="I20" s="10" t="inlineStr">
        <is>
          <t>Conformidade</t>
        </is>
      </c>
      <c r="J20" s="8">
        <f>IF(G20="","",IF(G20="SIM",1,0))</f>
        <v/>
      </c>
      <c r="K20" s="8">
        <f>IF(H20="","",IF(H20="Integral",1,IF(H20="Amostral",0.5,IF(H20="Não realizada",0,""))))</f>
        <v/>
      </c>
      <c r="L20" s="8">
        <f>IF(I20="","",IF(I20="Conformidade",1,IF(I20="Não Conformidade",0,IF(I20="Não Conformidade Grave",-1,""))))</f>
        <v/>
      </c>
      <c r="M20" s="51">
        <f>IF(COUNTA(G20:I20)=0,"",ROUND(AVERAGE(J20:L20)*100,0))</f>
        <v/>
      </c>
      <c r="N20" s="51">
        <f>IFERROR(AVERAGEIF(C$2:C$201,C20,M$2:M$201),"N/A")</f>
        <v/>
      </c>
      <c r="O20" s="10" t="inlineStr">
        <is>
          <t>Monitoria executada sem desvios relevantes.</t>
        </is>
      </c>
    </row>
    <row r="21" hidden="1" ht="15" customHeight="1" s="41">
      <c r="A21" s="8">
        <f>IF(B21="","",ROW()-1)</f>
        <v/>
      </c>
      <c r="B21" s="50" t="n">
        <v>46180</v>
      </c>
      <c r="C21" s="10" t="inlineStr">
        <is>
          <t>Recursos Humanos</t>
        </is>
      </c>
      <c r="D21" s="10" t="inlineStr">
        <is>
          <t>Gestão de Incidentes</t>
        </is>
      </c>
      <c r="E21" s="10" t="inlineStr">
        <is>
          <t>Gestão de Incidentes</t>
        </is>
      </c>
      <c r="F21" s="10" t="n">
        <v>23</v>
      </c>
      <c r="G21" s="10" t="inlineStr">
        <is>
          <t>SIM</t>
        </is>
      </c>
      <c r="H21" s="10" t="inlineStr">
        <is>
          <t>Integral</t>
        </is>
      </c>
      <c r="I21" s="10" t="inlineStr">
        <is>
          <t>Conformidade</t>
        </is>
      </c>
      <c r="J21" s="8">
        <f>IF(G21="","",IF(G21="SIM",1,0))</f>
        <v/>
      </c>
      <c r="K21" s="8">
        <f>IF(H21="","",IF(H21="Integral",1,IF(H21="Amostral",0.5,IF(H21="Não realizada",0,""))))</f>
        <v/>
      </c>
      <c r="L21" s="8">
        <f>IF(I21="","",IF(I21="Conformidade",1,IF(I21="Não Conformidade",0,IF(I21="Não Conformidade Grave",-1,""))))</f>
        <v/>
      </c>
      <c r="M21" s="51">
        <f>IF(COUNTA(G21:I21)=0,"",ROUND(AVERAGE(J21:L21)*100,0))</f>
        <v/>
      </c>
      <c r="N21" s="51">
        <f>IFERROR(AVERAGEIF(C$2:C$201,C21,M$2:M$201),"N/A")</f>
        <v/>
      </c>
      <c r="O21" s="10" t="inlineStr">
        <is>
          <t>Monitoria executada sem desvios relevantes.</t>
        </is>
      </c>
    </row>
    <row r="22" hidden="1" ht="15" customHeight="1" s="41">
      <c r="A22" s="8">
        <f>IF(B22="","",ROW()-1)</f>
        <v/>
      </c>
      <c r="B22" s="50" t="n">
        <v>46211</v>
      </c>
      <c r="C22" s="10" t="inlineStr">
        <is>
          <t>Financeiro</t>
        </is>
      </c>
      <c r="D22" s="10" t="inlineStr">
        <is>
          <t>Auditoria de Processos</t>
        </is>
      </c>
      <c r="E22" s="10" t="inlineStr">
        <is>
          <t>Auditoria de Processos</t>
        </is>
      </c>
      <c r="F22" s="10" t="n">
        <v>24</v>
      </c>
      <c r="G22" s="10" t="inlineStr">
        <is>
          <t>SIM</t>
        </is>
      </c>
      <c r="H22" s="10" t="inlineStr">
        <is>
          <t>Amostral</t>
        </is>
      </c>
      <c r="I22" s="10" t="inlineStr">
        <is>
          <t>Conformidade</t>
        </is>
      </c>
      <c r="J22" s="8">
        <f>IF(G22="","",IF(G22="SIM",1,0))</f>
        <v/>
      </c>
      <c r="K22" s="8">
        <f>IF(H22="","",IF(H22="Integral",1,IF(H22="Amostral",0.5,IF(H22="Não realizada",0,""))))</f>
        <v/>
      </c>
      <c r="L22" s="8">
        <f>IF(I22="","",IF(I22="Conformidade",1,IF(I22="Não Conformidade",0,IF(I22="Não Conformidade Grave",-1,""))))</f>
        <v/>
      </c>
      <c r="M22" s="51">
        <f>IF(COUNTA(G22:I22)=0,"",ROUND(AVERAGE(J22:L22)*100,0))</f>
        <v/>
      </c>
      <c r="N22" s="51">
        <f>IFERROR(AVERAGEIF(C$2:C$201,C22,M$2:M$201),"N/A")</f>
        <v/>
      </c>
      <c r="O22" s="10" t="inlineStr">
        <is>
          <t>Monitoria executada sem desvios relevantes.</t>
        </is>
      </c>
    </row>
    <row r="23" hidden="1" ht="15" customHeight="1" s="41">
      <c r="A23" s="8">
        <f>IF(B23="","",ROW()-1)</f>
        <v/>
      </c>
      <c r="B23" s="50" t="n">
        <v>46243</v>
      </c>
      <c r="C23" s="10" t="inlineStr">
        <is>
          <t>Atendimento</t>
        </is>
      </c>
      <c r="D23" s="10" t="inlineStr">
        <is>
          <t>Faturamento</t>
        </is>
      </c>
      <c r="E23" s="10" t="inlineStr">
        <is>
          <t>Faturamento</t>
        </is>
      </c>
      <c r="F23" s="10" t="n">
        <v>25</v>
      </c>
      <c r="G23" s="10" t="inlineStr">
        <is>
          <t>SIM</t>
        </is>
      </c>
      <c r="H23" s="10" t="inlineStr">
        <is>
          <t>Amostral</t>
        </is>
      </c>
      <c r="I23" s="10" t="inlineStr">
        <is>
          <t>Não Conformidade</t>
        </is>
      </c>
      <c r="J23" s="8">
        <f>IF(G23="","",IF(G23="SIM",1,0))</f>
        <v/>
      </c>
      <c r="K23" s="8">
        <f>IF(H23="","",IF(H23="Integral",1,IF(H23="Amostral",0.5,IF(H23="Não realizada",0,""))))</f>
        <v/>
      </c>
      <c r="L23" s="8">
        <f>IF(I23="","",IF(I23="Conformidade",1,IF(I23="Não Conformidade",0,IF(I23="Não Conformidade Grave",-1,""))))</f>
        <v/>
      </c>
      <c r="M23" s="51">
        <f>IF(COUNTA(G23:I23)=0,"",ROUND(AVERAGE(J23:L23)*100,0))</f>
        <v/>
      </c>
      <c r="N23" s="51">
        <f>IFERROR(AVERAGEIF(C$2:C$201,C23,M$2:M$201),"N/A")</f>
        <v/>
      </c>
      <c r="O23" s="10" t="inlineStr">
        <is>
          <t>Monitoria identificou desvios que exigem tratamento.</t>
        </is>
      </c>
    </row>
    <row r="24" hidden="1" ht="15" customHeight="1" s="41">
      <c r="A24" s="8">
        <f>IF(B24="","",ROW()-1)</f>
        <v/>
      </c>
      <c r="B24" s="50" t="n">
        <v>46183</v>
      </c>
      <c r="C24" s="10" t="inlineStr">
        <is>
          <t>Tecnologia</t>
        </is>
      </c>
      <c r="D24" s="10" t="inlineStr">
        <is>
          <t>Gestão de Contratos</t>
        </is>
      </c>
      <c r="E24" s="10" t="inlineStr">
        <is>
          <t>Gestão de Contratos</t>
        </is>
      </c>
      <c r="F24" s="10" t="n">
        <v>5</v>
      </c>
      <c r="G24" s="10" t="inlineStr">
        <is>
          <t>SIM</t>
        </is>
      </c>
      <c r="H24" s="10" t="inlineStr">
        <is>
          <t>Integral</t>
        </is>
      </c>
      <c r="I24" s="10" t="inlineStr">
        <is>
          <t>Conformidade</t>
        </is>
      </c>
      <c r="J24" s="8">
        <f>IF(G24="","",IF(G24="SIM",1,0))</f>
        <v/>
      </c>
      <c r="K24" s="8">
        <f>IF(H24="","",IF(H24="Integral",1,IF(H24="Amostral",0.5,IF(H24="Não realizada",0,""))))</f>
        <v/>
      </c>
      <c r="L24" s="8">
        <f>IF(I24="","",IF(I24="Conformidade",1,IF(I24="Não Conformidade",0,IF(I24="Não Conformidade Grave",-1,""))))</f>
        <v/>
      </c>
      <c r="M24" s="51">
        <f>IF(COUNTA(G24:I24)=0,"",ROUND(AVERAGE(J24:L24)*100,0))</f>
        <v/>
      </c>
      <c r="N24" s="51">
        <f>IFERROR(AVERAGEIF(C$2:C$201,C24,M$2:M$201),"N/A")</f>
        <v/>
      </c>
      <c r="O24" s="10" t="inlineStr">
        <is>
          <t>Monitoria executada sem desvios relevantes.</t>
        </is>
      </c>
    </row>
    <row r="25" ht="15" customHeight="1" s="41">
      <c r="A25" s="8">
        <f>IF(B25="","",ROW()-1)</f>
        <v/>
      </c>
      <c r="B25" s="50" t="n">
        <v>46214</v>
      </c>
      <c r="C25" s="10" t="inlineStr">
        <is>
          <t>PROCESSOS</t>
        </is>
      </c>
      <c r="D25" s="10" t="inlineStr">
        <is>
          <t>Contas a Pagar</t>
        </is>
      </c>
      <c r="E25" s="10" t="inlineStr">
        <is>
          <t>Contas a Pagar</t>
        </is>
      </c>
      <c r="F25" s="10" t="n">
        <v>6</v>
      </c>
      <c r="G25" s="10" t="inlineStr">
        <is>
          <t>SIM</t>
        </is>
      </c>
      <c r="H25" s="10" t="inlineStr">
        <is>
          <t>Amostral</t>
        </is>
      </c>
      <c r="I25" s="10" t="inlineStr">
        <is>
          <t>Não Conformidade Grave</t>
        </is>
      </c>
      <c r="J25" s="8">
        <f>IF(G25="","",IF(G25="SIM",1,0))</f>
        <v/>
      </c>
      <c r="K25" s="8">
        <f>IF(H25="","",IF(H25="Integral",1,IF(H25="Amostral",0.5,IF(H25="Não realizada",0,""))))</f>
        <v/>
      </c>
      <c r="L25" s="8">
        <f>IF(I25="","",IF(I25="Conformidade",1,IF(I25="Não Conformidade",0,IF(I25="Não Conformidade Grave",-1,""))))</f>
        <v/>
      </c>
      <c r="M25" s="51">
        <f>IF(COUNTA(G25:I25)=0,"",ROUND(AVERAGE(J25:L25)*100,0))</f>
        <v/>
      </c>
      <c r="N25" s="51">
        <f>IFERROR(AVERAGEIF(C$2:C$201,C25,M$2:M$201),"N/A")</f>
        <v/>
      </c>
      <c r="O25" s="10" t="inlineStr">
        <is>
          <t>Monitoria identificou desvios que exigem tratamento.</t>
        </is>
      </c>
    </row>
    <row r="26" hidden="1" ht="15" customHeight="1" s="41">
      <c r="A26" s="8">
        <f>IF(B26="","",ROW()-1)</f>
        <v/>
      </c>
      <c r="B26" s="50" t="n">
        <v>46246</v>
      </c>
      <c r="C26" s="10" t="inlineStr">
        <is>
          <t>Qualidade</t>
        </is>
      </c>
      <c r="D26" s="10" t="inlineStr">
        <is>
          <t>Gestão de Incidentes</t>
        </is>
      </c>
      <c r="E26" s="10" t="inlineStr">
        <is>
          <t>Gestão de Incidentes</t>
        </is>
      </c>
      <c r="F26" s="10" t="n">
        <v>7</v>
      </c>
      <c r="G26" s="10" t="inlineStr">
        <is>
          <t>SIM</t>
        </is>
      </c>
      <c r="H26" s="10" t="inlineStr">
        <is>
          <t>Amostral</t>
        </is>
      </c>
      <c r="I26" s="10" t="inlineStr">
        <is>
          <t>Conformidade</t>
        </is>
      </c>
      <c r="J26" s="8">
        <f>IF(G26="","",IF(G26="SIM",1,0))</f>
        <v/>
      </c>
      <c r="K26" s="8">
        <f>IF(H26="","",IF(H26="Integral",1,IF(H26="Amostral",0.5,IF(H26="Não realizada",0,""))))</f>
        <v/>
      </c>
      <c r="L26" s="8">
        <f>IF(I26="","",IF(I26="Conformidade",1,IF(I26="Não Conformidade",0,IF(I26="Não Conformidade Grave",-1,""))))</f>
        <v/>
      </c>
      <c r="M26" s="51">
        <f>IF(COUNTA(G26:I26)=0,"",ROUND(AVERAGE(J26:L26)*100,0))</f>
        <v/>
      </c>
      <c r="N26" s="51">
        <f>IFERROR(AVERAGEIF(C$2:C$201,C26,M$2:M$201),"N/A")</f>
        <v/>
      </c>
      <c r="O26" s="10" t="inlineStr">
        <is>
          <t>Monitoria executada sem desvios relevantes.</t>
        </is>
      </c>
    </row>
    <row r="27" hidden="1" ht="15" customHeight="1" s="41">
      <c r="A27" s="8">
        <f>IF(B27="","",ROW()-1)</f>
        <v/>
      </c>
      <c r="B27" s="50" t="n">
        <v>46186</v>
      </c>
      <c r="C27" s="10" t="inlineStr">
        <is>
          <t>Recursos Humanos</t>
        </is>
      </c>
      <c r="D27" s="10" t="inlineStr">
        <is>
          <t>Auditoria de Processos</t>
        </is>
      </c>
      <c r="E27" s="10" t="inlineStr">
        <is>
          <t>Auditoria de Processos</t>
        </is>
      </c>
      <c r="F27" s="10" t="n">
        <v>8</v>
      </c>
      <c r="G27" s="10" t="inlineStr">
        <is>
          <t>NÃO</t>
        </is>
      </c>
      <c r="H27" s="10" t="inlineStr">
        <is>
          <t>Não realizada</t>
        </is>
      </c>
      <c r="I27" s="10" t="inlineStr">
        <is>
          <t>Não Conformidade</t>
        </is>
      </c>
      <c r="J27" s="8">
        <f>IF(G27="","",IF(G27="SIM",1,0))</f>
        <v/>
      </c>
      <c r="K27" s="8">
        <f>IF(H27="","",IF(H27="Integral",1,IF(H27="Amostral",0.5,IF(H27="Não realizada",0,""))))</f>
        <v/>
      </c>
      <c r="L27" s="8">
        <f>IF(I27="","",IF(I27="Conformidade",1,IF(I27="Não Conformidade",0,IF(I27="Não Conformidade Grave",-1,""))))</f>
        <v/>
      </c>
      <c r="M27" s="51">
        <f>IF(COUNTA(G27:I27)=0,"",ROUND(AVERAGE(J27:L27)*100,0))</f>
        <v/>
      </c>
      <c r="N27" s="51">
        <f>IFERROR(AVERAGEIF(C$2:C$201,C27,M$2:M$201),"N/A")</f>
        <v/>
      </c>
      <c r="O27" s="10" t="inlineStr">
        <is>
          <t>Monitoria ainda não implantada; necessário definir rotina e amostra.</t>
        </is>
      </c>
    </row>
    <row r="28" hidden="1" ht="15" customHeight="1" s="41">
      <c r="A28" s="8">
        <f>IF(B28="","",ROW()-1)</f>
        <v/>
      </c>
      <c r="B28" s="50" t="n">
        <v>46217</v>
      </c>
      <c r="C28" s="10" t="inlineStr">
        <is>
          <t>Financeiro</t>
        </is>
      </c>
      <c r="D28" s="10" t="inlineStr">
        <is>
          <t>Faturamento</t>
        </is>
      </c>
      <c r="E28" s="10" t="inlineStr">
        <is>
          <t>Faturamento</t>
        </is>
      </c>
      <c r="F28" s="10" t="n">
        <v>9</v>
      </c>
      <c r="G28" s="10" t="inlineStr">
        <is>
          <t>SIM</t>
        </is>
      </c>
      <c r="H28" s="10" t="inlineStr">
        <is>
          <t>Amostral</t>
        </is>
      </c>
      <c r="I28" s="10" t="inlineStr">
        <is>
          <t>Conformidade</t>
        </is>
      </c>
      <c r="J28" s="8">
        <f>IF(G28="","",IF(G28="SIM",1,0))</f>
        <v/>
      </c>
      <c r="K28" s="8">
        <f>IF(H28="","",IF(H28="Integral",1,IF(H28="Amostral",0.5,IF(H28="Não realizada",0,""))))</f>
        <v/>
      </c>
      <c r="L28" s="8">
        <f>IF(I28="","",IF(I28="Conformidade",1,IF(I28="Não Conformidade",0,IF(I28="Não Conformidade Grave",-1,""))))</f>
        <v/>
      </c>
      <c r="M28" s="51">
        <f>IF(COUNTA(G28:I28)=0,"",ROUND(AVERAGE(J28:L28)*100,0))</f>
        <v/>
      </c>
      <c r="N28" s="51">
        <f>IFERROR(AVERAGEIF(C$2:C$201,C28,M$2:M$201),"N/A")</f>
        <v/>
      </c>
      <c r="O28" s="10" t="inlineStr">
        <is>
          <t>Monitoria executada sem desvios relevantes.</t>
        </is>
      </c>
    </row>
    <row r="29" hidden="1" ht="15" customHeight="1" s="41">
      <c r="A29" s="8">
        <f>IF(B29="","",ROW()-1)</f>
        <v/>
      </c>
      <c r="B29" s="50" t="n">
        <v>46249</v>
      </c>
      <c r="C29" s="10" t="inlineStr">
        <is>
          <t>Atendimento</t>
        </is>
      </c>
      <c r="D29" s="10" t="inlineStr">
        <is>
          <t>Gestão de Contratos</t>
        </is>
      </c>
      <c r="E29" s="10" t="inlineStr">
        <is>
          <t>Gestão de Contratos</t>
        </is>
      </c>
      <c r="F29" s="10" t="n">
        <v>10</v>
      </c>
      <c r="G29" s="10" t="inlineStr">
        <is>
          <t>SIM</t>
        </is>
      </c>
      <c r="H29" s="10" t="inlineStr">
        <is>
          <t>Amostral</t>
        </is>
      </c>
      <c r="I29" s="10" t="inlineStr">
        <is>
          <t>Conformidade</t>
        </is>
      </c>
      <c r="J29" s="8">
        <f>IF(G29="","",IF(G29="SIM",1,0))</f>
        <v/>
      </c>
      <c r="K29" s="8">
        <f>IF(H29="","",IF(H29="Integral",1,IF(H29="Amostral",0.5,IF(H29="Não realizada",0,""))))</f>
        <v/>
      </c>
      <c r="L29" s="8">
        <f>IF(I29="","",IF(I29="Conformidade",1,IF(I29="Não Conformidade",0,IF(I29="Não Conformidade Grave",-1,""))))</f>
        <v/>
      </c>
      <c r="M29" s="51">
        <f>IF(COUNTA(G29:I29)=0,"",ROUND(AVERAGE(J29:L29)*100,0))</f>
        <v/>
      </c>
      <c r="N29" s="51">
        <f>IFERROR(AVERAGEIF(C$2:C$201,C29,M$2:M$201),"N/A")</f>
        <v/>
      </c>
      <c r="O29" s="10" t="inlineStr">
        <is>
          <t>Monitoria executada sem desvios relevantes.</t>
        </is>
      </c>
    </row>
    <row r="30" hidden="1" ht="15" customHeight="1" s="41">
      <c r="A30" s="8">
        <f>IF(B30="","",ROW()-1)</f>
        <v/>
      </c>
      <c r="B30" s="50" t="n">
        <v>46189</v>
      </c>
      <c r="C30" s="10" t="inlineStr">
        <is>
          <t>Tecnologia</t>
        </is>
      </c>
      <c r="D30" s="10" t="inlineStr">
        <is>
          <t>Contas a Pagar</t>
        </is>
      </c>
      <c r="E30" s="10" t="inlineStr">
        <is>
          <t>Contas a Pagar</t>
        </is>
      </c>
      <c r="F30" s="10" t="n">
        <v>11</v>
      </c>
      <c r="G30" s="10" t="inlineStr">
        <is>
          <t>SIM</t>
        </is>
      </c>
      <c r="H30" s="10" t="inlineStr">
        <is>
          <t>Integral</t>
        </is>
      </c>
      <c r="I30" s="10" t="inlineStr">
        <is>
          <t>Conformidade</t>
        </is>
      </c>
      <c r="J30" s="8">
        <f>IF(G30="","",IF(G30="SIM",1,0))</f>
        <v/>
      </c>
      <c r="K30" s="8">
        <f>IF(H30="","",IF(H30="Integral",1,IF(H30="Amostral",0.5,IF(H30="Não realizada",0,""))))</f>
        <v/>
      </c>
      <c r="L30" s="8">
        <f>IF(I30="","",IF(I30="Conformidade",1,IF(I30="Não Conformidade",0,IF(I30="Não Conformidade Grave",-1,""))))</f>
        <v/>
      </c>
      <c r="M30" s="51">
        <f>IF(COUNTA(G30:I30)=0,"",ROUND(AVERAGE(J30:L30)*100,0))</f>
        <v/>
      </c>
      <c r="N30" s="51">
        <f>IFERROR(AVERAGEIF(C$2:C$201,C30,M$2:M$201),"N/A")</f>
        <v/>
      </c>
      <c r="O30" s="10" t="inlineStr">
        <is>
          <t>Monitoria executada sem desvios relevantes.</t>
        </is>
      </c>
    </row>
    <row r="31" ht="15" customHeight="1" s="41">
      <c r="A31" s="8">
        <f>IF(B31="","",ROW()-1)</f>
        <v/>
      </c>
      <c r="B31" s="50" t="n">
        <v>46220</v>
      </c>
      <c r="C31" s="10" t="inlineStr">
        <is>
          <t>PROCESSOS</t>
        </is>
      </c>
      <c r="D31" s="10" t="inlineStr">
        <is>
          <t>Gestão de Incidentes</t>
        </is>
      </c>
      <c r="E31" s="10" t="inlineStr">
        <is>
          <t>Gestão de Incidentes</t>
        </is>
      </c>
      <c r="F31" s="10" t="n">
        <v>12</v>
      </c>
      <c r="G31" s="10" t="inlineStr">
        <is>
          <t>SIM</t>
        </is>
      </c>
      <c r="H31" s="10" t="inlineStr">
        <is>
          <t>Amostral</t>
        </is>
      </c>
      <c r="I31" s="10" t="inlineStr">
        <is>
          <t>Não Conformidade</t>
        </is>
      </c>
      <c r="J31" s="8">
        <f>IF(G31="","",IF(G31="SIM",1,0))</f>
        <v/>
      </c>
      <c r="K31" s="8">
        <f>IF(H31="","",IF(H31="Integral",1,IF(H31="Amostral",0.5,IF(H31="Não realizada",0,""))))</f>
        <v/>
      </c>
      <c r="L31" s="8">
        <f>IF(I31="","",IF(I31="Conformidade",1,IF(I31="Não Conformidade",0,IF(I31="Não Conformidade Grave",-1,""))))</f>
        <v/>
      </c>
      <c r="M31" s="51">
        <f>IF(COUNTA(G31:I31)=0,"",ROUND(AVERAGE(J31:L31)*100,0))</f>
        <v/>
      </c>
      <c r="N31" s="51">
        <f>IFERROR(AVERAGEIF(C$2:C$201,C31,M$2:M$201),"N/A")</f>
        <v/>
      </c>
      <c r="O31" s="10" t="inlineStr">
        <is>
          <t>Monitoria identificou desvios que exigem tratamento.</t>
        </is>
      </c>
    </row>
    <row r="32" hidden="1" ht="15" customHeight="1" s="41">
      <c r="A32" s="8">
        <f>IF(B32="","",ROW()-1)</f>
        <v/>
      </c>
      <c r="B32" s="50" t="n">
        <v>46252</v>
      </c>
      <c r="C32" s="10" t="inlineStr">
        <is>
          <t>Qualidade</t>
        </is>
      </c>
      <c r="D32" s="10" t="inlineStr">
        <is>
          <t>Auditoria de Processos</t>
        </is>
      </c>
      <c r="E32" s="10" t="inlineStr">
        <is>
          <t>Auditoria de Processos</t>
        </is>
      </c>
      <c r="F32" s="10" t="n">
        <v>13</v>
      </c>
      <c r="G32" s="10" t="inlineStr">
        <is>
          <t>SIM</t>
        </is>
      </c>
      <c r="H32" s="10" t="inlineStr">
        <is>
          <t>Amostral</t>
        </is>
      </c>
      <c r="I32" s="10" t="inlineStr">
        <is>
          <t>Conformidade</t>
        </is>
      </c>
      <c r="J32" s="8">
        <f>IF(G32="","",IF(G32="SIM",1,0))</f>
        <v/>
      </c>
      <c r="K32" s="8">
        <f>IF(H32="","",IF(H32="Integral",1,IF(H32="Amostral",0.5,IF(H32="Não realizada",0,""))))</f>
        <v/>
      </c>
      <c r="L32" s="8">
        <f>IF(I32="","",IF(I32="Conformidade",1,IF(I32="Não Conformidade",0,IF(I32="Não Conformidade Grave",-1,""))))</f>
        <v/>
      </c>
      <c r="M32" s="51">
        <f>IF(COUNTA(G32:I32)=0,"",ROUND(AVERAGE(J32:L32)*100,0))</f>
        <v/>
      </c>
      <c r="N32" s="51">
        <f>IFERROR(AVERAGEIF(C$2:C$201,C32,M$2:M$201),"N/A")</f>
        <v/>
      </c>
      <c r="O32" s="10" t="inlineStr">
        <is>
          <t>Monitoria executada sem desvios relevantes.</t>
        </is>
      </c>
    </row>
    <row r="33" hidden="1" ht="15" customHeight="1" s="41">
      <c r="A33" s="8">
        <f>IF(B33="","",ROW()-1)</f>
        <v/>
      </c>
      <c r="B33" s="50" t="n">
        <v>46192</v>
      </c>
      <c r="C33" s="10" t="inlineStr">
        <is>
          <t>Recursos Humanos</t>
        </is>
      </c>
      <c r="D33" s="10" t="inlineStr">
        <is>
          <t>Faturamento</t>
        </is>
      </c>
      <c r="E33" s="10" t="inlineStr">
        <is>
          <t>Faturamento</t>
        </is>
      </c>
      <c r="F33" s="10" t="n">
        <v>14</v>
      </c>
      <c r="G33" s="10" t="inlineStr">
        <is>
          <t>NÃO</t>
        </is>
      </c>
      <c r="H33" s="10" t="inlineStr">
        <is>
          <t>Não realizada</t>
        </is>
      </c>
      <c r="I33" s="10" t="inlineStr">
        <is>
          <t>Conformidade</t>
        </is>
      </c>
      <c r="J33" s="8">
        <f>IF(G33="","",IF(G33="SIM",1,0))</f>
        <v/>
      </c>
      <c r="K33" s="8">
        <f>IF(H33="","",IF(H33="Integral",1,IF(H33="Amostral",0.5,IF(H33="Não realizada",0,""))))</f>
        <v/>
      </c>
      <c r="L33" s="8">
        <f>IF(I33="","",IF(I33="Conformidade",1,IF(I33="Não Conformidade",0,IF(I33="Não Conformidade Grave",-1,""))))</f>
        <v/>
      </c>
      <c r="M33" s="51">
        <f>IF(COUNTA(G33:I33)=0,"",ROUND(AVERAGE(J33:L33)*100,0))</f>
        <v/>
      </c>
      <c r="N33" s="51">
        <f>IFERROR(AVERAGEIF(C$2:C$201,C33,M$2:M$201),"N/A")</f>
        <v/>
      </c>
      <c r="O33" s="10" t="inlineStr">
        <is>
          <t>Monitoria ainda não implantada; necessário definir rotina e amostra.</t>
        </is>
      </c>
    </row>
    <row r="34" hidden="1" ht="15" customHeight="1" s="41">
      <c r="A34" s="8">
        <f>IF(B34="","",ROW()-1)</f>
        <v/>
      </c>
      <c r="B34" s="50" t="n">
        <v>46223</v>
      </c>
      <c r="C34" s="10" t="inlineStr">
        <is>
          <t>Financeiro</t>
        </is>
      </c>
      <c r="D34" s="10" t="inlineStr">
        <is>
          <t>Gestão de Contratos</t>
        </is>
      </c>
      <c r="E34" s="10" t="inlineStr">
        <is>
          <t>Gestão de Contratos</t>
        </is>
      </c>
      <c r="F34" s="10" t="n">
        <v>15</v>
      </c>
      <c r="G34" s="10" t="inlineStr">
        <is>
          <t>SIM</t>
        </is>
      </c>
      <c r="H34" s="10" t="inlineStr">
        <is>
          <t>Amostral</t>
        </is>
      </c>
      <c r="I34" s="10" t="inlineStr">
        <is>
          <t>Conformidade</t>
        </is>
      </c>
      <c r="J34" s="8">
        <f>IF(G34="","",IF(G34="SIM",1,0))</f>
        <v/>
      </c>
      <c r="K34" s="8">
        <f>IF(H34="","",IF(H34="Integral",1,IF(H34="Amostral",0.5,IF(H34="Não realizada",0,""))))</f>
        <v/>
      </c>
      <c r="L34" s="8">
        <f>IF(I34="","",IF(I34="Conformidade",1,IF(I34="Não Conformidade",0,IF(I34="Não Conformidade Grave",-1,""))))</f>
        <v/>
      </c>
      <c r="M34" s="51">
        <f>IF(COUNTA(G34:I34)=0,"",ROUND(AVERAGE(J34:L34)*100,0))</f>
        <v/>
      </c>
      <c r="N34" s="51">
        <f>IFERROR(AVERAGEIF(C$2:C$201,C34,M$2:M$201),"N/A")</f>
        <v/>
      </c>
      <c r="O34" s="10" t="inlineStr">
        <is>
          <t>Monitoria executada sem desvios relevantes.</t>
        </is>
      </c>
    </row>
    <row r="35" hidden="1" ht="15" customHeight="1" s="41">
      <c r="A35" s="8">
        <f>IF(B35="","",ROW()-1)</f>
        <v/>
      </c>
      <c r="B35" s="50" t="n">
        <v>46255</v>
      </c>
      <c r="C35" s="10" t="inlineStr">
        <is>
          <t>Atendimento</t>
        </is>
      </c>
      <c r="D35" s="10" t="inlineStr">
        <is>
          <t>Contas a Pagar</t>
        </is>
      </c>
      <c r="E35" s="10" t="inlineStr">
        <is>
          <t>Contas a Pagar</t>
        </is>
      </c>
      <c r="F35" s="10" t="n">
        <v>16</v>
      </c>
      <c r="G35" s="10" t="inlineStr">
        <is>
          <t>NÃO</t>
        </is>
      </c>
      <c r="H35" s="10" t="inlineStr">
        <is>
          <t>Não realizada</t>
        </is>
      </c>
      <c r="I35" s="10" t="inlineStr">
        <is>
          <t>Não Conformidade</t>
        </is>
      </c>
      <c r="J35" s="8">
        <f>IF(G35="","",IF(G35="SIM",1,0))</f>
        <v/>
      </c>
      <c r="K35" s="8">
        <f>IF(H35="","",IF(H35="Integral",1,IF(H35="Amostral",0.5,IF(H35="Não realizada",0,""))))</f>
        <v/>
      </c>
      <c r="L35" s="8">
        <f>IF(I35="","",IF(I35="Conformidade",1,IF(I35="Não Conformidade",0,IF(I35="Não Conformidade Grave",-1,""))))</f>
        <v/>
      </c>
      <c r="M35" s="51">
        <f>IF(COUNTA(G35:I35)=0,"",ROUND(AVERAGE(J35:L35)*100,0))</f>
        <v/>
      </c>
      <c r="N35" s="51">
        <f>IFERROR(AVERAGEIF(C$2:C$201,C35,M$2:M$201),"N/A")</f>
        <v/>
      </c>
      <c r="O35" s="10" t="inlineStr">
        <is>
          <t>Monitoria ainda não implantada; necessário definir rotina e amostra.</t>
        </is>
      </c>
    </row>
    <row r="36" hidden="1" ht="15" customHeight="1" s="41">
      <c r="A36" s="8">
        <f>IF(B36="","",ROW()-1)</f>
        <v/>
      </c>
      <c r="B36" s="50" t="n">
        <v>46195</v>
      </c>
      <c r="C36" s="10" t="inlineStr">
        <is>
          <t>Tecnologia</t>
        </is>
      </c>
      <c r="D36" s="10" t="inlineStr">
        <is>
          <t>Gestão de Incidentes</t>
        </is>
      </c>
      <c r="E36" s="10" t="inlineStr">
        <is>
          <t>Gestão de Incidentes</t>
        </is>
      </c>
      <c r="F36" s="10" t="n">
        <v>17</v>
      </c>
      <c r="G36" s="10" t="inlineStr">
        <is>
          <t>SIM</t>
        </is>
      </c>
      <c r="H36" s="10" t="inlineStr">
        <is>
          <t>Integral</t>
        </is>
      </c>
      <c r="I36" s="10" t="inlineStr">
        <is>
          <t>Não Conformidade Grave</t>
        </is>
      </c>
      <c r="J36" s="8">
        <f>IF(G36="","",IF(G36="SIM",1,0))</f>
        <v/>
      </c>
      <c r="K36" s="8">
        <f>IF(H36="","",IF(H36="Integral",1,IF(H36="Amostral",0.5,IF(H36="Não realizada",0,""))))</f>
        <v/>
      </c>
      <c r="L36" s="8">
        <f>IF(I36="","",IF(I36="Conformidade",1,IF(I36="Não Conformidade",0,IF(I36="Não Conformidade Grave",-1,""))))</f>
        <v/>
      </c>
      <c r="M36" s="51">
        <f>IF(COUNTA(G36:I36)=0,"",ROUND(AVERAGE(J36:L36)*100,0))</f>
        <v/>
      </c>
      <c r="N36" s="51">
        <f>IFERROR(AVERAGEIF(C$2:C$201,C36,M$2:M$201),"N/A")</f>
        <v/>
      </c>
      <c r="O36" s="10" t="inlineStr">
        <is>
          <t>Monitoria identificou desvios que exigem tratamento.</t>
        </is>
      </c>
    </row>
    <row r="37" ht="15" customHeight="1" s="41">
      <c r="A37" s="8">
        <f>IF(B37="","",ROW()-1)</f>
        <v/>
      </c>
      <c r="B37" s="50" t="n">
        <v>46226</v>
      </c>
      <c r="C37" s="10" t="inlineStr">
        <is>
          <t>PROCESSOS</t>
        </is>
      </c>
      <c r="D37" s="10" t="inlineStr">
        <is>
          <t>Auditoria de Processos</t>
        </is>
      </c>
      <c r="E37" s="10" t="inlineStr">
        <is>
          <t>Auditoria de Processos</t>
        </is>
      </c>
      <c r="F37" s="10" t="n">
        <v>18</v>
      </c>
      <c r="G37" s="10" t="inlineStr">
        <is>
          <t>SIM</t>
        </is>
      </c>
      <c r="H37" s="10" t="inlineStr">
        <is>
          <t>Amostral</t>
        </is>
      </c>
      <c r="I37" s="10" t="inlineStr">
        <is>
          <t>Conformidade</t>
        </is>
      </c>
      <c r="J37" s="8">
        <f>IF(G37="","",IF(G37="SIM",1,0))</f>
        <v/>
      </c>
      <c r="K37" s="8">
        <f>IF(H37="","",IF(H37="Integral",1,IF(H37="Amostral",0.5,IF(H37="Não realizada",0,""))))</f>
        <v/>
      </c>
      <c r="L37" s="8">
        <f>IF(I37="","",IF(I37="Conformidade",1,IF(I37="Não Conformidade",0,IF(I37="Não Conformidade Grave",-1,""))))</f>
        <v/>
      </c>
      <c r="M37" s="51">
        <f>IF(COUNTA(G37:I37)=0,"",ROUND(AVERAGE(J37:L37)*100,0))</f>
        <v/>
      </c>
      <c r="N37" s="51">
        <f>IFERROR(AVERAGEIF(C$2:C$201,C37,M$2:M$201),"N/A")</f>
        <v/>
      </c>
      <c r="O37" s="10" t="inlineStr">
        <is>
          <t>Monitoria executada sem desvios relevantes.</t>
        </is>
      </c>
    </row>
    <row r="38" hidden="1" ht="15" customHeight="1" s="41">
      <c r="A38" s="8">
        <f>IF(B38="","",ROW()-1)</f>
        <v/>
      </c>
      <c r="B38" s="50" t="n">
        <v>46258</v>
      </c>
      <c r="C38" s="10" t="inlineStr">
        <is>
          <t>Qualidade</t>
        </is>
      </c>
      <c r="D38" s="10" t="inlineStr">
        <is>
          <t>Faturamento</t>
        </is>
      </c>
      <c r="E38" s="10" t="inlineStr">
        <is>
          <t>Faturamento</t>
        </is>
      </c>
      <c r="F38" s="10" t="n">
        <v>19</v>
      </c>
      <c r="G38" s="10" t="inlineStr">
        <is>
          <t>SIM</t>
        </is>
      </c>
      <c r="H38" s="10" t="inlineStr">
        <is>
          <t>Amostral</t>
        </is>
      </c>
      <c r="I38" s="10" t="inlineStr">
        <is>
          <t>Conformidade</t>
        </is>
      </c>
      <c r="J38" s="8">
        <f>IF(G38="","",IF(G38="SIM",1,0))</f>
        <v/>
      </c>
      <c r="K38" s="8">
        <f>IF(H38="","",IF(H38="Integral",1,IF(H38="Amostral",0.5,IF(H38="Não realizada",0,""))))</f>
        <v/>
      </c>
      <c r="L38" s="8">
        <f>IF(I38="","",IF(I38="Conformidade",1,IF(I38="Não Conformidade",0,IF(I38="Não Conformidade Grave",-1,""))))</f>
        <v/>
      </c>
      <c r="M38" s="51">
        <f>IF(COUNTA(G38:I38)=0,"",ROUND(AVERAGE(J38:L38)*100,0))</f>
        <v/>
      </c>
      <c r="N38" s="51">
        <f>IFERROR(AVERAGEIF(C$2:C$201,C38,M$2:M$201),"N/A")</f>
        <v/>
      </c>
      <c r="O38" s="10" t="inlineStr">
        <is>
          <t>Monitoria executada sem desvios relevantes.</t>
        </is>
      </c>
    </row>
    <row r="39" hidden="1" ht="15" customHeight="1" s="41">
      <c r="A39" s="8">
        <f>IF(B39="","",ROW()-1)</f>
        <v/>
      </c>
      <c r="B39" s="50" t="n">
        <v>46180</v>
      </c>
      <c r="C39" s="10" t="inlineStr">
        <is>
          <t>Recursos Humanos</t>
        </is>
      </c>
      <c r="D39" s="10" t="inlineStr">
        <is>
          <t>Gestão de Contratos</t>
        </is>
      </c>
      <c r="E39" s="10" t="inlineStr">
        <is>
          <t>Gestão de Contratos</t>
        </is>
      </c>
      <c r="F39" s="10" t="n">
        <v>20</v>
      </c>
      <c r="G39" s="10" t="inlineStr">
        <is>
          <t>SIM</t>
        </is>
      </c>
      <c r="H39" s="10" t="inlineStr">
        <is>
          <t>Integral</t>
        </is>
      </c>
      <c r="I39" s="10" t="inlineStr">
        <is>
          <t>Não Conformidade</t>
        </is>
      </c>
      <c r="J39" s="8">
        <f>IF(G39="","",IF(G39="SIM",1,0))</f>
        <v/>
      </c>
      <c r="K39" s="8">
        <f>IF(H39="","",IF(H39="Integral",1,IF(H39="Amostral",0.5,IF(H39="Não realizada",0,""))))</f>
        <v/>
      </c>
      <c r="L39" s="8">
        <f>IF(I39="","",IF(I39="Conformidade",1,IF(I39="Não Conformidade",0,IF(I39="Não Conformidade Grave",-1,""))))</f>
        <v/>
      </c>
      <c r="M39" s="51">
        <f>IF(COUNTA(G39:I39)=0,"",ROUND(AVERAGE(J39:L39)*100,0))</f>
        <v/>
      </c>
      <c r="N39" s="51">
        <f>IFERROR(AVERAGEIF(C$2:C$201,C39,M$2:M$201),"N/A")</f>
        <v/>
      </c>
      <c r="O39" s="10" t="inlineStr">
        <is>
          <t>Monitoria identificou desvios que exigem tratamento.</t>
        </is>
      </c>
    </row>
    <row r="40" hidden="1" ht="15" customHeight="1" s="41">
      <c r="A40" s="8">
        <f>IF(B40="","",ROW()-1)</f>
        <v/>
      </c>
      <c r="B40" s="50" t="n">
        <v>46211</v>
      </c>
      <c r="C40" s="10" t="inlineStr">
        <is>
          <t>Financeiro</t>
        </is>
      </c>
      <c r="D40" s="10" t="inlineStr">
        <is>
          <t>Contas a Pagar</t>
        </is>
      </c>
      <c r="E40" s="10" t="inlineStr">
        <is>
          <t>Contas a Pagar</t>
        </is>
      </c>
      <c r="F40" s="10" t="n">
        <v>21</v>
      </c>
      <c r="G40" s="10" t="inlineStr">
        <is>
          <t>SIM</t>
        </is>
      </c>
      <c r="H40" s="10" t="inlineStr">
        <is>
          <t>Amostral</t>
        </is>
      </c>
      <c r="I40" s="10" t="inlineStr">
        <is>
          <t>Conformidade</t>
        </is>
      </c>
      <c r="J40" s="8">
        <f>IF(G40="","",IF(G40="SIM",1,0))</f>
        <v/>
      </c>
      <c r="K40" s="8">
        <f>IF(H40="","",IF(H40="Integral",1,IF(H40="Amostral",0.5,IF(H40="Não realizada",0,""))))</f>
        <v/>
      </c>
      <c r="L40" s="8">
        <f>IF(I40="","",IF(I40="Conformidade",1,IF(I40="Não Conformidade",0,IF(I40="Não Conformidade Grave",-1,""))))</f>
        <v/>
      </c>
      <c r="M40" s="51">
        <f>IF(COUNTA(G40:I40)=0,"",ROUND(AVERAGE(J40:L40)*100,0))</f>
        <v/>
      </c>
      <c r="N40" s="51">
        <f>IFERROR(AVERAGEIF(C$2:C$201,C40,M$2:M$201),"N/A")</f>
        <v/>
      </c>
      <c r="O40" s="10" t="inlineStr">
        <is>
          <t>Monitoria executada sem desvios relevantes.</t>
        </is>
      </c>
    </row>
    <row r="41" hidden="1" ht="15" customHeight="1" s="41">
      <c r="A41" s="8">
        <f>IF(B41="","",ROW()-1)</f>
        <v/>
      </c>
      <c r="B41" s="50" t="n">
        <v>46243</v>
      </c>
      <c r="C41" s="10" t="inlineStr">
        <is>
          <t>Atendimento</t>
        </is>
      </c>
      <c r="D41" s="10" t="inlineStr">
        <is>
          <t>Gestão de Incidentes</t>
        </is>
      </c>
      <c r="E41" s="10" t="inlineStr">
        <is>
          <t>Gestão de Incidentes</t>
        </is>
      </c>
      <c r="F41" s="10" t="n">
        <v>22</v>
      </c>
      <c r="G41" s="10" t="inlineStr">
        <is>
          <t>SIM</t>
        </is>
      </c>
      <c r="H41" s="10" t="inlineStr">
        <is>
          <t>Amostral</t>
        </is>
      </c>
      <c r="I41" s="10" t="inlineStr">
        <is>
          <t>Conformidade</t>
        </is>
      </c>
      <c r="J41" s="8">
        <f>IF(G41="","",IF(G41="SIM",1,0))</f>
        <v/>
      </c>
      <c r="K41" s="8">
        <f>IF(H41="","",IF(H41="Integral",1,IF(H41="Amostral",0.5,IF(H41="Não realizada",0,""))))</f>
        <v/>
      </c>
      <c r="L41" s="8">
        <f>IF(I41="","",IF(I41="Conformidade",1,IF(I41="Não Conformidade",0,IF(I41="Não Conformidade Grave",-1,""))))</f>
        <v/>
      </c>
      <c r="M41" s="51">
        <f>IF(COUNTA(G41:I41)=0,"",ROUND(AVERAGE(J41:L41)*100,0))</f>
        <v/>
      </c>
      <c r="N41" s="51">
        <f>IFERROR(AVERAGEIF(C$2:C$201,C41,M$2:M$201),"N/A")</f>
        <v/>
      </c>
      <c r="O41" s="10" t="inlineStr">
        <is>
          <t>Monitoria executada sem desvios relevantes.</t>
        </is>
      </c>
    </row>
    <row r="42" hidden="1" ht="15" customHeight="1" s="41">
      <c r="A42" s="8">
        <f>IF(B42="","",ROW()-1)</f>
        <v/>
      </c>
      <c r="B42" s="50" t="n">
        <v>46183</v>
      </c>
      <c r="C42" s="10" t="inlineStr">
        <is>
          <t>Tecnologia</t>
        </is>
      </c>
      <c r="D42" s="10" t="inlineStr">
        <is>
          <t>Auditoria de Processos</t>
        </is>
      </c>
      <c r="E42" s="10" t="inlineStr">
        <is>
          <t>Auditoria de Processos</t>
        </is>
      </c>
      <c r="F42" s="10" t="n">
        <v>23</v>
      </c>
      <c r="G42" s="10" t="inlineStr">
        <is>
          <t>SIM</t>
        </is>
      </c>
      <c r="H42" s="10" t="inlineStr">
        <is>
          <t>Integral</t>
        </is>
      </c>
      <c r="I42" s="10" t="inlineStr">
        <is>
          <t>Conformidade</t>
        </is>
      </c>
      <c r="J42" s="8">
        <f>IF(G42="","",IF(G42="SIM",1,0))</f>
        <v/>
      </c>
      <c r="K42" s="8">
        <f>IF(H42="","",IF(H42="Integral",1,IF(H42="Amostral",0.5,IF(H42="Não realizada",0,""))))</f>
        <v/>
      </c>
      <c r="L42" s="8">
        <f>IF(I42="","",IF(I42="Conformidade",1,IF(I42="Não Conformidade",0,IF(I42="Não Conformidade Grave",-1,""))))</f>
        <v/>
      </c>
      <c r="M42" s="51">
        <f>IF(COUNTA(G42:I42)=0,"",ROUND(AVERAGE(J42:L42)*100,0))</f>
        <v/>
      </c>
      <c r="N42" s="51">
        <f>IFERROR(AVERAGEIF(C$2:C$201,C42,M$2:M$201),"N/A")</f>
        <v/>
      </c>
      <c r="O42" s="10" t="inlineStr">
        <is>
          <t>Monitoria executada sem desvios relevantes.</t>
        </is>
      </c>
    </row>
    <row r="43" ht="15" customHeight="1" s="41">
      <c r="A43" s="8">
        <f>IF(B43="","",ROW()-1)</f>
        <v/>
      </c>
      <c r="B43" s="50" t="n">
        <v>46214</v>
      </c>
      <c r="C43" s="10" t="inlineStr">
        <is>
          <t>PROCESSOS</t>
        </is>
      </c>
      <c r="D43" s="10" t="inlineStr">
        <is>
          <t>Faturamento</t>
        </is>
      </c>
      <c r="E43" s="10" t="inlineStr">
        <is>
          <t>Faturamento</t>
        </is>
      </c>
      <c r="F43" s="10" t="n">
        <v>24</v>
      </c>
      <c r="G43" s="10" t="inlineStr">
        <is>
          <t>NÃO</t>
        </is>
      </c>
      <c r="H43" s="10" t="inlineStr">
        <is>
          <t>Não realizada</t>
        </is>
      </c>
      <c r="I43" s="10" t="inlineStr">
        <is>
          <t>Não Conformidade</t>
        </is>
      </c>
      <c r="J43" s="8">
        <f>IF(G43="","",IF(G43="SIM",1,0))</f>
        <v/>
      </c>
      <c r="K43" s="8">
        <f>IF(H43="","",IF(H43="Integral",1,IF(H43="Amostral",0.5,IF(H43="Não realizada",0,""))))</f>
        <v/>
      </c>
      <c r="L43" s="8">
        <f>IF(I43="","",IF(I43="Conformidade",1,IF(I43="Não Conformidade",0,IF(I43="Não Conformidade Grave",-1,""))))</f>
        <v/>
      </c>
      <c r="M43" s="51">
        <f>IF(COUNTA(G43:I43)=0,"",ROUND(AVERAGE(J43:L43)*100,0))</f>
        <v/>
      </c>
      <c r="N43" s="51">
        <f>IFERROR(AVERAGEIF(C$2:C$201,C43,M$2:M$201),"N/A")</f>
        <v/>
      </c>
      <c r="O43" s="10" t="inlineStr">
        <is>
          <t>Monitoria ainda não implantada; necessário definir rotina e amostra.</t>
        </is>
      </c>
    </row>
    <row r="44" hidden="1" ht="15" customHeight="1" s="41">
      <c r="A44" s="8">
        <f>IF(B44="","",ROW()-1)</f>
        <v/>
      </c>
      <c r="B44" s="50" t="n">
        <v>46246</v>
      </c>
      <c r="C44" s="10" t="inlineStr">
        <is>
          <t>Qualidade</t>
        </is>
      </c>
      <c r="D44" s="10" t="inlineStr">
        <is>
          <t>Gestão de Contratos</t>
        </is>
      </c>
      <c r="E44" s="10" t="inlineStr">
        <is>
          <t>Gestão de Contratos</t>
        </is>
      </c>
      <c r="F44" s="10" t="n">
        <v>25</v>
      </c>
      <c r="G44" s="10" t="inlineStr">
        <is>
          <t>SIM</t>
        </is>
      </c>
      <c r="H44" s="10" t="inlineStr">
        <is>
          <t>Amostral</t>
        </is>
      </c>
      <c r="I44" s="10" t="inlineStr">
        <is>
          <t>Conformidade</t>
        </is>
      </c>
      <c r="J44" s="8">
        <f>IF(G44="","",IF(G44="SIM",1,0))</f>
        <v/>
      </c>
      <c r="K44" s="8">
        <f>IF(H44="","",IF(H44="Integral",1,IF(H44="Amostral",0.5,IF(H44="Não realizada",0,""))))</f>
        <v/>
      </c>
      <c r="L44" s="8">
        <f>IF(I44="","",IF(I44="Conformidade",1,IF(I44="Não Conformidade",0,IF(I44="Não Conformidade Grave",-1,""))))</f>
        <v/>
      </c>
      <c r="M44" s="51">
        <f>IF(COUNTA(G44:I44)=0,"",ROUND(AVERAGE(J44:L44)*100,0))</f>
        <v/>
      </c>
      <c r="N44" s="51">
        <f>IFERROR(AVERAGEIF(C$2:C$201,C44,M$2:M$201),"N/A")</f>
        <v/>
      </c>
      <c r="O44" s="10" t="inlineStr">
        <is>
          <t>Monitoria executada sem desvios relevantes.</t>
        </is>
      </c>
    </row>
    <row r="45" hidden="1" ht="15" customHeight="1" s="41">
      <c r="A45" s="8">
        <f>IF(B45="","",ROW()-1)</f>
        <v/>
      </c>
      <c r="B45" s="50" t="n">
        <v>46186</v>
      </c>
      <c r="C45" s="10" t="inlineStr">
        <is>
          <t>Recursos Humanos</t>
        </is>
      </c>
      <c r="D45" s="10" t="inlineStr">
        <is>
          <t>Contas a Pagar</t>
        </is>
      </c>
      <c r="E45" s="10" t="inlineStr">
        <is>
          <t>Contas a Pagar</t>
        </is>
      </c>
      <c r="F45" s="10" t="n">
        <v>5</v>
      </c>
      <c r="G45" s="10" t="inlineStr">
        <is>
          <t>SIM</t>
        </is>
      </c>
      <c r="H45" s="10" t="inlineStr">
        <is>
          <t>Integral</t>
        </is>
      </c>
      <c r="I45" s="10" t="inlineStr">
        <is>
          <t>Conformidade</t>
        </is>
      </c>
      <c r="J45" s="8">
        <f>IF(G45="","",IF(G45="SIM",1,0))</f>
        <v/>
      </c>
      <c r="K45" s="8">
        <f>IF(H45="","",IF(H45="Integral",1,IF(H45="Amostral",0.5,IF(H45="Não realizada",0,""))))</f>
        <v/>
      </c>
      <c r="L45" s="8">
        <f>IF(I45="","",IF(I45="Conformidade",1,IF(I45="Não Conformidade",0,IF(I45="Não Conformidade Grave",-1,""))))</f>
        <v/>
      </c>
      <c r="M45" s="51">
        <f>IF(COUNTA(G45:I45)=0,"",ROUND(AVERAGE(J45:L45)*100,0))</f>
        <v/>
      </c>
      <c r="N45" s="51">
        <f>IFERROR(AVERAGEIF(C$2:C$201,C45,M$2:M$201),"N/A")</f>
        <v/>
      </c>
      <c r="O45" s="10" t="inlineStr">
        <is>
          <t>Monitoria executada sem desvios relevantes.</t>
        </is>
      </c>
    </row>
    <row r="46" hidden="1" ht="15" customHeight="1" s="41">
      <c r="A46" s="8">
        <f>IF(B46="","",ROW()-1)</f>
        <v/>
      </c>
      <c r="B46" s="50" t="n">
        <v>46217</v>
      </c>
      <c r="C46" s="10" t="inlineStr">
        <is>
          <t>Financeiro</t>
        </is>
      </c>
      <c r="D46" s="10" t="inlineStr">
        <is>
          <t>Gestão de Incidentes</t>
        </is>
      </c>
      <c r="E46" s="10" t="inlineStr">
        <is>
          <t>Gestão de Incidentes</t>
        </is>
      </c>
      <c r="F46" s="10" t="n">
        <v>6</v>
      </c>
      <c r="G46" s="10" t="inlineStr">
        <is>
          <t>SIM</t>
        </is>
      </c>
      <c r="H46" s="10" t="inlineStr">
        <is>
          <t>Amostral</t>
        </is>
      </c>
      <c r="I46" s="10" t="inlineStr">
        <is>
          <t>Conformidade</t>
        </is>
      </c>
      <c r="J46" s="8">
        <f>IF(G46="","",IF(G46="SIM",1,0))</f>
        <v/>
      </c>
      <c r="K46" s="8">
        <f>IF(H46="","",IF(H46="Integral",1,IF(H46="Amostral",0.5,IF(H46="Não realizada",0,""))))</f>
        <v/>
      </c>
      <c r="L46" s="8">
        <f>IF(I46="","",IF(I46="Conformidade",1,IF(I46="Não Conformidade",0,IF(I46="Não Conformidade Grave",-1,""))))</f>
        <v/>
      </c>
      <c r="M46" s="51">
        <f>IF(COUNTA(G46:I46)=0,"",ROUND(AVERAGE(J46:L46)*100,0))</f>
        <v/>
      </c>
      <c r="N46" s="51">
        <f>IFERROR(AVERAGEIF(C$2:C$201,C46,M$2:M$201),"N/A")</f>
        <v/>
      </c>
      <c r="O46" s="10" t="inlineStr">
        <is>
          <t>Monitoria executada sem desvios relevantes.</t>
        </is>
      </c>
    </row>
    <row r="47" hidden="1" ht="15" customHeight="1" s="41">
      <c r="A47" s="8">
        <f>IF(B47="","",ROW()-1)</f>
        <v/>
      </c>
      <c r="B47" s="50" t="n">
        <v>46249</v>
      </c>
      <c r="C47" s="10" t="inlineStr">
        <is>
          <t>Atendimento</t>
        </is>
      </c>
      <c r="D47" s="10" t="inlineStr">
        <is>
          <t>Auditoria de Processos</t>
        </is>
      </c>
      <c r="E47" s="10" t="inlineStr">
        <is>
          <t>Auditoria de Processos</t>
        </is>
      </c>
      <c r="F47" s="10" t="n">
        <v>7</v>
      </c>
      <c r="G47" s="10" t="inlineStr">
        <is>
          <t>SIM</t>
        </is>
      </c>
      <c r="H47" s="10" t="inlineStr">
        <is>
          <t>Amostral</t>
        </is>
      </c>
      <c r="I47" s="10" t="inlineStr">
        <is>
          <t>Não Conformidade Grave</t>
        </is>
      </c>
      <c r="J47" s="8">
        <f>IF(G47="","",IF(G47="SIM",1,0))</f>
        <v/>
      </c>
      <c r="K47" s="8">
        <f>IF(H47="","",IF(H47="Integral",1,IF(H47="Amostral",0.5,IF(H47="Não realizada",0,""))))</f>
        <v/>
      </c>
      <c r="L47" s="8">
        <f>IF(I47="","",IF(I47="Conformidade",1,IF(I47="Não Conformidade",0,IF(I47="Não Conformidade Grave",-1,""))))</f>
        <v/>
      </c>
      <c r="M47" s="51">
        <f>IF(COUNTA(G47:I47)=0,"",ROUND(AVERAGE(J47:L47)*100,0))</f>
        <v/>
      </c>
      <c r="N47" s="51">
        <f>IFERROR(AVERAGEIF(C$2:C$201,C47,M$2:M$201),"N/A")</f>
        <v/>
      </c>
      <c r="O47" s="10" t="inlineStr">
        <is>
          <t>Monitoria identificou desvios que exigem tratamento.</t>
        </is>
      </c>
    </row>
    <row r="48" hidden="1" ht="15" customHeight="1" s="41">
      <c r="A48" s="8">
        <f>IF(B48="","",ROW()-1)</f>
        <v/>
      </c>
      <c r="B48" s="50" t="n">
        <v>46189</v>
      </c>
      <c r="C48" s="10" t="inlineStr">
        <is>
          <t>Tecnologia</t>
        </is>
      </c>
      <c r="D48" s="10" t="inlineStr">
        <is>
          <t>Faturamento</t>
        </is>
      </c>
      <c r="E48" s="10" t="inlineStr">
        <is>
          <t>Faturamento</t>
        </is>
      </c>
      <c r="F48" s="10" t="n">
        <v>8</v>
      </c>
      <c r="G48" s="10" t="inlineStr">
        <is>
          <t>NÃO</t>
        </is>
      </c>
      <c r="H48" s="10" t="inlineStr">
        <is>
          <t>Não realizada</t>
        </is>
      </c>
      <c r="I48" s="10" t="inlineStr">
        <is>
          <t>Conformidade</t>
        </is>
      </c>
      <c r="J48" s="8">
        <f>IF(G48="","",IF(G48="SIM",1,0))</f>
        <v/>
      </c>
      <c r="K48" s="8">
        <f>IF(H48="","",IF(H48="Integral",1,IF(H48="Amostral",0.5,IF(H48="Não realizada",0,""))))</f>
        <v/>
      </c>
      <c r="L48" s="8">
        <f>IF(I48="","",IF(I48="Conformidade",1,IF(I48="Não Conformidade",0,IF(I48="Não Conformidade Grave",-1,""))))</f>
        <v/>
      </c>
      <c r="M48" s="51">
        <f>IF(COUNTA(G48:I48)=0,"",ROUND(AVERAGE(J48:L48)*100,0))</f>
        <v/>
      </c>
      <c r="N48" s="51">
        <f>IFERROR(AVERAGEIF(C$2:C$201,C48,M$2:M$201),"N/A")</f>
        <v/>
      </c>
      <c r="O48" s="10" t="inlineStr">
        <is>
          <t>Monitoria ainda não implantada; necessário definir rotina e amostra.</t>
        </is>
      </c>
    </row>
    <row r="49" ht="15" customHeight="1" s="41">
      <c r="A49" s="8">
        <f>IF(B49="","",ROW()-1)</f>
        <v/>
      </c>
      <c r="B49" s="50" t="n">
        <v>46220</v>
      </c>
      <c r="C49" s="10" t="inlineStr">
        <is>
          <t>PROCESSOS</t>
        </is>
      </c>
      <c r="D49" s="10" t="inlineStr">
        <is>
          <t>Gestão de Contratos</t>
        </is>
      </c>
      <c r="E49" s="10" t="inlineStr">
        <is>
          <t>Gestão de Contratos</t>
        </is>
      </c>
      <c r="F49" s="10" t="n">
        <v>9</v>
      </c>
      <c r="G49" s="10" t="inlineStr">
        <is>
          <t>SIM</t>
        </is>
      </c>
      <c r="H49" s="10" t="inlineStr">
        <is>
          <t>Amostral</t>
        </is>
      </c>
      <c r="I49" s="10" t="inlineStr">
        <is>
          <t>Conformidade</t>
        </is>
      </c>
      <c r="J49" s="8">
        <f>IF(G49="","",IF(G49="SIM",1,0))</f>
        <v/>
      </c>
      <c r="K49" s="8">
        <f>IF(H49="","",IF(H49="Integral",1,IF(H49="Amostral",0.5,IF(H49="Não realizada",0,""))))</f>
        <v/>
      </c>
      <c r="L49" s="8">
        <f>IF(I49="","",IF(I49="Conformidade",1,IF(I49="Não Conformidade",0,IF(I49="Não Conformidade Grave",-1,""))))</f>
        <v/>
      </c>
      <c r="M49" s="51">
        <f>IF(COUNTA(G49:I49)=0,"",ROUND(AVERAGE(J49:L49)*100,0))</f>
        <v/>
      </c>
      <c r="N49" s="51">
        <f>IFERROR(AVERAGEIF(C$2:C$201,C49,M$2:M$201),"N/A")</f>
        <v/>
      </c>
      <c r="O49" s="10" t="inlineStr">
        <is>
          <t>Monitoria executada sem desvios relevantes.</t>
        </is>
      </c>
    </row>
    <row r="50" hidden="1" ht="15" customHeight="1" s="41">
      <c r="A50" s="8">
        <f>IF(B50="","",ROW()-1)</f>
        <v/>
      </c>
      <c r="B50" s="50" t="n">
        <v>46252</v>
      </c>
      <c r="C50" s="10" t="inlineStr">
        <is>
          <t>Qualidade</t>
        </is>
      </c>
      <c r="D50" s="10" t="inlineStr">
        <is>
          <t>Contas a Pagar</t>
        </is>
      </c>
      <c r="E50" s="10" t="inlineStr">
        <is>
          <t>Contas a Pagar</t>
        </is>
      </c>
      <c r="F50" s="10" t="n">
        <v>10</v>
      </c>
      <c r="G50" s="10" t="inlineStr">
        <is>
          <t>SIM</t>
        </is>
      </c>
      <c r="H50" s="10" t="inlineStr">
        <is>
          <t>Amostral</t>
        </is>
      </c>
      <c r="I50" s="10" t="inlineStr">
        <is>
          <t>Conformidade</t>
        </is>
      </c>
      <c r="J50" s="8">
        <f>IF(G50="","",IF(G50="SIM",1,0))</f>
        <v/>
      </c>
      <c r="K50" s="8">
        <f>IF(H50="","",IF(H50="Integral",1,IF(H50="Amostral",0.5,IF(H50="Não realizada",0,""))))</f>
        <v/>
      </c>
      <c r="L50" s="8">
        <f>IF(I50="","",IF(I50="Conformidade",1,IF(I50="Não Conformidade",0,IF(I50="Não Conformidade Grave",-1,""))))</f>
        <v/>
      </c>
      <c r="M50" s="51">
        <f>IF(COUNTA(G50:I50)=0,"",ROUND(AVERAGE(J50:L50)*100,0))</f>
        <v/>
      </c>
      <c r="N50" s="51">
        <f>IFERROR(AVERAGEIF(C$2:C$201,C50,M$2:M$201),"N/A")</f>
        <v/>
      </c>
      <c r="O50" s="10" t="inlineStr">
        <is>
          <t>Monitoria executada sem desvios relevantes.</t>
        </is>
      </c>
    </row>
    <row r="51" hidden="1" ht="15" customHeight="1" s="41">
      <c r="A51" s="8">
        <f>IF(B51="","",ROW()-1)</f>
        <v/>
      </c>
      <c r="B51" s="50" t="n">
        <v>46192</v>
      </c>
      <c r="C51" s="10" t="inlineStr">
        <is>
          <t>Recursos Humanos</t>
        </is>
      </c>
      <c r="D51" s="10" t="inlineStr">
        <is>
          <t>Gestão de Incidentes</t>
        </is>
      </c>
      <c r="E51" s="10" t="inlineStr">
        <is>
          <t>Gestão de Incidentes</t>
        </is>
      </c>
      <c r="F51" s="10" t="n">
        <v>11</v>
      </c>
      <c r="G51" s="10" t="inlineStr">
        <is>
          <t>NÃO</t>
        </is>
      </c>
      <c r="H51" s="10" t="inlineStr">
        <is>
          <t>Não realizada</t>
        </is>
      </c>
      <c r="I51" s="10" t="inlineStr">
        <is>
          <t>Não Conformidade</t>
        </is>
      </c>
      <c r="J51" s="8">
        <f>IF(G51="","",IF(G51="SIM",1,0))</f>
        <v/>
      </c>
      <c r="K51" s="8">
        <f>IF(H51="","",IF(H51="Integral",1,IF(H51="Amostral",0.5,IF(H51="Não realizada",0,""))))</f>
        <v/>
      </c>
      <c r="L51" s="8">
        <f>IF(I51="","",IF(I51="Conformidade",1,IF(I51="Não Conformidade",0,IF(I51="Não Conformidade Grave",-1,""))))</f>
        <v/>
      </c>
      <c r="M51" s="51">
        <f>IF(COUNTA(G51:I51)=0,"",ROUND(AVERAGE(J51:L51)*100,0))</f>
        <v/>
      </c>
      <c r="N51" s="51">
        <f>IFERROR(AVERAGEIF(C$2:C$201,C51,M$2:M$201),"N/A")</f>
        <v/>
      </c>
      <c r="O51" s="10" t="inlineStr">
        <is>
          <t>Monitoria ainda não implantada; necessário definir rotina e amostra.</t>
        </is>
      </c>
    </row>
    <row r="52" hidden="1" ht="15" customHeight="1" s="41">
      <c r="A52" s="8">
        <f>IF(B52="","",ROW()-1)</f>
        <v/>
      </c>
      <c r="B52" s="50" t="n">
        <v>46223</v>
      </c>
      <c r="C52" s="10" t="inlineStr">
        <is>
          <t>Financeiro</t>
        </is>
      </c>
      <c r="D52" s="10" t="inlineStr">
        <is>
          <t>Auditoria de Processos</t>
        </is>
      </c>
      <c r="E52" s="10" t="inlineStr">
        <is>
          <t>Auditoria de Processos</t>
        </is>
      </c>
      <c r="F52" s="10" t="n">
        <v>12</v>
      </c>
      <c r="G52" s="10" t="inlineStr">
        <is>
          <t>SIM</t>
        </is>
      </c>
      <c r="H52" s="10" t="inlineStr">
        <is>
          <t>Amostral</t>
        </is>
      </c>
      <c r="I52" s="10" t="inlineStr">
        <is>
          <t>Conformidade</t>
        </is>
      </c>
      <c r="J52" s="8">
        <f>IF(G52="","",IF(G52="SIM",1,0))</f>
        <v/>
      </c>
      <c r="K52" s="8">
        <f>IF(H52="","",IF(H52="Integral",1,IF(H52="Amostral",0.5,IF(H52="Não realizada",0,""))))</f>
        <v/>
      </c>
      <c r="L52" s="8">
        <f>IF(I52="","",IF(I52="Conformidade",1,IF(I52="Não Conformidade",0,IF(I52="Não Conformidade Grave",-1,""))))</f>
        <v/>
      </c>
      <c r="M52" s="51">
        <f>IF(COUNTA(G52:I52)=0,"",ROUND(AVERAGE(J52:L52)*100,0))</f>
        <v/>
      </c>
      <c r="N52" s="51">
        <f>IFERROR(AVERAGEIF(C$2:C$201,C52,M$2:M$201),"N/A")</f>
        <v/>
      </c>
      <c r="O52" s="10" t="inlineStr">
        <is>
          <t>Monitoria executada sem desvios relevantes.</t>
        </is>
      </c>
    </row>
    <row r="53" hidden="1" ht="15" customHeight="1" s="41">
      <c r="A53" s="8">
        <f>IF(B53="","",ROW()-1)</f>
        <v/>
      </c>
      <c r="B53" s="11" t="n"/>
      <c r="C53" s="8" t="n"/>
      <c r="D53" s="8" t="n"/>
      <c r="E53" s="8" t="n"/>
      <c r="F53" s="8" t="n"/>
      <c r="G53" s="8" t="n"/>
      <c r="H53" s="8" t="n"/>
      <c r="I53" s="8" t="n"/>
      <c r="J53" s="8">
        <f>IF(G53="","",IF(G53="SIM",1,0))</f>
        <v/>
      </c>
      <c r="K53" s="8">
        <f>IF(H53="","",IF(H53="Integral",1,IF(H53="Amostral",0.5,IF(H53="Não realizada",0,""))))</f>
        <v/>
      </c>
      <c r="L53" s="8">
        <f>IF(I53="","",IF(I53="Conformidade",1,IF(I53="Não Conformidade",0,IF(I53="Não Conformidade Grave",-1,""))))</f>
        <v/>
      </c>
      <c r="M53" s="8">
        <f>IF(COUNTA(G53:I53)=0,"",ROUND(AVERAGE(J53:L53)*100,0))</f>
        <v/>
      </c>
      <c r="N53" s="8">
        <f>IFERROR(AVERAGEIF(C$2:C$201,C53,M$2:M$201),"N/A")</f>
        <v/>
      </c>
      <c r="O53" s="8" t="n"/>
    </row>
    <row r="54" hidden="1" ht="15" customHeight="1" s="41">
      <c r="A54" s="8">
        <f>IF(B54="","",ROW()-1)</f>
        <v/>
      </c>
      <c r="B54" s="11" t="n"/>
      <c r="C54" s="8" t="n"/>
      <c r="D54" s="8" t="n"/>
      <c r="E54" s="8" t="n"/>
      <c r="F54" s="8" t="n"/>
      <c r="G54" s="8" t="n"/>
      <c r="H54" s="8" t="n"/>
      <c r="I54" s="8" t="n"/>
      <c r="J54" s="8">
        <f>IF(G54="","",IF(G54="SIM",1,0))</f>
        <v/>
      </c>
      <c r="K54" s="8">
        <f>IF(H54="","",IF(H54="Integral",1,IF(H54="Amostral",0.5,IF(H54="Não realizada",0,""))))</f>
        <v/>
      </c>
      <c r="L54" s="8">
        <f>IF(I54="","",IF(I54="Conformidade",1,IF(I54="Não Conformidade",0,IF(I54="Não Conformidade Grave",-1,""))))</f>
        <v/>
      </c>
      <c r="M54" s="8">
        <f>IF(COUNTA(G54:I54)=0,"",ROUND(AVERAGE(J54:L54)*100,0))</f>
        <v/>
      </c>
      <c r="N54" s="8">
        <f>IFERROR(AVERAGEIF(C$2:C$201,C54,M$2:M$201),"N/A")</f>
        <v/>
      </c>
      <c r="O54" s="8" t="n"/>
    </row>
    <row r="55" hidden="1" ht="15" customHeight="1" s="41">
      <c r="A55" s="8">
        <f>IF(B55="","",ROW()-1)</f>
        <v/>
      </c>
      <c r="B55" s="11" t="n"/>
      <c r="C55" s="8" t="n"/>
      <c r="D55" s="8" t="n"/>
      <c r="E55" s="8" t="n"/>
      <c r="F55" s="8" t="n"/>
      <c r="G55" s="8" t="n"/>
      <c r="H55" s="8" t="n"/>
      <c r="I55" s="8" t="n"/>
      <c r="J55" s="8">
        <f>IF(G55="","",IF(G55="SIM",1,0))</f>
        <v/>
      </c>
      <c r="K55" s="8">
        <f>IF(H55="","",IF(H55="Integral",1,IF(H55="Amostral",0.5,IF(H55="Não realizada",0,""))))</f>
        <v/>
      </c>
      <c r="L55" s="8">
        <f>IF(I55="","",IF(I55="Conformidade",1,IF(I55="Não Conformidade",0,IF(I55="Não Conformidade Grave",-1,""))))</f>
        <v/>
      </c>
      <c r="M55" s="8">
        <f>IF(COUNTA(G55:I55)=0,"",ROUND(AVERAGE(J55:L55)*100,0))</f>
        <v/>
      </c>
      <c r="N55" s="8">
        <f>IFERROR(AVERAGEIF(C$2:C$201,C55,M$2:M$201),"N/A")</f>
        <v/>
      </c>
      <c r="O55" s="8" t="n"/>
    </row>
    <row r="56" hidden="1" ht="15" customHeight="1" s="41">
      <c r="A56" s="8">
        <f>IF(B56="","",ROW()-1)</f>
        <v/>
      </c>
      <c r="B56" s="11" t="n"/>
      <c r="C56" s="8" t="n"/>
      <c r="D56" s="8" t="n"/>
      <c r="E56" s="8" t="n"/>
      <c r="F56" s="8" t="n"/>
      <c r="G56" s="8" t="n"/>
      <c r="H56" s="8" t="n"/>
      <c r="I56" s="8" t="n"/>
      <c r="J56" s="8">
        <f>IF(G56="","",IF(G56="SIM",1,0))</f>
        <v/>
      </c>
      <c r="K56" s="8">
        <f>IF(H56="","",IF(H56="Integral",1,IF(H56="Amostral",0.5,IF(H56="Não realizada",0,""))))</f>
        <v/>
      </c>
      <c r="L56" s="8">
        <f>IF(I56="","",IF(I56="Conformidade",1,IF(I56="Não Conformidade",0,IF(I56="Não Conformidade Grave",-1,""))))</f>
        <v/>
      </c>
      <c r="M56" s="8">
        <f>IF(COUNTA(G56:I56)=0,"",ROUND(AVERAGE(J56:L56)*100,0))</f>
        <v/>
      </c>
      <c r="N56" s="8">
        <f>IFERROR(AVERAGEIF(C$2:C$201,C56,M$2:M$201),"N/A")</f>
        <v/>
      </c>
      <c r="O56" s="8" t="n"/>
    </row>
    <row r="57" hidden="1" ht="15" customHeight="1" s="41">
      <c r="A57" s="8">
        <f>IF(B57="","",ROW()-1)</f>
        <v/>
      </c>
      <c r="B57" s="11" t="n"/>
      <c r="C57" s="8" t="n"/>
      <c r="D57" s="8" t="n"/>
      <c r="E57" s="8" t="n"/>
      <c r="F57" s="8" t="n"/>
      <c r="G57" s="8" t="n"/>
      <c r="H57" s="8" t="n"/>
      <c r="I57" s="8" t="n"/>
      <c r="J57" s="8">
        <f>IF(G57="","",IF(G57="SIM",1,0))</f>
        <v/>
      </c>
      <c r="K57" s="8">
        <f>IF(H57="","",IF(H57="Integral",1,IF(H57="Amostral",0.5,IF(H57="Não realizada",0,""))))</f>
        <v/>
      </c>
      <c r="L57" s="8">
        <f>IF(I57="","",IF(I57="Conformidade",1,IF(I57="Não Conformidade",0,IF(I57="Não Conformidade Grave",-1,""))))</f>
        <v/>
      </c>
      <c r="M57" s="8">
        <f>IF(COUNTA(G57:I57)=0,"",ROUND(AVERAGE(J57:L57)*100,0))</f>
        <v/>
      </c>
      <c r="N57" s="8">
        <f>IFERROR(AVERAGEIF(C$2:C$201,C57,M$2:M$201),"N/A")</f>
        <v/>
      </c>
      <c r="O57" s="8" t="n"/>
    </row>
    <row r="58" hidden="1" ht="15" customHeight="1" s="41">
      <c r="A58" s="8">
        <f>IF(B58="","",ROW()-1)</f>
        <v/>
      </c>
      <c r="B58" s="11" t="n"/>
      <c r="C58" s="8" t="n"/>
      <c r="D58" s="8" t="n"/>
      <c r="E58" s="8" t="n"/>
      <c r="F58" s="8" t="n"/>
      <c r="G58" s="8" t="n"/>
      <c r="H58" s="8" t="n"/>
      <c r="I58" s="8" t="n"/>
      <c r="J58" s="8">
        <f>IF(G58="","",IF(G58="SIM",1,0))</f>
        <v/>
      </c>
      <c r="K58" s="8">
        <f>IF(H58="","",IF(H58="Integral",1,IF(H58="Amostral",0.5,IF(H58="Não realizada",0,""))))</f>
        <v/>
      </c>
      <c r="L58" s="8">
        <f>IF(I58="","",IF(I58="Conformidade",1,IF(I58="Não Conformidade",0,IF(I58="Não Conformidade Grave",-1,""))))</f>
        <v/>
      </c>
      <c r="M58" s="8">
        <f>IF(COUNTA(G58:I58)=0,"",ROUND(AVERAGE(J58:L58)*100,0))</f>
        <v/>
      </c>
      <c r="N58" s="8">
        <f>IFERROR(AVERAGEIF(C$2:C$201,C58,M$2:M$201),"N/A")</f>
        <v/>
      </c>
      <c r="O58" s="8" t="n"/>
    </row>
    <row r="59" hidden="1" ht="15" customHeight="1" s="41">
      <c r="A59" s="8">
        <f>IF(B59="","",ROW()-1)</f>
        <v/>
      </c>
      <c r="B59" s="11" t="n"/>
      <c r="C59" s="8" t="n"/>
      <c r="D59" s="8" t="n"/>
      <c r="E59" s="8" t="n"/>
      <c r="F59" s="8" t="n"/>
      <c r="G59" s="8" t="n"/>
      <c r="H59" s="8" t="n"/>
      <c r="I59" s="8" t="n"/>
      <c r="J59" s="8">
        <f>IF(G59="","",IF(G59="SIM",1,0))</f>
        <v/>
      </c>
      <c r="K59" s="8">
        <f>IF(H59="","",IF(H59="Integral",1,IF(H59="Amostral",0.5,IF(H59="Não realizada",0,""))))</f>
        <v/>
      </c>
      <c r="L59" s="8">
        <f>IF(I59="","",IF(I59="Conformidade",1,IF(I59="Não Conformidade",0,IF(I59="Não Conformidade Grave",-1,""))))</f>
        <v/>
      </c>
      <c r="M59" s="8">
        <f>IF(COUNTA(G59:I59)=0,"",ROUND(AVERAGE(J59:L59)*100,0))</f>
        <v/>
      </c>
      <c r="N59" s="8">
        <f>IFERROR(AVERAGEIF(C$2:C$201,C59,M$2:M$201),"N/A")</f>
        <v/>
      </c>
      <c r="O59" s="8" t="n"/>
    </row>
    <row r="60" hidden="1" ht="15" customHeight="1" s="41">
      <c r="A60" s="8">
        <f>IF(B60="","",ROW()-1)</f>
        <v/>
      </c>
      <c r="B60" s="11" t="n"/>
      <c r="C60" s="8" t="n"/>
      <c r="D60" s="8" t="n"/>
      <c r="E60" s="8" t="n"/>
      <c r="F60" s="8" t="n"/>
      <c r="G60" s="8" t="n"/>
      <c r="H60" s="8" t="n"/>
      <c r="I60" s="8" t="n"/>
      <c r="J60" s="8">
        <f>IF(G60="","",IF(G60="SIM",1,0))</f>
        <v/>
      </c>
      <c r="K60" s="8">
        <f>IF(H60="","",IF(H60="Integral",1,IF(H60="Amostral",0.5,IF(H60="Não realizada",0,""))))</f>
        <v/>
      </c>
      <c r="L60" s="8">
        <f>IF(I60="","",IF(I60="Conformidade",1,IF(I60="Não Conformidade",0,IF(I60="Não Conformidade Grave",-1,""))))</f>
        <v/>
      </c>
      <c r="M60" s="8">
        <f>IF(COUNTA(G60:I60)=0,"",ROUND(AVERAGE(J60:L60)*100,0))</f>
        <v/>
      </c>
      <c r="N60" s="8">
        <f>IFERROR(AVERAGEIF(C$2:C$201,C60,M$2:M$201),"N/A")</f>
        <v/>
      </c>
      <c r="O60" s="8" t="n"/>
    </row>
    <row r="61" hidden="1" ht="15" customHeight="1" s="41">
      <c r="A61" s="8">
        <f>IF(B61="","",ROW()-1)</f>
        <v/>
      </c>
      <c r="B61" s="11" t="n"/>
      <c r="C61" s="8" t="n"/>
      <c r="D61" s="8" t="n"/>
      <c r="E61" s="8" t="n"/>
      <c r="F61" s="8" t="n"/>
      <c r="G61" s="8" t="n"/>
      <c r="H61" s="8" t="n"/>
      <c r="I61" s="8" t="n"/>
      <c r="J61" s="8">
        <f>IF(G61="","",IF(G61="SIM",1,0))</f>
        <v/>
      </c>
      <c r="K61" s="8">
        <f>IF(H61="","",IF(H61="Integral",1,IF(H61="Amostral",0.5,IF(H61="Não realizada",0,""))))</f>
        <v/>
      </c>
      <c r="L61" s="8">
        <f>IF(I61="","",IF(I61="Conformidade",1,IF(I61="Não Conformidade",0,IF(I61="Não Conformidade Grave",-1,""))))</f>
        <v/>
      </c>
      <c r="M61" s="8">
        <f>IF(COUNTA(G61:I61)=0,"",ROUND(AVERAGE(J61:L61)*100,0))</f>
        <v/>
      </c>
      <c r="N61" s="8">
        <f>IFERROR(AVERAGEIF(C$2:C$201,C61,M$2:M$201),"N/A")</f>
        <v/>
      </c>
      <c r="O61" s="8" t="n"/>
    </row>
    <row r="62" hidden="1" ht="15" customHeight="1" s="41">
      <c r="A62" s="8">
        <f>IF(B62="","",ROW()-1)</f>
        <v/>
      </c>
      <c r="B62" s="11" t="n"/>
      <c r="C62" s="8" t="n"/>
      <c r="D62" s="8" t="n"/>
      <c r="E62" s="8" t="n"/>
      <c r="F62" s="8" t="n"/>
      <c r="G62" s="8" t="n"/>
      <c r="H62" s="8" t="n"/>
      <c r="I62" s="8" t="n"/>
      <c r="J62" s="8">
        <f>IF(G62="","",IF(G62="SIM",1,0))</f>
        <v/>
      </c>
      <c r="K62" s="8">
        <f>IF(H62="","",IF(H62="Integral",1,IF(H62="Amostral",0.5,IF(H62="Não realizada",0,""))))</f>
        <v/>
      </c>
      <c r="L62" s="8">
        <f>IF(I62="","",IF(I62="Conformidade",1,IF(I62="Não Conformidade",0,IF(I62="Não Conformidade Grave",-1,""))))</f>
        <v/>
      </c>
      <c r="M62" s="8">
        <f>IF(COUNTA(G62:I62)=0,"",ROUND(AVERAGE(J62:L62)*100,0))</f>
        <v/>
      </c>
      <c r="N62" s="8">
        <f>IFERROR(AVERAGEIF(C$2:C$201,C62,M$2:M$201),"N/A")</f>
        <v/>
      </c>
      <c r="O62" s="8" t="n"/>
    </row>
    <row r="63" hidden="1" ht="15" customHeight="1" s="41">
      <c r="A63" s="8">
        <f>IF(B63="","",ROW()-1)</f>
        <v/>
      </c>
      <c r="B63" s="11" t="n"/>
      <c r="C63" s="8" t="n"/>
      <c r="D63" s="8" t="n"/>
      <c r="E63" s="8" t="n"/>
      <c r="F63" s="8" t="n"/>
      <c r="G63" s="8" t="n"/>
      <c r="H63" s="8" t="n"/>
      <c r="I63" s="8" t="n"/>
      <c r="J63" s="8">
        <f>IF(G63="","",IF(G63="SIM",1,0))</f>
        <v/>
      </c>
      <c r="K63" s="8">
        <f>IF(H63="","",IF(H63="Integral",1,IF(H63="Amostral",0.5,IF(H63="Não realizada",0,""))))</f>
        <v/>
      </c>
      <c r="L63" s="8">
        <f>IF(I63="","",IF(I63="Conformidade",1,IF(I63="Não Conformidade",0,IF(I63="Não Conformidade Grave",-1,""))))</f>
        <v/>
      </c>
      <c r="M63" s="8">
        <f>IF(COUNTA(G63:I63)=0,"",ROUND(AVERAGE(J63:L63)*100,0))</f>
        <v/>
      </c>
      <c r="N63" s="8">
        <f>IFERROR(AVERAGEIF(C$2:C$201,C63,M$2:M$201),"N/A")</f>
        <v/>
      </c>
      <c r="O63" s="8" t="n"/>
    </row>
    <row r="64" hidden="1" ht="15" customHeight="1" s="41">
      <c r="A64" s="8">
        <f>IF(B64="","",ROW()-1)</f>
        <v/>
      </c>
      <c r="B64" s="11" t="n"/>
      <c r="C64" s="8" t="n"/>
      <c r="D64" s="8" t="n"/>
      <c r="E64" s="8" t="n"/>
      <c r="F64" s="8" t="n"/>
      <c r="G64" s="8" t="n"/>
      <c r="H64" s="8" t="n"/>
      <c r="I64" s="8" t="n"/>
      <c r="J64" s="8">
        <f>IF(G64="","",IF(G64="SIM",1,0))</f>
        <v/>
      </c>
      <c r="K64" s="8">
        <f>IF(H64="","",IF(H64="Integral",1,IF(H64="Amostral",0.5,IF(H64="Não realizada",0,""))))</f>
        <v/>
      </c>
      <c r="L64" s="8">
        <f>IF(I64="","",IF(I64="Conformidade",1,IF(I64="Não Conformidade",0,IF(I64="Não Conformidade Grave",-1,""))))</f>
        <v/>
      </c>
      <c r="M64" s="8">
        <f>IF(COUNTA(G64:I64)=0,"",ROUND(AVERAGE(J64:L64)*100,0))</f>
        <v/>
      </c>
      <c r="N64" s="8">
        <f>IFERROR(AVERAGEIF(C$2:C$201,C64,M$2:M$201),"N/A")</f>
        <v/>
      </c>
      <c r="O64" s="8" t="n"/>
    </row>
    <row r="65" hidden="1" ht="15" customHeight="1" s="41">
      <c r="A65" s="8">
        <f>IF(B65="","",ROW()-1)</f>
        <v/>
      </c>
      <c r="B65" s="11" t="n"/>
      <c r="C65" s="8" t="n"/>
      <c r="D65" s="8" t="n"/>
      <c r="E65" s="8" t="n"/>
      <c r="F65" s="8" t="n"/>
      <c r="G65" s="8" t="n"/>
      <c r="H65" s="8" t="n"/>
      <c r="I65" s="8" t="n"/>
      <c r="J65" s="8">
        <f>IF(G65="","",IF(G65="SIM",1,0))</f>
        <v/>
      </c>
      <c r="K65" s="8">
        <f>IF(H65="","",IF(H65="Integral",1,IF(H65="Amostral",0.5,IF(H65="Não realizada",0,""))))</f>
        <v/>
      </c>
      <c r="L65" s="8">
        <f>IF(I65="","",IF(I65="Conformidade",1,IF(I65="Não Conformidade",0,IF(I65="Não Conformidade Grave",-1,""))))</f>
        <v/>
      </c>
      <c r="M65" s="8">
        <f>IF(COUNTA(G65:I65)=0,"",ROUND(AVERAGE(J65:L65)*100,0))</f>
        <v/>
      </c>
      <c r="N65" s="8">
        <f>IFERROR(AVERAGEIF(C$2:C$201,C65,M$2:M$201),"N/A")</f>
        <v/>
      </c>
      <c r="O65" s="8" t="n"/>
    </row>
    <row r="66" hidden="1" ht="15" customHeight="1" s="41">
      <c r="A66" s="8">
        <f>IF(B66="","",ROW()-1)</f>
        <v/>
      </c>
      <c r="B66" s="11" t="n"/>
      <c r="C66" s="8" t="n"/>
      <c r="D66" s="8" t="n"/>
      <c r="E66" s="8" t="n"/>
      <c r="F66" s="8" t="n"/>
      <c r="G66" s="8" t="n"/>
      <c r="H66" s="8" t="n"/>
      <c r="I66" s="8" t="n"/>
      <c r="J66" s="8">
        <f>IF(G66="","",IF(G66="SIM",1,0))</f>
        <v/>
      </c>
      <c r="K66" s="8">
        <f>IF(H66="","",IF(H66="Integral",1,IF(H66="Amostral",0.5,IF(H66="Não realizada",0,""))))</f>
        <v/>
      </c>
      <c r="L66" s="8">
        <f>IF(I66="","",IF(I66="Conformidade",1,IF(I66="Não Conformidade",0,IF(I66="Não Conformidade Grave",-1,""))))</f>
        <v/>
      </c>
      <c r="M66" s="8">
        <f>IF(COUNTA(G66:I66)=0,"",ROUND(AVERAGE(J66:L66)*100,0))</f>
        <v/>
      </c>
      <c r="N66" s="8">
        <f>IFERROR(AVERAGEIF(C$2:C$201,C66,M$2:M$201),"N/A")</f>
        <v/>
      </c>
      <c r="O66" s="8" t="n"/>
    </row>
    <row r="67" hidden="1" ht="15" customHeight="1" s="41">
      <c r="A67" s="8">
        <f>IF(B67="","",ROW()-1)</f>
        <v/>
      </c>
      <c r="B67" s="11" t="n"/>
      <c r="C67" s="8" t="n"/>
      <c r="D67" s="8" t="n"/>
      <c r="E67" s="8" t="n"/>
      <c r="F67" s="8" t="n"/>
      <c r="G67" s="8" t="n"/>
      <c r="H67" s="8" t="n"/>
      <c r="I67" s="8" t="n"/>
      <c r="J67" s="8">
        <f>IF(G67="","",IF(G67="SIM",1,0))</f>
        <v/>
      </c>
      <c r="K67" s="8">
        <f>IF(H67="","",IF(H67="Integral",1,IF(H67="Amostral",0.5,IF(H67="Não realizada",0,""))))</f>
        <v/>
      </c>
      <c r="L67" s="8">
        <f>IF(I67="","",IF(I67="Conformidade",1,IF(I67="Não Conformidade",0,IF(I67="Não Conformidade Grave",-1,""))))</f>
        <v/>
      </c>
      <c r="M67" s="8">
        <f>IF(COUNTA(G67:I67)=0,"",ROUND(AVERAGE(J67:L67)*100,0))</f>
        <v/>
      </c>
      <c r="N67" s="8">
        <f>IFERROR(AVERAGEIF(C$2:C$201,C67,M$2:M$201),"N/A")</f>
        <v/>
      </c>
      <c r="O67" s="8" t="n"/>
    </row>
    <row r="68" hidden="1" ht="15" customHeight="1" s="41">
      <c r="A68" s="8">
        <f>IF(B68="","",ROW()-1)</f>
        <v/>
      </c>
      <c r="B68" s="11" t="n"/>
      <c r="C68" s="8" t="n"/>
      <c r="D68" s="8" t="n"/>
      <c r="E68" s="8" t="n"/>
      <c r="F68" s="8" t="n"/>
      <c r="G68" s="8" t="n"/>
      <c r="H68" s="8" t="n"/>
      <c r="I68" s="8" t="n"/>
      <c r="J68" s="8">
        <f>IF(G68="","",IF(G68="SIM",1,0))</f>
        <v/>
      </c>
      <c r="K68" s="8">
        <f>IF(H68="","",IF(H68="Integral",1,IF(H68="Amostral",0.5,IF(H68="Não realizada",0,""))))</f>
        <v/>
      </c>
      <c r="L68" s="8">
        <f>IF(I68="","",IF(I68="Conformidade",1,IF(I68="Não Conformidade",0,IF(I68="Não Conformidade Grave",-1,""))))</f>
        <v/>
      </c>
      <c r="M68" s="8">
        <f>IF(COUNTA(G68:I68)=0,"",ROUND(AVERAGE(J68:L68)*100,0))</f>
        <v/>
      </c>
      <c r="N68" s="8">
        <f>IFERROR(AVERAGEIF(C$2:C$201,C68,M$2:M$201),"N/A")</f>
        <v/>
      </c>
      <c r="O68" s="8" t="n"/>
    </row>
    <row r="69" hidden="1" ht="15" customHeight="1" s="41">
      <c r="A69" s="8">
        <f>IF(B69="","",ROW()-1)</f>
        <v/>
      </c>
      <c r="B69" s="11" t="n"/>
      <c r="C69" s="8" t="n"/>
      <c r="D69" s="8" t="n"/>
      <c r="E69" s="8" t="n"/>
      <c r="F69" s="8" t="n"/>
      <c r="G69" s="8" t="n"/>
      <c r="H69" s="8" t="n"/>
      <c r="I69" s="8" t="n"/>
      <c r="J69" s="8">
        <f>IF(G69="","",IF(G69="SIM",1,0))</f>
        <v/>
      </c>
      <c r="K69" s="8">
        <f>IF(H69="","",IF(H69="Integral",1,IF(H69="Amostral",0.5,IF(H69="Não realizada",0,""))))</f>
        <v/>
      </c>
      <c r="L69" s="8">
        <f>IF(I69="","",IF(I69="Conformidade",1,IF(I69="Não Conformidade",0,IF(I69="Não Conformidade Grave",-1,""))))</f>
        <v/>
      </c>
      <c r="M69" s="8">
        <f>IF(COUNTA(G69:I69)=0,"",ROUND(AVERAGE(J69:L69)*100,0))</f>
        <v/>
      </c>
      <c r="N69" s="8">
        <f>IFERROR(AVERAGEIF(C$2:C$201,C69,M$2:M$201),"N/A")</f>
        <v/>
      </c>
      <c r="O69" s="8" t="n"/>
    </row>
    <row r="70" hidden="1" ht="15" customHeight="1" s="41">
      <c r="A70" s="8">
        <f>IF(B70="","",ROW()-1)</f>
        <v/>
      </c>
      <c r="B70" s="11" t="n"/>
      <c r="C70" s="8" t="n"/>
      <c r="D70" s="8" t="n"/>
      <c r="E70" s="8" t="n"/>
      <c r="F70" s="8" t="n"/>
      <c r="G70" s="8" t="n"/>
      <c r="H70" s="8" t="n"/>
      <c r="I70" s="8" t="n"/>
      <c r="J70" s="8">
        <f>IF(G70="","",IF(G70="SIM",1,0))</f>
        <v/>
      </c>
      <c r="K70" s="8">
        <f>IF(H70="","",IF(H70="Integral",1,IF(H70="Amostral",0.5,IF(H70="Não realizada",0,""))))</f>
        <v/>
      </c>
      <c r="L70" s="8">
        <f>IF(I70="","",IF(I70="Conformidade",1,IF(I70="Não Conformidade",0,IF(I70="Não Conformidade Grave",-1,""))))</f>
        <v/>
      </c>
      <c r="M70" s="8">
        <f>IF(COUNTA(G70:I70)=0,"",ROUND(AVERAGE(J70:L70)*100,0))</f>
        <v/>
      </c>
      <c r="N70" s="8">
        <f>IFERROR(AVERAGEIF(C$2:C$201,C70,M$2:M$201),"N/A")</f>
        <v/>
      </c>
      <c r="O70" s="8" t="n"/>
    </row>
    <row r="71" hidden="1" ht="15" customHeight="1" s="41">
      <c r="A71" s="8">
        <f>IF(B71="","",ROW()-1)</f>
        <v/>
      </c>
      <c r="B71" s="11" t="n"/>
      <c r="C71" s="8" t="n"/>
      <c r="D71" s="8" t="n"/>
      <c r="E71" s="8" t="n"/>
      <c r="F71" s="8" t="n"/>
      <c r="G71" s="8" t="n"/>
      <c r="H71" s="8" t="n"/>
      <c r="I71" s="8" t="n"/>
      <c r="J71" s="8">
        <f>IF(G71="","",IF(G71="SIM",1,0))</f>
        <v/>
      </c>
      <c r="K71" s="8">
        <f>IF(H71="","",IF(H71="Integral",1,IF(H71="Amostral",0.5,IF(H71="Não realizada",0,""))))</f>
        <v/>
      </c>
      <c r="L71" s="8">
        <f>IF(I71="","",IF(I71="Conformidade",1,IF(I71="Não Conformidade",0,IF(I71="Não Conformidade Grave",-1,""))))</f>
        <v/>
      </c>
      <c r="M71" s="8">
        <f>IF(COUNTA(G71:I71)=0,"",ROUND(AVERAGE(J71:L71)*100,0))</f>
        <v/>
      </c>
      <c r="N71" s="8">
        <f>IFERROR(AVERAGEIF(C$2:C$201,C71,M$2:M$201),"N/A")</f>
        <v/>
      </c>
      <c r="O71" s="8" t="n"/>
    </row>
    <row r="72" hidden="1" ht="15" customHeight="1" s="41">
      <c r="A72" s="8">
        <f>IF(B72="","",ROW()-1)</f>
        <v/>
      </c>
      <c r="B72" s="11" t="n"/>
      <c r="C72" s="8" t="n"/>
      <c r="D72" s="8" t="n"/>
      <c r="E72" s="8" t="n"/>
      <c r="F72" s="8" t="n"/>
      <c r="G72" s="8" t="n"/>
      <c r="H72" s="8" t="n"/>
      <c r="I72" s="8" t="n"/>
      <c r="J72" s="8">
        <f>IF(G72="","",IF(G72="SIM",1,0))</f>
        <v/>
      </c>
      <c r="K72" s="8">
        <f>IF(H72="","",IF(H72="Integral",1,IF(H72="Amostral",0.5,IF(H72="Não realizada",0,""))))</f>
        <v/>
      </c>
      <c r="L72" s="8">
        <f>IF(I72="","",IF(I72="Conformidade",1,IF(I72="Não Conformidade",0,IF(I72="Não Conformidade Grave",-1,""))))</f>
        <v/>
      </c>
      <c r="M72" s="8">
        <f>IF(COUNTA(G72:I72)=0,"",ROUND(AVERAGE(J72:L72)*100,0))</f>
        <v/>
      </c>
      <c r="N72" s="8">
        <f>IFERROR(AVERAGEIF(C$2:C$201,C72,M$2:M$201),"N/A")</f>
        <v/>
      </c>
      <c r="O72" s="8" t="n"/>
    </row>
    <row r="73" hidden="1" ht="15" customHeight="1" s="41">
      <c r="A73" s="8">
        <f>IF(B73="","",ROW()-1)</f>
        <v/>
      </c>
      <c r="B73" s="11" t="n"/>
      <c r="C73" s="8" t="n"/>
      <c r="D73" s="8" t="n"/>
      <c r="E73" s="8" t="n"/>
      <c r="F73" s="8" t="n"/>
      <c r="G73" s="8" t="n"/>
      <c r="H73" s="8" t="n"/>
      <c r="I73" s="8" t="n"/>
      <c r="J73" s="8">
        <f>IF(G73="","",IF(G73="SIM",1,0))</f>
        <v/>
      </c>
      <c r="K73" s="8">
        <f>IF(H73="","",IF(H73="Integral",1,IF(H73="Amostral",0.5,IF(H73="Não realizada",0,""))))</f>
        <v/>
      </c>
      <c r="L73" s="8">
        <f>IF(I73="","",IF(I73="Conformidade",1,IF(I73="Não Conformidade",0,IF(I73="Não Conformidade Grave",-1,""))))</f>
        <v/>
      </c>
      <c r="M73" s="8">
        <f>IF(COUNTA(G73:I73)=0,"",ROUND(AVERAGE(J73:L73)*100,0))</f>
        <v/>
      </c>
      <c r="N73" s="8">
        <f>IFERROR(AVERAGEIF(C$2:C$201,C73,M$2:M$201),"N/A")</f>
        <v/>
      </c>
      <c r="O73" s="8" t="n"/>
    </row>
    <row r="74" hidden="1" ht="15" customHeight="1" s="41">
      <c r="A74" s="8">
        <f>IF(B74="","",ROW()-1)</f>
        <v/>
      </c>
      <c r="B74" s="11" t="n"/>
      <c r="C74" s="8" t="n"/>
      <c r="D74" s="8" t="n"/>
      <c r="E74" s="8" t="n"/>
      <c r="F74" s="8" t="n"/>
      <c r="G74" s="8" t="n"/>
      <c r="H74" s="8" t="n"/>
      <c r="I74" s="8" t="n"/>
      <c r="J74" s="8">
        <f>IF(G74="","",IF(G74="SIM",1,0))</f>
        <v/>
      </c>
      <c r="K74" s="8">
        <f>IF(H74="","",IF(H74="Integral",1,IF(H74="Amostral",0.5,IF(H74="Não realizada",0,""))))</f>
        <v/>
      </c>
      <c r="L74" s="8">
        <f>IF(I74="","",IF(I74="Conformidade",1,IF(I74="Não Conformidade",0,IF(I74="Não Conformidade Grave",-1,""))))</f>
        <v/>
      </c>
      <c r="M74" s="8">
        <f>IF(COUNTA(G74:I74)=0,"",ROUND(AVERAGE(J74:L74)*100,0))</f>
        <v/>
      </c>
      <c r="N74" s="8">
        <f>IFERROR(AVERAGEIF(C$2:C$201,C74,M$2:M$201),"N/A")</f>
        <v/>
      </c>
      <c r="O74" s="8" t="n"/>
    </row>
    <row r="75" hidden="1" ht="15" customHeight="1" s="41">
      <c r="A75" s="8">
        <f>IF(B75="","",ROW()-1)</f>
        <v/>
      </c>
      <c r="B75" s="11" t="n"/>
      <c r="C75" s="8" t="n"/>
      <c r="D75" s="8" t="n"/>
      <c r="E75" s="8" t="n"/>
      <c r="F75" s="8" t="n"/>
      <c r="G75" s="8" t="n"/>
      <c r="H75" s="8" t="n"/>
      <c r="I75" s="8" t="n"/>
      <c r="J75" s="8">
        <f>IF(G75="","",IF(G75="SIM",1,0))</f>
        <v/>
      </c>
      <c r="K75" s="8">
        <f>IF(H75="","",IF(H75="Integral",1,IF(H75="Amostral",0.5,IF(H75="Não realizada",0,""))))</f>
        <v/>
      </c>
      <c r="L75" s="8">
        <f>IF(I75="","",IF(I75="Conformidade",1,IF(I75="Não Conformidade",0,IF(I75="Não Conformidade Grave",-1,""))))</f>
        <v/>
      </c>
      <c r="M75" s="8">
        <f>IF(COUNTA(G75:I75)=0,"",ROUND(AVERAGE(J75:L75)*100,0))</f>
        <v/>
      </c>
      <c r="N75" s="8">
        <f>IFERROR(AVERAGEIF(C$2:C$201,C75,M$2:M$201),"N/A")</f>
        <v/>
      </c>
      <c r="O75" s="8" t="n"/>
    </row>
    <row r="76" hidden="1" ht="15" customHeight="1" s="41">
      <c r="A76" s="8">
        <f>IF(B76="","",ROW()-1)</f>
        <v/>
      </c>
      <c r="B76" s="11" t="n"/>
      <c r="C76" s="8" t="n"/>
      <c r="D76" s="8" t="n"/>
      <c r="E76" s="8" t="n"/>
      <c r="F76" s="8" t="n"/>
      <c r="G76" s="8" t="n"/>
      <c r="H76" s="8" t="n"/>
      <c r="I76" s="8" t="n"/>
      <c r="J76" s="8">
        <f>IF(G76="","",IF(G76="SIM",1,0))</f>
        <v/>
      </c>
      <c r="K76" s="8">
        <f>IF(H76="","",IF(H76="Integral",1,IF(H76="Amostral",0.5,IF(H76="Não realizada",0,""))))</f>
        <v/>
      </c>
      <c r="L76" s="8">
        <f>IF(I76="","",IF(I76="Conformidade",1,IF(I76="Não Conformidade",0,IF(I76="Não Conformidade Grave",-1,""))))</f>
        <v/>
      </c>
      <c r="M76" s="8">
        <f>IF(COUNTA(G76:I76)=0,"",ROUND(AVERAGE(J76:L76)*100,0))</f>
        <v/>
      </c>
      <c r="N76" s="8">
        <f>IFERROR(AVERAGEIF(C$2:C$201,C76,M$2:M$201),"N/A")</f>
        <v/>
      </c>
      <c r="O76" s="8" t="n"/>
    </row>
    <row r="77" hidden="1" ht="15" customHeight="1" s="41">
      <c r="A77" s="8">
        <f>IF(B77="","",ROW()-1)</f>
        <v/>
      </c>
      <c r="B77" s="11" t="n"/>
      <c r="C77" s="8" t="n"/>
      <c r="D77" s="8" t="n"/>
      <c r="E77" s="8" t="n"/>
      <c r="F77" s="8" t="n"/>
      <c r="G77" s="8" t="n"/>
      <c r="H77" s="8" t="n"/>
      <c r="I77" s="8" t="n"/>
      <c r="J77" s="8">
        <f>IF(G77="","",IF(G77="SIM",1,0))</f>
        <v/>
      </c>
      <c r="K77" s="8">
        <f>IF(H77="","",IF(H77="Integral",1,IF(H77="Amostral",0.5,IF(H77="Não realizada",0,""))))</f>
        <v/>
      </c>
      <c r="L77" s="8">
        <f>IF(I77="","",IF(I77="Conformidade",1,IF(I77="Não Conformidade",0,IF(I77="Não Conformidade Grave",-1,""))))</f>
        <v/>
      </c>
      <c r="M77" s="8">
        <f>IF(COUNTA(G77:I77)=0,"",ROUND(AVERAGE(J77:L77)*100,0))</f>
        <v/>
      </c>
      <c r="N77" s="8">
        <f>IFERROR(AVERAGEIF(C$2:C$201,C77,M$2:M$201),"N/A")</f>
        <v/>
      </c>
      <c r="O77" s="8" t="n"/>
    </row>
    <row r="78" hidden="1" ht="15" customHeight="1" s="41">
      <c r="A78" s="8">
        <f>IF(B78="","",ROW()-1)</f>
        <v/>
      </c>
      <c r="B78" s="11" t="n"/>
      <c r="C78" s="8" t="n"/>
      <c r="D78" s="8" t="n"/>
      <c r="E78" s="8" t="n"/>
      <c r="F78" s="8" t="n"/>
      <c r="G78" s="8" t="n"/>
      <c r="H78" s="8" t="n"/>
      <c r="I78" s="8" t="n"/>
      <c r="J78" s="8">
        <f>IF(G78="","",IF(G78="SIM",1,0))</f>
        <v/>
      </c>
      <c r="K78" s="8">
        <f>IF(H78="","",IF(H78="Integral",1,IF(H78="Amostral",0.5,IF(H78="Não realizada",0,""))))</f>
        <v/>
      </c>
      <c r="L78" s="8">
        <f>IF(I78="","",IF(I78="Conformidade",1,IF(I78="Não Conformidade",0,IF(I78="Não Conformidade Grave",-1,""))))</f>
        <v/>
      </c>
      <c r="M78" s="8">
        <f>IF(COUNTA(G78:I78)=0,"",ROUND(AVERAGE(J78:L78)*100,0))</f>
        <v/>
      </c>
      <c r="N78" s="8">
        <f>IFERROR(AVERAGEIF(C$2:C$201,C78,M$2:M$201),"N/A")</f>
        <v/>
      </c>
      <c r="O78" s="8" t="n"/>
    </row>
    <row r="79" hidden="1" ht="15" customHeight="1" s="41">
      <c r="A79" s="8">
        <f>IF(B79="","",ROW()-1)</f>
        <v/>
      </c>
      <c r="B79" s="11" t="n"/>
      <c r="C79" s="8" t="n"/>
      <c r="D79" s="8" t="n"/>
      <c r="E79" s="8" t="n"/>
      <c r="F79" s="8" t="n"/>
      <c r="G79" s="8" t="n"/>
      <c r="H79" s="8" t="n"/>
      <c r="I79" s="8" t="n"/>
      <c r="J79" s="8">
        <f>IF(G79="","",IF(G79="SIM",1,0))</f>
        <v/>
      </c>
      <c r="K79" s="8">
        <f>IF(H79="","",IF(H79="Integral",1,IF(H79="Amostral",0.5,IF(H79="Não realizada",0,""))))</f>
        <v/>
      </c>
      <c r="L79" s="8">
        <f>IF(I79="","",IF(I79="Conformidade",1,IF(I79="Não Conformidade",0,IF(I79="Não Conformidade Grave",-1,""))))</f>
        <v/>
      </c>
      <c r="M79" s="8">
        <f>IF(COUNTA(G79:I79)=0,"",ROUND(AVERAGE(J79:L79)*100,0))</f>
        <v/>
      </c>
      <c r="N79" s="8">
        <f>IFERROR(AVERAGEIF(C$2:C$201,C79,M$2:M$201),"N/A")</f>
        <v/>
      </c>
      <c r="O79" s="8" t="n"/>
    </row>
    <row r="80" hidden="1" ht="15" customHeight="1" s="41">
      <c r="A80" s="8">
        <f>IF(B80="","",ROW()-1)</f>
        <v/>
      </c>
      <c r="B80" s="11" t="n"/>
      <c r="C80" s="8" t="n"/>
      <c r="D80" s="8" t="n"/>
      <c r="E80" s="8" t="n"/>
      <c r="F80" s="8" t="n"/>
      <c r="G80" s="8" t="n"/>
      <c r="H80" s="8" t="n"/>
      <c r="I80" s="8" t="n"/>
      <c r="J80" s="8">
        <f>IF(G80="","",IF(G80="SIM",1,0))</f>
        <v/>
      </c>
      <c r="K80" s="8">
        <f>IF(H80="","",IF(H80="Integral",1,IF(H80="Amostral",0.5,IF(H80="Não realizada",0,""))))</f>
        <v/>
      </c>
      <c r="L80" s="8">
        <f>IF(I80="","",IF(I80="Conformidade",1,IF(I80="Não Conformidade",0,IF(I80="Não Conformidade Grave",-1,""))))</f>
        <v/>
      </c>
      <c r="M80" s="8">
        <f>IF(COUNTA(G80:I80)=0,"",ROUND(AVERAGE(J80:L80)*100,0))</f>
        <v/>
      </c>
      <c r="N80" s="8">
        <f>IFERROR(AVERAGEIF(C$2:C$201,C80,M$2:M$201),"N/A")</f>
        <v/>
      </c>
      <c r="O80" s="8" t="n"/>
    </row>
    <row r="81" hidden="1" ht="15" customHeight="1" s="41">
      <c r="A81" s="8">
        <f>IF(B81="","",ROW()-1)</f>
        <v/>
      </c>
      <c r="B81" s="11" t="n"/>
      <c r="C81" s="8" t="n"/>
      <c r="D81" s="8" t="n"/>
      <c r="E81" s="8" t="n"/>
      <c r="F81" s="8" t="n"/>
      <c r="G81" s="8" t="n"/>
      <c r="H81" s="8" t="n"/>
      <c r="I81" s="8" t="n"/>
      <c r="J81" s="8">
        <f>IF(G81="","",IF(G81="SIM",1,0))</f>
        <v/>
      </c>
      <c r="K81" s="8">
        <f>IF(H81="","",IF(H81="Integral",1,IF(H81="Amostral",0.5,IF(H81="Não realizada",0,""))))</f>
        <v/>
      </c>
      <c r="L81" s="8">
        <f>IF(I81="","",IF(I81="Conformidade",1,IF(I81="Não Conformidade",0,IF(I81="Não Conformidade Grave",-1,""))))</f>
        <v/>
      </c>
      <c r="M81" s="8">
        <f>IF(COUNTA(G81:I81)=0,"",ROUND(AVERAGE(J81:L81)*100,0))</f>
        <v/>
      </c>
      <c r="N81" s="8">
        <f>IFERROR(AVERAGEIF(C$2:C$201,C81,M$2:M$201),"N/A")</f>
        <v/>
      </c>
      <c r="O81" s="8" t="n"/>
    </row>
    <row r="82" hidden="1" ht="15" customHeight="1" s="41">
      <c r="A82" s="8">
        <f>IF(B82="","",ROW()-1)</f>
        <v/>
      </c>
      <c r="B82" s="11" t="n"/>
      <c r="C82" s="8" t="n"/>
      <c r="D82" s="8" t="n"/>
      <c r="E82" s="8" t="n"/>
      <c r="F82" s="8" t="n"/>
      <c r="G82" s="8" t="n"/>
      <c r="H82" s="8" t="n"/>
      <c r="I82" s="8" t="n"/>
      <c r="J82" s="8">
        <f>IF(G82="","",IF(G82="SIM",1,0))</f>
        <v/>
      </c>
      <c r="K82" s="8">
        <f>IF(H82="","",IF(H82="Integral",1,IF(H82="Amostral",0.5,IF(H82="Não realizada",0,""))))</f>
        <v/>
      </c>
      <c r="L82" s="8">
        <f>IF(I82="","",IF(I82="Conformidade",1,IF(I82="Não Conformidade",0,IF(I82="Não Conformidade Grave",-1,""))))</f>
        <v/>
      </c>
      <c r="M82" s="8">
        <f>IF(COUNTA(G82:I82)=0,"",ROUND(AVERAGE(J82:L82)*100,0))</f>
        <v/>
      </c>
      <c r="N82" s="8">
        <f>IFERROR(AVERAGEIF(C$2:C$201,C82,M$2:M$201),"N/A")</f>
        <v/>
      </c>
      <c r="O82" s="8" t="n"/>
    </row>
    <row r="83" hidden="1" ht="15" customHeight="1" s="41">
      <c r="A83" s="8">
        <f>IF(B83="","",ROW()-1)</f>
        <v/>
      </c>
      <c r="B83" s="11" t="n"/>
      <c r="C83" s="8" t="n"/>
      <c r="D83" s="8" t="n"/>
      <c r="E83" s="8" t="n"/>
      <c r="F83" s="8" t="n"/>
      <c r="G83" s="8" t="n"/>
      <c r="H83" s="8" t="n"/>
      <c r="I83" s="8" t="n"/>
      <c r="J83" s="8">
        <f>IF(G83="","",IF(G83="SIM",1,0))</f>
        <v/>
      </c>
      <c r="K83" s="8">
        <f>IF(H83="","",IF(H83="Integral",1,IF(H83="Amostral",0.5,IF(H83="Não realizada",0,""))))</f>
        <v/>
      </c>
      <c r="L83" s="8">
        <f>IF(I83="","",IF(I83="Conformidade",1,IF(I83="Não Conformidade",0,IF(I83="Não Conformidade Grave",-1,""))))</f>
        <v/>
      </c>
      <c r="M83" s="8">
        <f>IF(COUNTA(G83:I83)=0,"",ROUND(AVERAGE(J83:L83)*100,0))</f>
        <v/>
      </c>
      <c r="N83" s="8">
        <f>IFERROR(AVERAGEIF(C$2:C$201,C83,M$2:M$201),"N/A")</f>
        <v/>
      </c>
      <c r="O83" s="8" t="n"/>
    </row>
    <row r="84" hidden="1" ht="15" customHeight="1" s="41">
      <c r="A84" s="8">
        <f>IF(B84="","",ROW()-1)</f>
        <v/>
      </c>
      <c r="B84" s="11" t="n"/>
      <c r="C84" s="8" t="n"/>
      <c r="D84" s="8" t="n"/>
      <c r="E84" s="8" t="n"/>
      <c r="F84" s="8" t="n"/>
      <c r="G84" s="8" t="n"/>
      <c r="H84" s="8" t="n"/>
      <c r="I84" s="8" t="n"/>
      <c r="J84" s="8">
        <f>IF(G84="","",IF(G84="SIM",1,0))</f>
        <v/>
      </c>
      <c r="K84" s="8">
        <f>IF(H84="","",IF(H84="Integral",1,IF(H84="Amostral",0.5,IF(H84="Não realizada",0,""))))</f>
        <v/>
      </c>
      <c r="L84" s="8">
        <f>IF(I84="","",IF(I84="Conformidade",1,IF(I84="Não Conformidade",0,IF(I84="Não Conformidade Grave",-1,""))))</f>
        <v/>
      </c>
      <c r="M84" s="8">
        <f>IF(COUNTA(G84:I84)=0,"",ROUND(AVERAGE(J84:L84)*100,0))</f>
        <v/>
      </c>
      <c r="N84" s="8">
        <f>IFERROR(AVERAGEIF(C$2:C$201,C84,M$2:M$201),"N/A")</f>
        <v/>
      </c>
      <c r="O84" s="8" t="n"/>
    </row>
    <row r="85" hidden="1" ht="15" customHeight="1" s="41">
      <c r="A85" s="8">
        <f>IF(B85="","",ROW()-1)</f>
        <v/>
      </c>
      <c r="B85" s="11" t="n"/>
      <c r="C85" s="8" t="n"/>
      <c r="D85" s="8" t="n"/>
      <c r="E85" s="8" t="n"/>
      <c r="F85" s="8" t="n"/>
      <c r="G85" s="8" t="n"/>
      <c r="H85" s="8" t="n"/>
      <c r="I85" s="8" t="n"/>
      <c r="J85" s="8">
        <f>IF(G85="","",IF(G85="SIM",1,0))</f>
        <v/>
      </c>
      <c r="K85" s="8">
        <f>IF(H85="","",IF(H85="Integral",1,IF(H85="Amostral",0.5,IF(H85="Não realizada",0,""))))</f>
        <v/>
      </c>
      <c r="L85" s="8">
        <f>IF(I85="","",IF(I85="Conformidade",1,IF(I85="Não Conformidade",0,IF(I85="Não Conformidade Grave",-1,""))))</f>
        <v/>
      </c>
      <c r="M85" s="8">
        <f>IF(COUNTA(G85:I85)=0,"",ROUND(AVERAGE(J85:L85)*100,0))</f>
        <v/>
      </c>
      <c r="N85" s="8">
        <f>IFERROR(AVERAGEIF(C$2:C$201,C85,M$2:M$201),"N/A")</f>
        <v/>
      </c>
      <c r="O85" s="8" t="n"/>
    </row>
    <row r="86" hidden="1" ht="15" customHeight="1" s="41">
      <c r="A86" s="8">
        <f>IF(B86="","",ROW()-1)</f>
        <v/>
      </c>
      <c r="B86" s="11" t="n"/>
      <c r="C86" s="8" t="n"/>
      <c r="D86" s="8" t="n"/>
      <c r="E86" s="8" t="n"/>
      <c r="F86" s="8" t="n"/>
      <c r="G86" s="8" t="n"/>
      <c r="H86" s="8" t="n"/>
      <c r="I86" s="8" t="n"/>
      <c r="J86" s="8">
        <f>IF(G86="","",IF(G86="SIM",1,0))</f>
        <v/>
      </c>
      <c r="K86" s="8">
        <f>IF(H86="","",IF(H86="Integral",1,IF(H86="Amostral",0.5,IF(H86="Não realizada",0,""))))</f>
        <v/>
      </c>
      <c r="L86" s="8">
        <f>IF(I86="","",IF(I86="Conformidade",1,IF(I86="Não Conformidade",0,IF(I86="Não Conformidade Grave",-1,""))))</f>
        <v/>
      </c>
      <c r="M86" s="8">
        <f>IF(COUNTA(G86:I86)=0,"",ROUND(AVERAGE(J86:L86)*100,0))</f>
        <v/>
      </c>
      <c r="N86" s="8">
        <f>IFERROR(AVERAGEIF(C$2:C$201,C86,M$2:M$201),"N/A")</f>
        <v/>
      </c>
      <c r="O86" s="8" t="n"/>
    </row>
    <row r="87" hidden="1" ht="15" customHeight="1" s="41">
      <c r="A87" s="8">
        <f>IF(B87="","",ROW()-1)</f>
        <v/>
      </c>
      <c r="B87" s="11" t="n"/>
      <c r="C87" s="8" t="n"/>
      <c r="D87" s="8" t="n"/>
      <c r="E87" s="8" t="n"/>
      <c r="F87" s="8" t="n"/>
      <c r="G87" s="8" t="n"/>
      <c r="H87" s="8" t="n"/>
      <c r="I87" s="8" t="n"/>
      <c r="J87" s="8">
        <f>IF(G87="","",IF(G87="SIM",1,0))</f>
        <v/>
      </c>
      <c r="K87" s="8">
        <f>IF(H87="","",IF(H87="Integral",1,IF(H87="Amostral",0.5,IF(H87="Não realizada",0,""))))</f>
        <v/>
      </c>
      <c r="L87" s="8">
        <f>IF(I87="","",IF(I87="Conformidade",1,IF(I87="Não Conformidade",0,IF(I87="Não Conformidade Grave",-1,""))))</f>
        <v/>
      </c>
      <c r="M87" s="8">
        <f>IF(COUNTA(G87:I87)=0,"",ROUND(AVERAGE(J87:L87)*100,0))</f>
        <v/>
      </c>
      <c r="N87" s="8">
        <f>IFERROR(AVERAGEIF(C$2:C$201,C87,M$2:M$201),"N/A")</f>
        <v/>
      </c>
      <c r="O87" s="8" t="n"/>
    </row>
    <row r="88" hidden="1" ht="15" customHeight="1" s="41">
      <c r="A88" s="8">
        <f>IF(B88="","",ROW()-1)</f>
        <v/>
      </c>
      <c r="B88" s="11" t="n"/>
      <c r="C88" s="8" t="n"/>
      <c r="D88" s="8" t="n"/>
      <c r="E88" s="8" t="n"/>
      <c r="F88" s="8" t="n"/>
      <c r="G88" s="8" t="n"/>
      <c r="H88" s="8" t="n"/>
      <c r="I88" s="8" t="n"/>
      <c r="J88" s="8">
        <f>IF(G88="","",IF(G88="SIM",1,0))</f>
        <v/>
      </c>
      <c r="K88" s="8">
        <f>IF(H88="","",IF(H88="Integral",1,IF(H88="Amostral",0.5,IF(H88="Não realizada",0,""))))</f>
        <v/>
      </c>
      <c r="L88" s="8">
        <f>IF(I88="","",IF(I88="Conformidade",1,IF(I88="Não Conformidade",0,IF(I88="Não Conformidade Grave",-1,""))))</f>
        <v/>
      </c>
      <c r="M88" s="8">
        <f>IF(COUNTA(G88:I88)=0,"",ROUND(AVERAGE(J88:L88)*100,0))</f>
        <v/>
      </c>
      <c r="N88" s="8">
        <f>IFERROR(AVERAGEIF(C$2:C$201,C88,M$2:M$201),"N/A")</f>
        <v/>
      </c>
      <c r="O88" s="8" t="n"/>
    </row>
    <row r="89" hidden="1" ht="15" customHeight="1" s="41">
      <c r="A89" s="8">
        <f>IF(B89="","",ROW()-1)</f>
        <v/>
      </c>
      <c r="B89" s="11" t="n"/>
      <c r="C89" s="8" t="n"/>
      <c r="D89" s="8" t="n"/>
      <c r="E89" s="8" t="n"/>
      <c r="F89" s="8" t="n"/>
      <c r="G89" s="8" t="n"/>
      <c r="H89" s="8" t="n"/>
      <c r="I89" s="8" t="n"/>
      <c r="J89" s="8">
        <f>IF(G89="","",IF(G89="SIM",1,0))</f>
        <v/>
      </c>
      <c r="K89" s="8">
        <f>IF(H89="","",IF(H89="Integral",1,IF(H89="Amostral",0.5,IF(H89="Não realizada",0,""))))</f>
        <v/>
      </c>
      <c r="L89" s="8">
        <f>IF(I89="","",IF(I89="Conformidade",1,IF(I89="Não Conformidade",0,IF(I89="Não Conformidade Grave",-1,""))))</f>
        <v/>
      </c>
      <c r="M89" s="8">
        <f>IF(COUNTA(G89:I89)=0,"",ROUND(AVERAGE(J89:L89)*100,0))</f>
        <v/>
      </c>
      <c r="N89" s="8">
        <f>IFERROR(AVERAGEIF(C$2:C$201,C89,M$2:M$201),"N/A")</f>
        <v/>
      </c>
      <c r="O89" s="8" t="n"/>
    </row>
    <row r="90" hidden="1" ht="15" customHeight="1" s="41">
      <c r="A90" s="8">
        <f>IF(B90="","",ROW()-1)</f>
        <v/>
      </c>
      <c r="B90" s="11" t="n"/>
      <c r="C90" s="8" t="n"/>
      <c r="D90" s="8" t="n"/>
      <c r="E90" s="8" t="n"/>
      <c r="F90" s="8" t="n"/>
      <c r="G90" s="8" t="n"/>
      <c r="H90" s="8" t="n"/>
      <c r="I90" s="8" t="n"/>
      <c r="J90" s="8">
        <f>IF(G90="","",IF(G90="SIM",1,0))</f>
        <v/>
      </c>
      <c r="K90" s="8">
        <f>IF(H90="","",IF(H90="Integral",1,IF(H90="Amostral",0.5,IF(H90="Não realizada",0,""))))</f>
        <v/>
      </c>
      <c r="L90" s="8">
        <f>IF(I90="","",IF(I90="Conformidade",1,IF(I90="Não Conformidade",0,IF(I90="Não Conformidade Grave",-1,""))))</f>
        <v/>
      </c>
      <c r="M90" s="8">
        <f>IF(COUNTA(G90:I90)=0,"",ROUND(AVERAGE(J90:L90)*100,0))</f>
        <v/>
      </c>
      <c r="N90" s="8">
        <f>IFERROR(AVERAGEIF(C$2:C$201,C90,M$2:M$201),"N/A")</f>
        <v/>
      </c>
      <c r="O90" s="8" t="n"/>
    </row>
    <row r="91" hidden="1" ht="15" customHeight="1" s="41">
      <c r="A91" s="8">
        <f>IF(B91="","",ROW()-1)</f>
        <v/>
      </c>
      <c r="B91" s="11" t="n"/>
      <c r="C91" s="8" t="n"/>
      <c r="D91" s="8" t="n"/>
      <c r="E91" s="8" t="n"/>
      <c r="F91" s="8" t="n"/>
      <c r="G91" s="8" t="n"/>
      <c r="H91" s="8" t="n"/>
      <c r="I91" s="8" t="n"/>
      <c r="J91" s="8">
        <f>IF(G91="","",IF(G91="SIM",1,0))</f>
        <v/>
      </c>
      <c r="K91" s="8">
        <f>IF(H91="","",IF(H91="Integral",1,IF(H91="Amostral",0.5,IF(H91="Não realizada",0,""))))</f>
        <v/>
      </c>
      <c r="L91" s="8">
        <f>IF(I91="","",IF(I91="Conformidade",1,IF(I91="Não Conformidade",0,IF(I91="Não Conformidade Grave",-1,""))))</f>
        <v/>
      </c>
      <c r="M91" s="8">
        <f>IF(COUNTA(G91:I91)=0,"",ROUND(AVERAGE(J91:L91)*100,0))</f>
        <v/>
      </c>
      <c r="N91" s="8">
        <f>IFERROR(AVERAGEIF(C$2:C$201,C91,M$2:M$201),"N/A")</f>
        <v/>
      </c>
      <c r="O91" s="8" t="n"/>
    </row>
    <row r="92" hidden="1" ht="15" customHeight="1" s="41">
      <c r="A92" s="8">
        <f>IF(B92="","",ROW()-1)</f>
        <v/>
      </c>
      <c r="B92" s="11" t="n"/>
      <c r="C92" s="8" t="n"/>
      <c r="D92" s="8" t="n"/>
      <c r="E92" s="8" t="n"/>
      <c r="F92" s="8" t="n"/>
      <c r="G92" s="8" t="n"/>
      <c r="H92" s="8" t="n"/>
      <c r="I92" s="8" t="n"/>
      <c r="J92" s="8">
        <f>IF(G92="","",IF(G92="SIM",1,0))</f>
        <v/>
      </c>
      <c r="K92" s="8">
        <f>IF(H92="","",IF(H92="Integral",1,IF(H92="Amostral",0.5,IF(H92="Não realizada",0,""))))</f>
        <v/>
      </c>
      <c r="L92" s="8">
        <f>IF(I92="","",IF(I92="Conformidade",1,IF(I92="Não Conformidade",0,IF(I92="Não Conformidade Grave",-1,""))))</f>
        <v/>
      </c>
      <c r="M92" s="8">
        <f>IF(COUNTA(G92:I92)=0,"",ROUND(AVERAGE(J92:L92)*100,0))</f>
        <v/>
      </c>
      <c r="N92" s="8">
        <f>IFERROR(AVERAGEIF(C$2:C$201,C92,M$2:M$201),"N/A")</f>
        <v/>
      </c>
      <c r="O92" s="8" t="n"/>
    </row>
    <row r="93" hidden="1" ht="15" customHeight="1" s="41">
      <c r="A93" s="8">
        <f>IF(B93="","",ROW()-1)</f>
        <v/>
      </c>
      <c r="B93" s="11" t="n"/>
      <c r="C93" s="8" t="n"/>
      <c r="D93" s="8" t="n"/>
      <c r="E93" s="8" t="n"/>
      <c r="F93" s="8" t="n"/>
      <c r="G93" s="8" t="n"/>
      <c r="H93" s="8" t="n"/>
      <c r="I93" s="8" t="n"/>
      <c r="J93" s="8">
        <f>IF(G93="","",IF(G93="SIM",1,0))</f>
        <v/>
      </c>
      <c r="K93" s="8">
        <f>IF(H93="","",IF(H93="Integral",1,IF(H93="Amostral",0.5,IF(H93="Não realizada",0,""))))</f>
        <v/>
      </c>
      <c r="L93" s="8">
        <f>IF(I93="","",IF(I93="Conformidade",1,IF(I93="Não Conformidade",0,IF(I93="Não Conformidade Grave",-1,""))))</f>
        <v/>
      </c>
      <c r="M93" s="8">
        <f>IF(COUNTA(G93:I93)=0,"",ROUND(AVERAGE(J93:L93)*100,0))</f>
        <v/>
      </c>
      <c r="N93" s="8">
        <f>IFERROR(AVERAGEIF(C$2:C$201,C93,M$2:M$201),"N/A")</f>
        <v/>
      </c>
      <c r="O93" s="8" t="n"/>
    </row>
    <row r="94" hidden="1" ht="15" customHeight="1" s="41">
      <c r="A94" s="8">
        <f>IF(B94="","",ROW()-1)</f>
        <v/>
      </c>
      <c r="B94" s="11" t="n"/>
      <c r="C94" s="8" t="n"/>
      <c r="D94" s="8" t="n"/>
      <c r="E94" s="8" t="n"/>
      <c r="F94" s="8" t="n"/>
      <c r="G94" s="8" t="n"/>
      <c r="H94" s="8" t="n"/>
      <c r="I94" s="8" t="n"/>
      <c r="J94" s="8">
        <f>IF(G94="","",IF(G94="SIM",1,0))</f>
        <v/>
      </c>
      <c r="K94" s="8">
        <f>IF(H94="","",IF(H94="Integral",1,IF(H94="Amostral",0.5,IF(H94="Não realizada",0,""))))</f>
        <v/>
      </c>
      <c r="L94" s="8">
        <f>IF(I94="","",IF(I94="Conformidade",1,IF(I94="Não Conformidade",0,IF(I94="Não Conformidade Grave",-1,""))))</f>
        <v/>
      </c>
      <c r="M94" s="8">
        <f>IF(COUNTA(G94:I94)=0,"",ROUND(AVERAGE(J94:L94)*100,0))</f>
        <v/>
      </c>
      <c r="N94" s="8">
        <f>IFERROR(AVERAGEIF(C$2:C$201,C94,M$2:M$201),"N/A")</f>
        <v/>
      </c>
      <c r="O94" s="8" t="n"/>
    </row>
    <row r="95" hidden="1" ht="15" customHeight="1" s="41">
      <c r="A95" s="8">
        <f>IF(B95="","",ROW()-1)</f>
        <v/>
      </c>
      <c r="B95" s="11" t="n"/>
      <c r="C95" s="8" t="n"/>
      <c r="D95" s="8" t="n"/>
      <c r="E95" s="8" t="n"/>
      <c r="F95" s="8" t="n"/>
      <c r="G95" s="8" t="n"/>
      <c r="H95" s="8" t="n"/>
      <c r="I95" s="8" t="n"/>
      <c r="J95" s="8">
        <f>IF(G95="","",IF(G95="SIM",1,0))</f>
        <v/>
      </c>
      <c r="K95" s="8">
        <f>IF(H95="","",IF(H95="Integral",1,IF(H95="Amostral",0.5,IF(H95="Não realizada",0,""))))</f>
        <v/>
      </c>
      <c r="L95" s="8">
        <f>IF(I95="","",IF(I95="Conformidade",1,IF(I95="Não Conformidade",0,IF(I95="Não Conformidade Grave",-1,""))))</f>
        <v/>
      </c>
      <c r="M95" s="8">
        <f>IF(COUNTA(G95:I95)=0,"",ROUND(AVERAGE(J95:L95)*100,0))</f>
        <v/>
      </c>
      <c r="N95" s="8">
        <f>IFERROR(AVERAGEIF(C$2:C$201,C95,M$2:M$201),"N/A")</f>
        <v/>
      </c>
      <c r="O95" s="8" t="n"/>
    </row>
    <row r="96" hidden="1" ht="15" customHeight="1" s="41">
      <c r="A96" s="8">
        <f>IF(B96="","",ROW()-1)</f>
        <v/>
      </c>
      <c r="B96" s="11" t="n"/>
      <c r="C96" s="8" t="n"/>
      <c r="D96" s="8" t="n"/>
      <c r="E96" s="8" t="n"/>
      <c r="F96" s="8" t="n"/>
      <c r="G96" s="8" t="n"/>
      <c r="H96" s="8" t="n"/>
      <c r="I96" s="8" t="n"/>
      <c r="J96" s="8">
        <f>IF(G96="","",IF(G96="SIM",1,0))</f>
        <v/>
      </c>
      <c r="K96" s="8">
        <f>IF(H96="","",IF(H96="Integral",1,IF(H96="Amostral",0.5,IF(H96="Não realizada",0,""))))</f>
        <v/>
      </c>
      <c r="L96" s="8">
        <f>IF(I96="","",IF(I96="Conformidade",1,IF(I96="Não Conformidade",0,IF(I96="Não Conformidade Grave",-1,""))))</f>
        <v/>
      </c>
      <c r="M96" s="8">
        <f>IF(COUNTA(G96:I96)=0,"",ROUND(AVERAGE(J96:L96)*100,0))</f>
        <v/>
      </c>
      <c r="N96" s="8">
        <f>IFERROR(AVERAGEIF(C$2:C$201,C96,M$2:M$201),"N/A")</f>
        <v/>
      </c>
      <c r="O96" s="8" t="n"/>
    </row>
    <row r="97" hidden="1" ht="15" customHeight="1" s="41">
      <c r="A97" s="8">
        <f>IF(B97="","",ROW()-1)</f>
        <v/>
      </c>
      <c r="B97" s="11" t="n"/>
      <c r="C97" s="8" t="n"/>
      <c r="D97" s="8" t="n"/>
      <c r="E97" s="8" t="n"/>
      <c r="F97" s="8" t="n"/>
      <c r="G97" s="8" t="n"/>
      <c r="H97" s="8" t="n"/>
      <c r="I97" s="8" t="n"/>
      <c r="J97" s="8">
        <f>IF(G97="","",IF(G97="SIM",1,0))</f>
        <v/>
      </c>
      <c r="K97" s="8">
        <f>IF(H97="","",IF(H97="Integral",1,IF(H97="Amostral",0.5,IF(H97="Não realizada",0,""))))</f>
        <v/>
      </c>
      <c r="L97" s="8">
        <f>IF(I97="","",IF(I97="Conformidade",1,IF(I97="Não Conformidade",0,IF(I97="Não Conformidade Grave",-1,""))))</f>
        <v/>
      </c>
      <c r="M97" s="8">
        <f>IF(COUNTA(G97:I97)=0,"",ROUND(AVERAGE(J97:L97)*100,0))</f>
        <v/>
      </c>
      <c r="N97" s="8">
        <f>IFERROR(AVERAGEIF(C$2:C$201,C97,M$2:M$201),"N/A")</f>
        <v/>
      </c>
      <c r="O97" s="8" t="n"/>
    </row>
    <row r="98" hidden="1" ht="15" customHeight="1" s="41">
      <c r="A98" s="8">
        <f>IF(B98="","",ROW()-1)</f>
        <v/>
      </c>
      <c r="B98" s="11" t="n"/>
      <c r="C98" s="8" t="n"/>
      <c r="D98" s="8" t="n"/>
      <c r="E98" s="8" t="n"/>
      <c r="F98" s="8" t="n"/>
      <c r="G98" s="8" t="n"/>
      <c r="H98" s="8" t="n"/>
      <c r="I98" s="8" t="n"/>
      <c r="J98" s="8">
        <f>IF(G98="","",IF(G98="SIM",1,0))</f>
        <v/>
      </c>
      <c r="K98" s="8">
        <f>IF(H98="","",IF(H98="Integral",1,IF(H98="Amostral",0.5,IF(H98="Não realizada",0,""))))</f>
        <v/>
      </c>
      <c r="L98" s="8">
        <f>IF(I98="","",IF(I98="Conformidade",1,IF(I98="Não Conformidade",0,IF(I98="Não Conformidade Grave",-1,""))))</f>
        <v/>
      </c>
      <c r="M98" s="8">
        <f>IF(COUNTA(G98:I98)=0,"",ROUND(AVERAGE(J98:L98)*100,0))</f>
        <v/>
      </c>
      <c r="N98" s="8">
        <f>IFERROR(AVERAGEIF(C$2:C$201,C98,M$2:M$201),"N/A")</f>
        <v/>
      </c>
      <c r="O98" s="8" t="n"/>
    </row>
    <row r="99" hidden="1" ht="15" customHeight="1" s="41">
      <c r="A99" s="8">
        <f>IF(B99="","",ROW()-1)</f>
        <v/>
      </c>
      <c r="B99" s="11" t="n"/>
      <c r="C99" s="8" t="n"/>
      <c r="D99" s="8" t="n"/>
      <c r="E99" s="8" t="n"/>
      <c r="F99" s="8" t="n"/>
      <c r="G99" s="8" t="n"/>
      <c r="H99" s="8" t="n"/>
      <c r="I99" s="8" t="n"/>
      <c r="J99" s="8">
        <f>IF(G99="","",IF(G99="SIM",1,0))</f>
        <v/>
      </c>
      <c r="K99" s="8">
        <f>IF(H99="","",IF(H99="Integral",1,IF(H99="Amostral",0.5,IF(H99="Não realizada",0,""))))</f>
        <v/>
      </c>
      <c r="L99" s="8">
        <f>IF(I99="","",IF(I99="Conformidade",1,IF(I99="Não Conformidade",0,IF(I99="Não Conformidade Grave",-1,""))))</f>
        <v/>
      </c>
      <c r="M99" s="8">
        <f>IF(COUNTA(G99:I99)=0,"",ROUND(AVERAGE(J99:L99)*100,0))</f>
        <v/>
      </c>
      <c r="N99" s="8">
        <f>IFERROR(AVERAGEIF(C$2:C$201,C99,M$2:M$201),"N/A")</f>
        <v/>
      </c>
      <c r="O99" s="8" t="n"/>
    </row>
    <row r="100" hidden="1" ht="15" customHeight="1" s="41">
      <c r="A100" s="8">
        <f>IF(B100="","",ROW()-1)</f>
        <v/>
      </c>
      <c r="B100" s="11" t="n"/>
      <c r="C100" s="8" t="n"/>
      <c r="D100" s="8" t="n"/>
      <c r="E100" s="8" t="n"/>
      <c r="F100" s="8" t="n"/>
      <c r="G100" s="8" t="n"/>
      <c r="H100" s="8" t="n"/>
      <c r="I100" s="8" t="n"/>
      <c r="J100" s="8">
        <f>IF(G100="","",IF(G100="SIM",1,0))</f>
        <v/>
      </c>
      <c r="K100" s="8">
        <f>IF(H100="","",IF(H100="Integral",1,IF(H100="Amostral",0.5,IF(H100="Não realizada",0,""))))</f>
        <v/>
      </c>
      <c r="L100" s="8">
        <f>IF(I100="","",IF(I100="Conformidade",1,IF(I100="Não Conformidade",0,IF(I100="Não Conformidade Grave",-1,""))))</f>
        <v/>
      </c>
      <c r="M100" s="8">
        <f>IF(COUNTA(G100:I100)=0,"",ROUND(AVERAGE(J100:L100)*100,0))</f>
        <v/>
      </c>
      <c r="N100" s="8">
        <f>IFERROR(AVERAGEIF(C$2:C$201,C100,M$2:M$201),"N/A")</f>
        <v/>
      </c>
      <c r="O100" s="8" t="n"/>
    </row>
    <row r="101" hidden="1" ht="15" customHeight="1" s="41">
      <c r="A101" s="8">
        <f>IF(B101="","",ROW()-1)</f>
        <v/>
      </c>
      <c r="B101" s="11" t="n"/>
      <c r="C101" s="8" t="n"/>
      <c r="D101" s="8" t="n"/>
      <c r="E101" s="8" t="n"/>
      <c r="F101" s="8" t="n"/>
      <c r="G101" s="8" t="n"/>
      <c r="H101" s="8" t="n"/>
      <c r="I101" s="8" t="n"/>
      <c r="J101" s="8">
        <f>IF(G101="","",IF(G101="SIM",1,0))</f>
        <v/>
      </c>
      <c r="K101" s="8">
        <f>IF(H101="","",IF(H101="Integral",1,IF(H101="Amostral",0.5,IF(H101="Não realizada",0,""))))</f>
        <v/>
      </c>
      <c r="L101" s="8">
        <f>IF(I101="","",IF(I101="Conformidade",1,IF(I101="Não Conformidade",0,IF(I101="Não Conformidade Grave",-1,""))))</f>
        <v/>
      </c>
      <c r="M101" s="8">
        <f>IF(COUNTA(G101:I101)=0,"",ROUND(AVERAGE(J101:L101)*100,0))</f>
        <v/>
      </c>
      <c r="N101" s="8">
        <f>IFERROR(AVERAGEIF(C$2:C$201,C101,M$2:M$201),"N/A")</f>
        <v/>
      </c>
      <c r="O101" s="8" t="n"/>
    </row>
    <row r="102" hidden="1" ht="15" customHeight="1" s="41">
      <c r="A102" s="8">
        <f>IF(B102="","",ROW()-1)</f>
        <v/>
      </c>
      <c r="B102" s="11" t="n"/>
      <c r="C102" s="8" t="n"/>
      <c r="D102" s="8" t="n"/>
      <c r="E102" s="8" t="n"/>
      <c r="F102" s="8" t="n"/>
      <c r="G102" s="8" t="n"/>
      <c r="H102" s="8" t="n"/>
      <c r="I102" s="8" t="n"/>
      <c r="J102" s="8">
        <f>IF(G102="","",IF(G102="SIM",1,0))</f>
        <v/>
      </c>
      <c r="K102" s="8">
        <f>IF(H102="","",IF(H102="Integral",1,IF(H102="Amostral",0.5,IF(H102="Não realizada",0,""))))</f>
        <v/>
      </c>
      <c r="L102" s="8">
        <f>IF(I102="","",IF(I102="Conformidade",1,IF(I102="Não Conformidade",0,IF(I102="Não Conformidade Grave",-1,""))))</f>
        <v/>
      </c>
      <c r="M102" s="8">
        <f>IF(COUNTA(G102:I102)=0,"",ROUND(AVERAGE(J102:L102)*100,0))</f>
        <v/>
      </c>
      <c r="N102" s="8">
        <f>IFERROR(AVERAGEIF(C$2:C$201,C102,M$2:M$201),"N/A")</f>
        <v/>
      </c>
      <c r="O102" s="8" t="n"/>
    </row>
    <row r="103" hidden="1" ht="15" customHeight="1" s="41">
      <c r="A103" s="8">
        <f>IF(B103="","",ROW()-1)</f>
        <v/>
      </c>
      <c r="B103" s="11" t="n"/>
      <c r="C103" s="8" t="n"/>
      <c r="D103" s="8" t="n"/>
      <c r="E103" s="8" t="n"/>
      <c r="F103" s="8" t="n"/>
      <c r="G103" s="8" t="n"/>
      <c r="H103" s="8" t="n"/>
      <c r="I103" s="8" t="n"/>
      <c r="J103" s="8">
        <f>IF(G103="","",IF(G103="SIM",1,0))</f>
        <v/>
      </c>
      <c r="K103" s="8">
        <f>IF(H103="","",IF(H103="Integral",1,IF(H103="Amostral",0.5,IF(H103="Não realizada",0,""))))</f>
        <v/>
      </c>
      <c r="L103" s="8">
        <f>IF(I103="","",IF(I103="Conformidade",1,IF(I103="Não Conformidade",0,IF(I103="Não Conformidade Grave",-1,""))))</f>
        <v/>
      </c>
      <c r="M103" s="8">
        <f>IF(COUNTA(G103:I103)=0,"",ROUND(AVERAGE(J103:L103)*100,0))</f>
        <v/>
      </c>
      <c r="N103" s="8">
        <f>IFERROR(AVERAGEIF(C$2:C$201,C103,M$2:M$201),"N/A")</f>
        <v/>
      </c>
      <c r="O103" s="8" t="n"/>
    </row>
    <row r="104" hidden="1" ht="15" customHeight="1" s="41">
      <c r="A104" s="8">
        <f>IF(B104="","",ROW()-1)</f>
        <v/>
      </c>
      <c r="B104" s="11" t="n"/>
      <c r="C104" s="8" t="n"/>
      <c r="D104" s="8" t="n"/>
      <c r="E104" s="8" t="n"/>
      <c r="F104" s="8" t="n"/>
      <c r="G104" s="8" t="n"/>
      <c r="H104" s="8" t="n"/>
      <c r="I104" s="8" t="n"/>
      <c r="J104" s="8">
        <f>IF(G104="","",IF(G104="SIM",1,0))</f>
        <v/>
      </c>
      <c r="K104" s="8">
        <f>IF(H104="","",IF(H104="Integral",1,IF(H104="Amostral",0.5,IF(H104="Não realizada",0,""))))</f>
        <v/>
      </c>
      <c r="L104" s="8">
        <f>IF(I104="","",IF(I104="Conformidade",1,IF(I104="Não Conformidade",0,IF(I104="Não Conformidade Grave",-1,""))))</f>
        <v/>
      </c>
      <c r="M104" s="8">
        <f>IF(COUNTA(G104:I104)=0,"",ROUND(AVERAGE(J104:L104)*100,0))</f>
        <v/>
      </c>
      <c r="N104" s="8">
        <f>IFERROR(AVERAGEIF(C$2:C$201,C104,M$2:M$201),"N/A")</f>
        <v/>
      </c>
      <c r="O104" s="8" t="n"/>
    </row>
    <row r="105" hidden="1" ht="15" customHeight="1" s="41">
      <c r="A105" s="8">
        <f>IF(B105="","",ROW()-1)</f>
        <v/>
      </c>
      <c r="B105" s="11" t="n"/>
      <c r="C105" s="8" t="n"/>
      <c r="D105" s="8" t="n"/>
      <c r="E105" s="8" t="n"/>
      <c r="F105" s="8" t="n"/>
      <c r="G105" s="8" t="n"/>
      <c r="H105" s="8" t="n"/>
      <c r="I105" s="8" t="n"/>
      <c r="J105" s="8">
        <f>IF(G105="","",IF(G105="SIM",1,0))</f>
        <v/>
      </c>
      <c r="K105" s="8">
        <f>IF(H105="","",IF(H105="Integral",1,IF(H105="Amostral",0.5,IF(H105="Não realizada",0,""))))</f>
        <v/>
      </c>
      <c r="L105" s="8">
        <f>IF(I105="","",IF(I105="Conformidade",1,IF(I105="Não Conformidade",0,IF(I105="Não Conformidade Grave",-1,""))))</f>
        <v/>
      </c>
      <c r="M105" s="8">
        <f>IF(COUNTA(G105:I105)=0,"",ROUND(AVERAGE(J105:L105)*100,0))</f>
        <v/>
      </c>
      <c r="N105" s="8">
        <f>IFERROR(AVERAGEIF(C$2:C$201,C105,M$2:M$201),"N/A")</f>
        <v/>
      </c>
      <c r="O105" s="8" t="n"/>
    </row>
    <row r="106" hidden="1" ht="15" customHeight="1" s="41">
      <c r="A106" s="8">
        <f>IF(B106="","",ROW()-1)</f>
        <v/>
      </c>
      <c r="B106" s="11" t="n"/>
      <c r="C106" s="8" t="n"/>
      <c r="D106" s="8" t="n"/>
      <c r="E106" s="8" t="n"/>
      <c r="F106" s="8" t="n"/>
      <c r="G106" s="8" t="n"/>
      <c r="H106" s="8" t="n"/>
      <c r="I106" s="8" t="n"/>
      <c r="J106" s="8">
        <f>IF(G106="","",IF(G106="SIM",1,0))</f>
        <v/>
      </c>
      <c r="K106" s="8">
        <f>IF(H106="","",IF(H106="Integral",1,IF(H106="Amostral",0.5,IF(H106="Não realizada",0,""))))</f>
        <v/>
      </c>
      <c r="L106" s="8">
        <f>IF(I106="","",IF(I106="Conformidade",1,IF(I106="Não Conformidade",0,IF(I106="Não Conformidade Grave",-1,""))))</f>
        <v/>
      </c>
      <c r="M106" s="8">
        <f>IF(COUNTA(G106:I106)=0,"",ROUND(AVERAGE(J106:L106)*100,0))</f>
        <v/>
      </c>
      <c r="N106" s="8">
        <f>IFERROR(AVERAGEIF(C$2:C$201,C106,M$2:M$201),"N/A")</f>
        <v/>
      </c>
      <c r="O106" s="8" t="n"/>
    </row>
    <row r="107" hidden="1" ht="15" customHeight="1" s="41">
      <c r="A107" s="8">
        <f>IF(B107="","",ROW()-1)</f>
        <v/>
      </c>
      <c r="B107" s="11" t="n"/>
      <c r="C107" s="8" t="n"/>
      <c r="D107" s="8" t="n"/>
      <c r="E107" s="8" t="n"/>
      <c r="F107" s="8" t="n"/>
      <c r="G107" s="8" t="n"/>
      <c r="H107" s="8" t="n"/>
      <c r="I107" s="8" t="n"/>
      <c r="J107" s="8">
        <f>IF(G107="","",IF(G107="SIM",1,0))</f>
        <v/>
      </c>
      <c r="K107" s="8">
        <f>IF(H107="","",IF(H107="Integral",1,IF(H107="Amostral",0.5,IF(H107="Não realizada",0,""))))</f>
        <v/>
      </c>
      <c r="L107" s="8">
        <f>IF(I107="","",IF(I107="Conformidade",1,IF(I107="Não Conformidade",0,IF(I107="Não Conformidade Grave",-1,""))))</f>
        <v/>
      </c>
      <c r="M107" s="8">
        <f>IF(COUNTA(G107:I107)=0,"",ROUND(AVERAGE(J107:L107)*100,0))</f>
        <v/>
      </c>
      <c r="N107" s="8">
        <f>IFERROR(AVERAGEIF(C$2:C$201,C107,M$2:M$201),"N/A")</f>
        <v/>
      </c>
      <c r="O107" s="8" t="n"/>
    </row>
    <row r="108" hidden="1" ht="15" customHeight="1" s="41">
      <c r="A108" s="8">
        <f>IF(B108="","",ROW()-1)</f>
        <v/>
      </c>
      <c r="B108" s="11" t="n"/>
      <c r="C108" s="8" t="n"/>
      <c r="D108" s="8" t="n"/>
      <c r="E108" s="8" t="n"/>
      <c r="F108" s="8" t="n"/>
      <c r="G108" s="8" t="n"/>
      <c r="H108" s="8" t="n"/>
      <c r="I108" s="8" t="n"/>
      <c r="J108" s="8">
        <f>IF(G108="","",IF(G108="SIM",1,0))</f>
        <v/>
      </c>
      <c r="K108" s="8">
        <f>IF(H108="","",IF(H108="Integral",1,IF(H108="Amostral",0.5,IF(H108="Não realizada",0,""))))</f>
        <v/>
      </c>
      <c r="L108" s="8">
        <f>IF(I108="","",IF(I108="Conformidade",1,IF(I108="Não Conformidade",0,IF(I108="Não Conformidade Grave",-1,""))))</f>
        <v/>
      </c>
      <c r="M108" s="8">
        <f>IF(COUNTA(G108:I108)=0,"",ROUND(AVERAGE(J108:L108)*100,0))</f>
        <v/>
      </c>
      <c r="N108" s="8">
        <f>IFERROR(AVERAGEIF(C$2:C$201,C108,M$2:M$201),"N/A")</f>
        <v/>
      </c>
      <c r="O108" s="8" t="n"/>
    </row>
    <row r="109" hidden="1" ht="15" customHeight="1" s="41">
      <c r="A109" s="8">
        <f>IF(B109="","",ROW()-1)</f>
        <v/>
      </c>
      <c r="B109" s="11" t="n"/>
      <c r="C109" s="8" t="n"/>
      <c r="D109" s="8" t="n"/>
      <c r="E109" s="8" t="n"/>
      <c r="F109" s="8" t="n"/>
      <c r="G109" s="8" t="n"/>
      <c r="H109" s="8" t="n"/>
      <c r="I109" s="8" t="n"/>
      <c r="J109" s="8">
        <f>IF(G109="","",IF(G109="SIM",1,0))</f>
        <v/>
      </c>
      <c r="K109" s="8">
        <f>IF(H109="","",IF(H109="Integral",1,IF(H109="Amostral",0.5,IF(H109="Não realizada",0,""))))</f>
        <v/>
      </c>
      <c r="L109" s="8">
        <f>IF(I109="","",IF(I109="Conformidade",1,IF(I109="Não Conformidade",0,IF(I109="Não Conformidade Grave",-1,""))))</f>
        <v/>
      </c>
      <c r="M109" s="8">
        <f>IF(COUNTA(G109:I109)=0,"",ROUND(AVERAGE(J109:L109)*100,0))</f>
        <v/>
      </c>
      <c r="N109" s="8">
        <f>IFERROR(AVERAGEIF(C$2:C$201,C109,M$2:M$201),"N/A")</f>
        <v/>
      </c>
      <c r="O109" s="8" t="n"/>
    </row>
    <row r="110" hidden="1" ht="15" customHeight="1" s="41">
      <c r="A110" s="8">
        <f>IF(B110="","",ROW()-1)</f>
        <v/>
      </c>
      <c r="B110" s="11" t="n"/>
      <c r="C110" s="8" t="n"/>
      <c r="D110" s="8" t="n"/>
      <c r="E110" s="8" t="n"/>
      <c r="F110" s="8" t="n"/>
      <c r="G110" s="8" t="n"/>
      <c r="H110" s="8" t="n"/>
      <c r="I110" s="8" t="n"/>
      <c r="J110" s="8">
        <f>IF(G110="","",IF(G110="SIM",1,0))</f>
        <v/>
      </c>
      <c r="K110" s="8">
        <f>IF(H110="","",IF(H110="Integral",1,IF(H110="Amostral",0.5,IF(H110="Não realizada",0,""))))</f>
        <v/>
      </c>
      <c r="L110" s="8">
        <f>IF(I110="","",IF(I110="Conformidade",1,IF(I110="Não Conformidade",0,IF(I110="Não Conformidade Grave",-1,""))))</f>
        <v/>
      </c>
      <c r="M110" s="8">
        <f>IF(COUNTA(G110:I110)=0,"",ROUND(AVERAGE(J110:L110)*100,0))</f>
        <v/>
      </c>
      <c r="N110" s="8">
        <f>IFERROR(AVERAGEIF(C$2:C$201,C110,M$2:M$201),"N/A")</f>
        <v/>
      </c>
      <c r="O110" s="8" t="n"/>
    </row>
    <row r="111" hidden="1" ht="15" customHeight="1" s="41">
      <c r="A111" s="8">
        <f>IF(B111="","",ROW()-1)</f>
        <v/>
      </c>
      <c r="B111" s="11" t="n"/>
      <c r="C111" s="8" t="n"/>
      <c r="D111" s="8" t="n"/>
      <c r="E111" s="8" t="n"/>
      <c r="F111" s="8" t="n"/>
      <c r="G111" s="8" t="n"/>
      <c r="H111" s="8" t="n"/>
      <c r="I111" s="8" t="n"/>
      <c r="J111" s="8">
        <f>IF(G111="","",IF(G111="SIM",1,0))</f>
        <v/>
      </c>
      <c r="K111" s="8">
        <f>IF(H111="","",IF(H111="Integral",1,IF(H111="Amostral",0.5,IF(H111="Não realizada",0,""))))</f>
        <v/>
      </c>
      <c r="L111" s="8">
        <f>IF(I111="","",IF(I111="Conformidade",1,IF(I111="Não Conformidade",0,IF(I111="Não Conformidade Grave",-1,""))))</f>
        <v/>
      </c>
      <c r="M111" s="8">
        <f>IF(COUNTA(G111:I111)=0,"",ROUND(AVERAGE(J111:L111)*100,0))</f>
        <v/>
      </c>
      <c r="N111" s="8">
        <f>IFERROR(AVERAGEIF(C$2:C$201,C111,M$2:M$201),"N/A")</f>
        <v/>
      </c>
      <c r="O111" s="8" t="n"/>
    </row>
    <row r="112" hidden="1" ht="15" customHeight="1" s="41">
      <c r="A112" s="8">
        <f>IF(B112="","",ROW()-1)</f>
        <v/>
      </c>
      <c r="B112" s="11" t="n"/>
      <c r="C112" s="8" t="n"/>
      <c r="D112" s="8" t="n"/>
      <c r="E112" s="8" t="n"/>
      <c r="F112" s="8" t="n"/>
      <c r="G112" s="8" t="n"/>
      <c r="H112" s="8" t="n"/>
      <c r="I112" s="8" t="n"/>
      <c r="J112" s="8">
        <f>IF(G112="","",IF(G112="SIM",1,0))</f>
        <v/>
      </c>
      <c r="K112" s="8">
        <f>IF(H112="","",IF(H112="Integral",1,IF(H112="Amostral",0.5,IF(H112="Não realizada",0,""))))</f>
        <v/>
      </c>
      <c r="L112" s="8">
        <f>IF(I112="","",IF(I112="Conformidade",1,IF(I112="Não Conformidade",0,IF(I112="Não Conformidade Grave",-1,""))))</f>
        <v/>
      </c>
      <c r="M112" s="8">
        <f>IF(COUNTA(G112:I112)=0,"",ROUND(AVERAGE(J112:L112)*100,0))</f>
        <v/>
      </c>
      <c r="N112" s="8">
        <f>IFERROR(AVERAGEIF(C$2:C$201,C112,M$2:M$201),"N/A")</f>
        <v/>
      </c>
      <c r="O112" s="8" t="n"/>
    </row>
    <row r="113" hidden="1" ht="15" customHeight="1" s="41">
      <c r="A113" s="8">
        <f>IF(B113="","",ROW()-1)</f>
        <v/>
      </c>
      <c r="B113" s="11" t="n"/>
      <c r="C113" s="8" t="n"/>
      <c r="D113" s="8" t="n"/>
      <c r="E113" s="8" t="n"/>
      <c r="F113" s="8" t="n"/>
      <c r="G113" s="8" t="n"/>
      <c r="H113" s="8" t="n"/>
      <c r="I113" s="8" t="n"/>
      <c r="J113" s="8">
        <f>IF(G113="","",IF(G113="SIM",1,0))</f>
        <v/>
      </c>
      <c r="K113" s="8">
        <f>IF(H113="","",IF(H113="Integral",1,IF(H113="Amostral",0.5,IF(H113="Não realizada",0,""))))</f>
        <v/>
      </c>
      <c r="L113" s="8">
        <f>IF(I113="","",IF(I113="Conformidade",1,IF(I113="Não Conformidade",0,IF(I113="Não Conformidade Grave",-1,""))))</f>
        <v/>
      </c>
      <c r="M113" s="8">
        <f>IF(COUNTA(G113:I113)=0,"",ROUND(AVERAGE(J113:L113)*100,0))</f>
        <v/>
      </c>
      <c r="N113" s="8">
        <f>IFERROR(AVERAGEIF(C$2:C$201,C113,M$2:M$201),"N/A")</f>
        <v/>
      </c>
      <c r="O113" s="8" t="n"/>
    </row>
    <row r="114" hidden="1" ht="15" customHeight="1" s="41">
      <c r="A114" s="8">
        <f>IF(B114="","",ROW()-1)</f>
        <v/>
      </c>
      <c r="B114" s="11" t="n"/>
      <c r="C114" s="8" t="n"/>
      <c r="D114" s="8" t="n"/>
      <c r="E114" s="8" t="n"/>
      <c r="F114" s="8" t="n"/>
      <c r="G114" s="8" t="n"/>
      <c r="H114" s="8" t="n"/>
      <c r="I114" s="8" t="n"/>
      <c r="J114" s="8">
        <f>IF(G114="","",IF(G114="SIM",1,0))</f>
        <v/>
      </c>
      <c r="K114" s="8">
        <f>IF(H114="","",IF(H114="Integral",1,IF(H114="Amostral",0.5,IF(H114="Não realizada",0,""))))</f>
        <v/>
      </c>
      <c r="L114" s="8">
        <f>IF(I114="","",IF(I114="Conformidade",1,IF(I114="Não Conformidade",0,IF(I114="Não Conformidade Grave",-1,""))))</f>
        <v/>
      </c>
      <c r="M114" s="8">
        <f>IF(COUNTA(G114:I114)=0,"",ROUND(AVERAGE(J114:L114)*100,0))</f>
        <v/>
      </c>
      <c r="N114" s="8">
        <f>IFERROR(AVERAGEIF(C$2:C$201,C114,M$2:M$201),"N/A")</f>
        <v/>
      </c>
      <c r="O114" s="8" t="n"/>
    </row>
    <row r="115" hidden="1" ht="15" customHeight="1" s="41">
      <c r="A115" s="8">
        <f>IF(B115="","",ROW()-1)</f>
        <v/>
      </c>
      <c r="B115" s="11" t="n"/>
      <c r="C115" s="8" t="n"/>
      <c r="D115" s="8" t="n"/>
      <c r="E115" s="8" t="n"/>
      <c r="F115" s="8" t="n"/>
      <c r="G115" s="8" t="n"/>
      <c r="H115" s="8" t="n"/>
      <c r="I115" s="8" t="n"/>
      <c r="J115" s="8">
        <f>IF(G115="","",IF(G115="SIM",1,0))</f>
        <v/>
      </c>
      <c r="K115" s="8">
        <f>IF(H115="","",IF(H115="Integral",1,IF(H115="Amostral",0.5,IF(H115="Não realizada",0,""))))</f>
        <v/>
      </c>
      <c r="L115" s="8">
        <f>IF(I115="","",IF(I115="Conformidade",1,IF(I115="Não Conformidade",0,IF(I115="Não Conformidade Grave",-1,""))))</f>
        <v/>
      </c>
      <c r="M115" s="8">
        <f>IF(COUNTA(G115:I115)=0,"",ROUND(AVERAGE(J115:L115)*100,0))</f>
        <v/>
      </c>
      <c r="N115" s="8">
        <f>IFERROR(AVERAGEIF(C$2:C$201,C115,M$2:M$201),"N/A")</f>
        <v/>
      </c>
      <c r="O115" s="8" t="n"/>
    </row>
    <row r="116" hidden="1" ht="15" customHeight="1" s="41">
      <c r="A116" s="8">
        <f>IF(B116="","",ROW()-1)</f>
        <v/>
      </c>
      <c r="B116" s="11" t="n"/>
      <c r="C116" s="8" t="n"/>
      <c r="D116" s="8" t="n"/>
      <c r="E116" s="8" t="n"/>
      <c r="F116" s="8" t="n"/>
      <c r="G116" s="8" t="n"/>
      <c r="H116" s="8" t="n"/>
      <c r="I116" s="8" t="n"/>
      <c r="J116" s="8">
        <f>IF(G116="","",IF(G116="SIM",1,0))</f>
        <v/>
      </c>
      <c r="K116" s="8">
        <f>IF(H116="","",IF(H116="Integral",1,IF(H116="Amostral",0.5,IF(H116="Não realizada",0,""))))</f>
        <v/>
      </c>
      <c r="L116" s="8">
        <f>IF(I116="","",IF(I116="Conformidade",1,IF(I116="Não Conformidade",0,IF(I116="Não Conformidade Grave",-1,""))))</f>
        <v/>
      </c>
      <c r="M116" s="8">
        <f>IF(COUNTA(G116:I116)=0,"",ROUND(AVERAGE(J116:L116)*100,0))</f>
        <v/>
      </c>
      <c r="N116" s="8">
        <f>IFERROR(AVERAGEIF(C$2:C$201,C116,M$2:M$201),"N/A")</f>
        <v/>
      </c>
      <c r="O116" s="8" t="n"/>
    </row>
    <row r="117" hidden="1" ht="15" customHeight="1" s="41">
      <c r="A117" s="8">
        <f>IF(B117="","",ROW()-1)</f>
        <v/>
      </c>
      <c r="B117" s="11" t="n"/>
      <c r="C117" s="8" t="n"/>
      <c r="D117" s="8" t="n"/>
      <c r="E117" s="8" t="n"/>
      <c r="F117" s="8" t="n"/>
      <c r="G117" s="8" t="n"/>
      <c r="H117" s="8" t="n"/>
      <c r="I117" s="8" t="n"/>
      <c r="J117" s="8">
        <f>IF(G117="","",IF(G117="SIM",1,0))</f>
        <v/>
      </c>
      <c r="K117" s="8">
        <f>IF(H117="","",IF(H117="Integral",1,IF(H117="Amostral",0.5,IF(H117="Não realizada",0,""))))</f>
        <v/>
      </c>
      <c r="L117" s="8">
        <f>IF(I117="","",IF(I117="Conformidade",1,IF(I117="Não Conformidade",0,IF(I117="Não Conformidade Grave",-1,""))))</f>
        <v/>
      </c>
      <c r="M117" s="8">
        <f>IF(COUNTA(G117:I117)=0,"",ROUND(AVERAGE(J117:L117)*100,0))</f>
        <v/>
      </c>
      <c r="N117" s="8">
        <f>IFERROR(AVERAGEIF(C$2:C$201,C117,M$2:M$201),"N/A")</f>
        <v/>
      </c>
      <c r="O117" s="8" t="n"/>
    </row>
    <row r="118" hidden="1" ht="15" customHeight="1" s="41">
      <c r="A118" s="8">
        <f>IF(B118="","",ROW()-1)</f>
        <v/>
      </c>
      <c r="B118" s="11" t="n"/>
      <c r="C118" s="8" t="n"/>
      <c r="D118" s="8" t="n"/>
      <c r="E118" s="8" t="n"/>
      <c r="F118" s="8" t="n"/>
      <c r="G118" s="8" t="n"/>
      <c r="H118" s="8" t="n"/>
      <c r="I118" s="8" t="n"/>
      <c r="J118" s="8">
        <f>IF(G118="","",IF(G118="SIM",1,0))</f>
        <v/>
      </c>
      <c r="K118" s="8">
        <f>IF(H118="","",IF(H118="Integral",1,IF(H118="Amostral",0.5,IF(H118="Não realizada",0,""))))</f>
        <v/>
      </c>
      <c r="L118" s="8">
        <f>IF(I118="","",IF(I118="Conformidade",1,IF(I118="Não Conformidade",0,IF(I118="Não Conformidade Grave",-1,""))))</f>
        <v/>
      </c>
      <c r="M118" s="8">
        <f>IF(COUNTA(G118:I118)=0,"",ROUND(AVERAGE(J118:L118)*100,0))</f>
        <v/>
      </c>
      <c r="N118" s="8">
        <f>IFERROR(AVERAGEIF(C$2:C$201,C118,M$2:M$201),"N/A")</f>
        <v/>
      </c>
      <c r="O118" s="8" t="n"/>
    </row>
    <row r="119" hidden="1" ht="15" customHeight="1" s="41">
      <c r="A119" s="8">
        <f>IF(B119="","",ROW()-1)</f>
        <v/>
      </c>
      <c r="B119" s="11" t="n"/>
      <c r="C119" s="8" t="n"/>
      <c r="D119" s="8" t="n"/>
      <c r="E119" s="8" t="n"/>
      <c r="F119" s="8" t="n"/>
      <c r="G119" s="8" t="n"/>
      <c r="H119" s="8" t="n"/>
      <c r="I119" s="8" t="n"/>
      <c r="J119" s="8">
        <f>IF(G119="","",IF(G119="SIM",1,0))</f>
        <v/>
      </c>
      <c r="K119" s="8">
        <f>IF(H119="","",IF(H119="Integral",1,IF(H119="Amostral",0.5,IF(H119="Não realizada",0,""))))</f>
        <v/>
      </c>
      <c r="L119" s="8">
        <f>IF(I119="","",IF(I119="Conformidade",1,IF(I119="Não Conformidade",0,IF(I119="Não Conformidade Grave",-1,""))))</f>
        <v/>
      </c>
      <c r="M119" s="8">
        <f>IF(COUNTA(G119:I119)=0,"",ROUND(AVERAGE(J119:L119)*100,0))</f>
        <v/>
      </c>
      <c r="N119" s="8">
        <f>IFERROR(AVERAGEIF(C$2:C$201,C119,M$2:M$201),"N/A")</f>
        <v/>
      </c>
      <c r="O119" s="8" t="n"/>
    </row>
    <row r="120" hidden="1" ht="15" customHeight="1" s="41">
      <c r="A120" s="8">
        <f>IF(B120="","",ROW()-1)</f>
        <v/>
      </c>
      <c r="B120" s="11" t="n"/>
      <c r="C120" s="8" t="n"/>
      <c r="D120" s="8" t="n"/>
      <c r="E120" s="8" t="n"/>
      <c r="F120" s="8" t="n"/>
      <c r="G120" s="8" t="n"/>
      <c r="H120" s="8" t="n"/>
      <c r="I120" s="8" t="n"/>
      <c r="J120" s="8">
        <f>IF(G120="","",IF(G120="SIM",1,0))</f>
        <v/>
      </c>
      <c r="K120" s="8">
        <f>IF(H120="","",IF(H120="Integral",1,IF(H120="Amostral",0.5,IF(H120="Não realizada",0,""))))</f>
        <v/>
      </c>
      <c r="L120" s="8">
        <f>IF(I120="","",IF(I120="Conformidade",1,IF(I120="Não Conformidade",0,IF(I120="Não Conformidade Grave",-1,""))))</f>
        <v/>
      </c>
      <c r="M120" s="8">
        <f>IF(COUNTA(G120:I120)=0,"",ROUND(AVERAGE(J120:L120)*100,0))</f>
        <v/>
      </c>
      <c r="N120" s="8">
        <f>IFERROR(AVERAGEIF(C$2:C$201,C120,M$2:M$201),"N/A")</f>
        <v/>
      </c>
      <c r="O120" s="8" t="n"/>
    </row>
    <row r="121" hidden="1" ht="15" customHeight="1" s="41">
      <c r="A121" s="8">
        <f>IF(B121="","",ROW()-1)</f>
        <v/>
      </c>
      <c r="B121" s="11" t="n"/>
      <c r="C121" s="8" t="n"/>
      <c r="D121" s="8" t="n"/>
      <c r="E121" s="8" t="n"/>
      <c r="F121" s="8" t="n"/>
      <c r="G121" s="8" t="n"/>
      <c r="H121" s="8" t="n"/>
      <c r="I121" s="8" t="n"/>
      <c r="J121" s="8">
        <f>IF(G121="","",IF(G121="SIM",1,0))</f>
        <v/>
      </c>
      <c r="K121" s="8">
        <f>IF(H121="","",IF(H121="Integral",1,IF(H121="Amostral",0.5,IF(H121="Não realizada",0,""))))</f>
        <v/>
      </c>
      <c r="L121" s="8">
        <f>IF(I121="","",IF(I121="Conformidade",1,IF(I121="Não Conformidade",0,IF(I121="Não Conformidade Grave",-1,""))))</f>
        <v/>
      </c>
      <c r="M121" s="8">
        <f>IF(COUNTA(G121:I121)=0,"",ROUND(AVERAGE(J121:L121)*100,0))</f>
        <v/>
      </c>
      <c r="N121" s="8">
        <f>IFERROR(AVERAGEIF(C$2:C$201,C121,M$2:M$201),"N/A")</f>
        <v/>
      </c>
      <c r="O121" s="8" t="n"/>
    </row>
    <row r="122" hidden="1" ht="15" customHeight="1" s="41">
      <c r="A122" s="8">
        <f>IF(B122="","",ROW()-1)</f>
        <v/>
      </c>
      <c r="B122" s="11" t="n"/>
      <c r="C122" s="8" t="n"/>
      <c r="D122" s="8" t="n"/>
      <c r="E122" s="8" t="n"/>
      <c r="F122" s="8" t="n"/>
      <c r="G122" s="8" t="n"/>
      <c r="H122" s="8" t="n"/>
      <c r="I122" s="8" t="n"/>
      <c r="J122" s="8">
        <f>IF(G122="","",IF(G122="SIM",1,0))</f>
        <v/>
      </c>
      <c r="K122" s="8">
        <f>IF(H122="","",IF(H122="Integral",1,IF(H122="Amostral",0.5,IF(H122="Não realizada",0,""))))</f>
        <v/>
      </c>
      <c r="L122" s="8">
        <f>IF(I122="","",IF(I122="Conformidade",1,IF(I122="Não Conformidade",0,IF(I122="Não Conformidade Grave",-1,""))))</f>
        <v/>
      </c>
      <c r="M122" s="8">
        <f>IF(COUNTA(G122:I122)=0,"",ROUND(AVERAGE(J122:L122)*100,0))</f>
        <v/>
      </c>
      <c r="N122" s="8">
        <f>IFERROR(AVERAGEIF(C$2:C$201,C122,M$2:M$201),"N/A")</f>
        <v/>
      </c>
      <c r="O122" s="8" t="n"/>
    </row>
    <row r="123" hidden="1" ht="15" customHeight="1" s="41">
      <c r="A123" s="8">
        <f>IF(B123="","",ROW()-1)</f>
        <v/>
      </c>
      <c r="B123" s="11" t="n"/>
      <c r="C123" s="8" t="n"/>
      <c r="D123" s="8" t="n"/>
      <c r="E123" s="8" t="n"/>
      <c r="F123" s="8" t="n"/>
      <c r="G123" s="8" t="n"/>
      <c r="H123" s="8" t="n"/>
      <c r="I123" s="8" t="n"/>
      <c r="J123" s="8">
        <f>IF(G123="","",IF(G123="SIM",1,0))</f>
        <v/>
      </c>
      <c r="K123" s="8">
        <f>IF(H123="","",IF(H123="Integral",1,IF(H123="Amostral",0.5,IF(H123="Não realizada",0,""))))</f>
        <v/>
      </c>
      <c r="L123" s="8">
        <f>IF(I123="","",IF(I123="Conformidade",1,IF(I123="Não Conformidade",0,IF(I123="Não Conformidade Grave",-1,""))))</f>
        <v/>
      </c>
      <c r="M123" s="8">
        <f>IF(COUNTA(G123:I123)=0,"",ROUND(AVERAGE(J123:L123)*100,0))</f>
        <v/>
      </c>
      <c r="N123" s="8">
        <f>IFERROR(AVERAGEIF(C$2:C$201,C123,M$2:M$201),"N/A")</f>
        <v/>
      </c>
      <c r="O123" s="8" t="n"/>
    </row>
    <row r="124" hidden="1" ht="15" customHeight="1" s="41">
      <c r="A124" s="8">
        <f>IF(B124="","",ROW()-1)</f>
        <v/>
      </c>
      <c r="B124" s="11" t="n"/>
      <c r="C124" s="8" t="n"/>
      <c r="D124" s="8" t="n"/>
      <c r="E124" s="8" t="n"/>
      <c r="F124" s="8" t="n"/>
      <c r="G124" s="8" t="n"/>
      <c r="H124" s="8" t="n"/>
      <c r="I124" s="8" t="n"/>
      <c r="J124" s="8">
        <f>IF(G124="","",IF(G124="SIM",1,0))</f>
        <v/>
      </c>
      <c r="K124" s="8">
        <f>IF(H124="","",IF(H124="Integral",1,IF(H124="Amostral",0.5,IF(H124="Não realizada",0,""))))</f>
        <v/>
      </c>
      <c r="L124" s="8">
        <f>IF(I124="","",IF(I124="Conformidade",1,IF(I124="Não Conformidade",0,IF(I124="Não Conformidade Grave",-1,""))))</f>
        <v/>
      </c>
      <c r="M124" s="8">
        <f>IF(COUNTA(G124:I124)=0,"",ROUND(AVERAGE(J124:L124)*100,0))</f>
        <v/>
      </c>
      <c r="N124" s="8">
        <f>IFERROR(AVERAGEIF(C$2:C$201,C124,M$2:M$201),"N/A")</f>
        <v/>
      </c>
      <c r="O124" s="8" t="n"/>
    </row>
    <row r="125" hidden="1" ht="15" customHeight="1" s="41">
      <c r="A125" s="8">
        <f>IF(B125="","",ROW()-1)</f>
        <v/>
      </c>
      <c r="B125" s="11" t="n"/>
      <c r="C125" s="8" t="n"/>
      <c r="D125" s="8" t="n"/>
      <c r="E125" s="8" t="n"/>
      <c r="F125" s="8" t="n"/>
      <c r="G125" s="8" t="n"/>
      <c r="H125" s="8" t="n"/>
      <c r="I125" s="8" t="n"/>
      <c r="J125" s="8">
        <f>IF(G125="","",IF(G125="SIM",1,0))</f>
        <v/>
      </c>
      <c r="K125" s="8">
        <f>IF(H125="","",IF(H125="Integral",1,IF(H125="Amostral",0.5,IF(H125="Não realizada",0,""))))</f>
        <v/>
      </c>
      <c r="L125" s="8">
        <f>IF(I125="","",IF(I125="Conformidade",1,IF(I125="Não Conformidade",0,IF(I125="Não Conformidade Grave",-1,""))))</f>
        <v/>
      </c>
      <c r="M125" s="8">
        <f>IF(COUNTA(G125:I125)=0,"",ROUND(AVERAGE(J125:L125)*100,0))</f>
        <v/>
      </c>
      <c r="N125" s="8">
        <f>IFERROR(AVERAGEIF(C$2:C$201,C125,M$2:M$201),"N/A")</f>
        <v/>
      </c>
      <c r="O125" s="8" t="n"/>
    </row>
    <row r="126" hidden="1" ht="15" customHeight="1" s="41">
      <c r="A126" s="8">
        <f>IF(B126="","",ROW()-1)</f>
        <v/>
      </c>
      <c r="B126" s="11" t="n"/>
      <c r="C126" s="8" t="n"/>
      <c r="D126" s="8" t="n"/>
      <c r="E126" s="8" t="n"/>
      <c r="F126" s="8" t="n"/>
      <c r="G126" s="8" t="n"/>
      <c r="H126" s="8" t="n"/>
      <c r="I126" s="8" t="n"/>
      <c r="J126" s="8">
        <f>IF(G126="","",IF(G126="SIM",1,0))</f>
        <v/>
      </c>
      <c r="K126" s="8">
        <f>IF(H126="","",IF(H126="Integral",1,IF(H126="Amostral",0.5,IF(H126="Não realizada",0,""))))</f>
        <v/>
      </c>
      <c r="L126" s="8">
        <f>IF(I126="","",IF(I126="Conformidade",1,IF(I126="Não Conformidade",0,IF(I126="Não Conformidade Grave",-1,""))))</f>
        <v/>
      </c>
      <c r="M126" s="8">
        <f>IF(COUNTA(G126:I126)=0,"",ROUND(AVERAGE(J126:L126)*100,0))</f>
        <v/>
      </c>
      <c r="N126" s="8">
        <f>IFERROR(AVERAGEIF(C$2:C$201,C126,M$2:M$201),"N/A")</f>
        <v/>
      </c>
      <c r="O126" s="8" t="n"/>
    </row>
    <row r="127" hidden="1" ht="15" customHeight="1" s="41">
      <c r="A127" s="8">
        <f>IF(B127="","",ROW()-1)</f>
        <v/>
      </c>
      <c r="B127" s="11" t="n"/>
      <c r="C127" s="8" t="n"/>
      <c r="D127" s="8" t="n"/>
      <c r="E127" s="8" t="n"/>
      <c r="F127" s="8" t="n"/>
      <c r="G127" s="8" t="n"/>
      <c r="H127" s="8" t="n"/>
      <c r="I127" s="8" t="n"/>
      <c r="J127" s="8">
        <f>IF(G127="","",IF(G127="SIM",1,0))</f>
        <v/>
      </c>
      <c r="K127" s="8">
        <f>IF(H127="","",IF(H127="Integral",1,IF(H127="Amostral",0.5,IF(H127="Não realizada",0,""))))</f>
        <v/>
      </c>
      <c r="L127" s="8">
        <f>IF(I127="","",IF(I127="Conformidade",1,IF(I127="Não Conformidade",0,IF(I127="Não Conformidade Grave",-1,""))))</f>
        <v/>
      </c>
      <c r="M127" s="8">
        <f>IF(COUNTA(G127:I127)=0,"",ROUND(AVERAGE(J127:L127)*100,0))</f>
        <v/>
      </c>
      <c r="N127" s="8">
        <f>IFERROR(AVERAGEIF(C$2:C$201,C127,M$2:M$201),"N/A")</f>
        <v/>
      </c>
      <c r="O127" s="8" t="n"/>
    </row>
    <row r="128" hidden="1" ht="15" customHeight="1" s="41">
      <c r="A128" s="8">
        <f>IF(B128="","",ROW()-1)</f>
        <v/>
      </c>
      <c r="B128" s="11" t="n"/>
      <c r="C128" s="8" t="n"/>
      <c r="D128" s="8" t="n"/>
      <c r="E128" s="8" t="n"/>
      <c r="F128" s="8" t="n"/>
      <c r="G128" s="8" t="n"/>
      <c r="H128" s="8" t="n"/>
      <c r="I128" s="8" t="n"/>
      <c r="J128" s="8">
        <f>IF(G128="","",IF(G128="SIM",1,0))</f>
        <v/>
      </c>
      <c r="K128" s="8">
        <f>IF(H128="","",IF(H128="Integral",1,IF(H128="Amostral",0.5,IF(H128="Não realizada",0,""))))</f>
        <v/>
      </c>
      <c r="L128" s="8">
        <f>IF(I128="","",IF(I128="Conformidade",1,IF(I128="Não Conformidade",0,IF(I128="Não Conformidade Grave",-1,""))))</f>
        <v/>
      </c>
      <c r="M128" s="8">
        <f>IF(COUNTA(G128:I128)=0,"",ROUND(AVERAGE(J128:L128)*100,0))</f>
        <v/>
      </c>
      <c r="N128" s="8">
        <f>IFERROR(AVERAGEIF(C$2:C$201,C128,M$2:M$201),"N/A")</f>
        <v/>
      </c>
      <c r="O128" s="8" t="n"/>
    </row>
    <row r="129" hidden="1" ht="15" customHeight="1" s="41">
      <c r="A129" s="8">
        <f>IF(B129="","",ROW()-1)</f>
        <v/>
      </c>
      <c r="B129" s="11" t="n"/>
      <c r="C129" s="8" t="n"/>
      <c r="D129" s="8" t="n"/>
      <c r="E129" s="8" t="n"/>
      <c r="F129" s="8" t="n"/>
      <c r="G129" s="8" t="n"/>
      <c r="H129" s="8" t="n"/>
      <c r="I129" s="8" t="n"/>
      <c r="J129" s="8">
        <f>IF(G129="","",IF(G129="SIM",1,0))</f>
        <v/>
      </c>
      <c r="K129" s="8">
        <f>IF(H129="","",IF(H129="Integral",1,IF(H129="Amostral",0.5,IF(H129="Não realizada",0,""))))</f>
        <v/>
      </c>
      <c r="L129" s="8">
        <f>IF(I129="","",IF(I129="Conformidade",1,IF(I129="Não Conformidade",0,IF(I129="Não Conformidade Grave",-1,""))))</f>
        <v/>
      </c>
      <c r="M129" s="8">
        <f>IF(COUNTA(G129:I129)=0,"",ROUND(AVERAGE(J129:L129)*100,0))</f>
        <v/>
      </c>
      <c r="N129" s="8">
        <f>IFERROR(AVERAGEIF(C$2:C$201,C129,M$2:M$201),"N/A")</f>
        <v/>
      </c>
      <c r="O129" s="8" t="n"/>
    </row>
    <row r="130" hidden="1" ht="15" customHeight="1" s="41">
      <c r="A130" s="8">
        <f>IF(B130="","",ROW()-1)</f>
        <v/>
      </c>
      <c r="B130" s="11" t="n"/>
      <c r="C130" s="8" t="n"/>
      <c r="D130" s="8" t="n"/>
      <c r="E130" s="8" t="n"/>
      <c r="F130" s="8" t="n"/>
      <c r="G130" s="8" t="n"/>
      <c r="H130" s="8" t="n"/>
      <c r="I130" s="8" t="n"/>
      <c r="J130" s="8">
        <f>IF(G130="","",IF(G130="SIM",1,0))</f>
        <v/>
      </c>
      <c r="K130" s="8">
        <f>IF(H130="","",IF(H130="Integral",1,IF(H130="Amostral",0.5,IF(H130="Não realizada",0,""))))</f>
        <v/>
      </c>
      <c r="L130" s="8">
        <f>IF(I130="","",IF(I130="Conformidade",1,IF(I130="Não Conformidade",0,IF(I130="Não Conformidade Grave",-1,""))))</f>
        <v/>
      </c>
      <c r="M130" s="8">
        <f>IF(COUNTA(G130:I130)=0,"",ROUND(AVERAGE(J130:L130)*100,0))</f>
        <v/>
      </c>
      <c r="N130" s="8">
        <f>IFERROR(AVERAGEIF(C$2:C$201,C130,M$2:M$201),"N/A")</f>
        <v/>
      </c>
      <c r="O130" s="8" t="n"/>
    </row>
    <row r="131" hidden="1" ht="15" customHeight="1" s="41">
      <c r="A131" s="8">
        <f>IF(B131="","",ROW()-1)</f>
        <v/>
      </c>
      <c r="B131" s="11" t="n"/>
      <c r="C131" s="8" t="n"/>
      <c r="D131" s="8" t="n"/>
      <c r="E131" s="8" t="n"/>
      <c r="F131" s="8" t="n"/>
      <c r="G131" s="8" t="n"/>
      <c r="H131" s="8" t="n"/>
      <c r="I131" s="8" t="n"/>
      <c r="J131" s="8">
        <f>IF(G131="","",IF(G131="SIM",1,0))</f>
        <v/>
      </c>
      <c r="K131" s="8">
        <f>IF(H131="","",IF(H131="Integral",1,IF(H131="Amostral",0.5,IF(H131="Não realizada",0,""))))</f>
        <v/>
      </c>
      <c r="L131" s="8">
        <f>IF(I131="","",IF(I131="Conformidade",1,IF(I131="Não Conformidade",0,IF(I131="Não Conformidade Grave",-1,""))))</f>
        <v/>
      </c>
      <c r="M131" s="8">
        <f>IF(COUNTA(G131:I131)=0,"",ROUND(AVERAGE(J131:L131)*100,0))</f>
        <v/>
      </c>
      <c r="N131" s="8">
        <f>IFERROR(AVERAGEIF(C$2:C$201,C131,M$2:M$201),"N/A")</f>
        <v/>
      </c>
      <c r="O131" s="8" t="n"/>
    </row>
    <row r="132" hidden="1" ht="15" customHeight="1" s="41">
      <c r="A132" s="8">
        <f>IF(B132="","",ROW()-1)</f>
        <v/>
      </c>
      <c r="B132" s="11" t="n"/>
      <c r="C132" s="8" t="n"/>
      <c r="D132" s="8" t="n"/>
      <c r="E132" s="8" t="n"/>
      <c r="F132" s="8" t="n"/>
      <c r="G132" s="8" t="n"/>
      <c r="H132" s="8" t="n"/>
      <c r="I132" s="8" t="n"/>
      <c r="J132" s="8">
        <f>IF(G132="","",IF(G132="SIM",1,0))</f>
        <v/>
      </c>
      <c r="K132" s="8">
        <f>IF(H132="","",IF(H132="Integral",1,IF(H132="Amostral",0.5,IF(H132="Não realizada",0,""))))</f>
        <v/>
      </c>
      <c r="L132" s="8">
        <f>IF(I132="","",IF(I132="Conformidade",1,IF(I132="Não Conformidade",0,IF(I132="Não Conformidade Grave",-1,""))))</f>
        <v/>
      </c>
      <c r="M132" s="8">
        <f>IF(COUNTA(G132:I132)=0,"",ROUND(AVERAGE(J132:L132)*100,0))</f>
        <v/>
      </c>
      <c r="N132" s="8">
        <f>IFERROR(AVERAGEIF(C$2:C$201,C132,M$2:M$201),"N/A")</f>
        <v/>
      </c>
      <c r="O132" s="8" t="n"/>
    </row>
    <row r="133" hidden="1" ht="15" customHeight="1" s="41">
      <c r="A133" s="8">
        <f>IF(B133="","",ROW()-1)</f>
        <v/>
      </c>
      <c r="B133" s="11" t="n"/>
      <c r="C133" s="8" t="n"/>
      <c r="D133" s="8" t="n"/>
      <c r="E133" s="8" t="n"/>
      <c r="F133" s="8" t="n"/>
      <c r="G133" s="8" t="n"/>
      <c r="H133" s="8" t="n"/>
      <c r="I133" s="8" t="n"/>
      <c r="J133" s="8">
        <f>IF(G133="","",IF(G133="SIM",1,0))</f>
        <v/>
      </c>
      <c r="K133" s="8">
        <f>IF(H133="","",IF(H133="Integral",1,IF(H133="Amostral",0.5,IF(H133="Não realizada",0,""))))</f>
        <v/>
      </c>
      <c r="L133" s="8">
        <f>IF(I133="","",IF(I133="Conformidade",1,IF(I133="Não Conformidade",0,IF(I133="Não Conformidade Grave",-1,""))))</f>
        <v/>
      </c>
      <c r="M133" s="8">
        <f>IF(COUNTA(G133:I133)=0,"",ROUND(AVERAGE(J133:L133)*100,0))</f>
        <v/>
      </c>
      <c r="N133" s="8">
        <f>IFERROR(AVERAGEIF(C$2:C$201,C133,M$2:M$201),"N/A")</f>
        <v/>
      </c>
      <c r="O133" s="8" t="n"/>
    </row>
    <row r="134" hidden="1" ht="15" customHeight="1" s="41">
      <c r="A134" s="8">
        <f>IF(B134="","",ROW()-1)</f>
        <v/>
      </c>
      <c r="B134" s="11" t="n"/>
      <c r="C134" s="8" t="n"/>
      <c r="D134" s="8" t="n"/>
      <c r="E134" s="8" t="n"/>
      <c r="F134" s="8" t="n"/>
      <c r="G134" s="8" t="n"/>
      <c r="H134" s="8" t="n"/>
      <c r="I134" s="8" t="n"/>
      <c r="J134" s="8">
        <f>IF(G134="","",IF(G134="SIM",1,0))</f>
        <v/>
      </c>
      <c r="K134" s="8">
        <f>IF(H134="","",IF(H134="Integral",1,IF(H134="Amostral",0.5,IF(H134="Não realizada",0,""))))</f>
        <v/>
      </c>
      <c r="L134" s="8">
        <f>IF(I134="","",IF(I134="Conformidade",1,IF(I134="Não Conformidade",0,IF(I134="Não Conformidade Grave",-1,""))))</f>
        <v/>
      </c>
      <c r="M134" s="8">
        <f>IF(COUNTA(G134:I134)=0,"",ROUND(AVERAGE(J134:L134)*100,0))</f>
        <v/>
      </c>
      <c r="N134" s="8">
        <f>IFERROR(AVERAGEIF(C$2:C$201,C134,M$2:M$201),"N/A")</f>
        <v/>
      </c>
      <c r="O134" s="8" t="n"/>
    </row>
    <row r="135" hidden="1" ht="15" customHeight="1" s="41">
      <c r="A135" s="8">
        <f>IF(B135="","",ROW()-1)</f>
        <v/>
      </c>
      <c r="B135" s="11" t="n"/>
      <c r="C135" s="8" t="n"/>
      <c r="D135" s="8" t="n"/>
      <c r="E135" s="8" t="n"/>
      <c r="F135" s="8" t="n"/>
      <c r="G135" s="8" t="n"/>
      <c r="H135" s="8" t="n"/>
      <c r="I135" s="8" t="n"/>
      <c r="J135" s="8">
        <f>IF(G135="","",IF(G135="SIM",1,0))</f>
        <v/>
      </c>
      <c r="K135" s="8">
        <f>IF(H135="","",IF(H135="Integral",1,IF(H135="Amostral",0.5,IF(H135="Não realizada",0,""))))</f>
        <v/>
      </c>
      <c r="L135" s="8">
        <f>IF(I135="","",IF(I135="Conformidade",1,IF(I135="Não Conformidade",0,IF(I135="Não Conformidade Grave",-1,""))))</f>
        <v/>
      </c>
      <c r="M135" s="8">
        <f>IF(COUNTA(G135:I135)=0,"",ROUND(AVERAGE(J135:L135)*100,0))</f>
        <v/>
      </c>
      <c r="N135" s="8">
        <f>IFERROR(AVERAGEIF(C$2:C$201,C135,M$2:M$201),"N/A")</f>
        <v/>
      </c>
      <c r="O135" s="8" t="n"/>
    </row>
    <row r="136" hidden="1" ht="15" customHeight="1" s="41">
      <c r="A136" s="8">
        <f>IF(B136="","",ROW()-1)</f>
        <v/>
      </c>
      <c r="B136" s="11" t="n"/>
      <c r="C136" s="8" t="n"/>
      <c r="D136" s="8" t="n"/>
      <c r="E136" s="8" t="n"/>
      <c r="F136" s="8" t="n"/>
      <c r="G136" s="8" t="n"/>
      <c r="H136" s="8" t="n"/>
      <c r="I136" s="8" t="n"/>
      <c r="J136" s="8">
        <f>IF(G136="","",IF(G136="SIM",1,0))</f>
        <v/>
      </c>
      <c r="K136" s="8">
        <f>IF(H136="","",IF(H136="Integral",1,IF(H136="Amostral",0.5,IF(H136="Não realizada",0,""))))</f>
        <v/>
      </c>
      <c r="L136" s="8">
        <f>IF(I136="","",IF(I136="Conformidade",1,IF(I136="Não Conformidade",0,IF(I136="Não Conformidade Grave",-1,""))))</f>
        <v/>
      </c>
      <c r="M136" s="8">
        <f>IF(COUNTA(G136:I136)=0,"",ROUND(AVERAGE(J136:L136)*100,0))</f>
        <v/>
      </c>
      <c r="N136" s="8">
        <f>IFERROR(AVERAGEIF(C$2:C$201,C136,M$2:M$201),"N/A")</f>
        <v/>
      </c>
      <c r="O136" s="8" t="n"/>
    </row>
    <row r="137" hidden="1" ht="15" customHeight="1" s="41">
      <c r="A137" s="8">
        <f>IF(B137="","",ROW()-1)</f>
        <v/>
      </c>
      <c r="B137" s="11" t="n"/>
      <c r="C137" s="8" t="n"/>
      <c r="D137" s="8" t="n"/>
      <c r="E137" s="8" t="n"/>
      <c r="F137" s="8" t="n"/>
      <c r="G137" s="8" t="n"/>
      <c r="H137" s="8" t="n"/>
      <c r="I137" s="8" t="n"/>
      <c r="J137" s="8">
        <f>IF(G137="","",IF(G137="SIM",1,0))</f>
        <v/>
      </c>
      <c r="K137" s="8">
        <f>IF(H137="","",IF(H137="Integral",1,IF(H137="Amostral",0.5,IF(H137="Não realizada",0,""))))</f>
        <v/>
      </c>
      <c r="L137" s="8">
        <f>IF(I137="","",IF(I137="Conformidade",1,IF(I137="Não Conformidade",0,IF(I137="Não Conformidade Grave",-1,""))))</f>
        <v/>
      </c>
      <c r="M137" s="8">
        <f>IF(COUNTA(G137:I137)=0,"",ROUND(AVERAGE(J137:L137)*100,0))</f>
        <v/>
      </c>
      <c r="N137" s="8">
        <f>IFERROR(AVERAGEIF(C$2:C$201,C137,M$2:M$201),"N/A")</f>
        <v/>
      </c>
      <c r="O137" s="8" t="n"/>
    </row>
    <row r="138" hidden="1" ht="15" customHeight="1" s="41">
      <c r="A138" s="8">
        <f>IF(B138="","",ROW()-1)</f>
        <v/>
      </c>
      <c r="B138" s="11" t="n"/>
      <c r="C138" s="8" t="n"/>
      <c r="D138" s="8" t="n"/>
      <c r="E138" s="8" t="n"/>
      <c r="F138" s="8" t="n"/>
      <c r="G138" s="8" t="n"/>
      <c r="H138" s="8" t="n"/>
      <c r="I138" s="8" t="n"/>
      <c r="J138" s="8">
        <f>IF(G138="","",IF(G138="SIM",1,0))</f>
        <v/>
      </c>
      <c r="K138" s="8">
        <f>IF(H138="","",IF(H138="Integral",1,IF(H138="Amostral",0.5,IF(H138="Não realizada",0,""))))</f>
        <v/>
      </c>
      <c r="L138" s="8">
        <f>IF(I138="","",IF(I138="Conformidade",1,IF(I138="Não Conformidade",0,IF(I138="Não Conformidade Grave",-1,""))))</f>
        <v/>
      </c>
      <c r="M138" s="8">
        <f>IF(COUNTA(G138:I138)=0,"",ROUND(AVERAGE(J138:L138)*100,0))</f>
        <v/>
      </c>
      <c r="N138" s="8">
        <f>IFERROR(AVERAGEIF(C$2:C$201,C138,M$2:M$201),"N/A")</f>
        <v/>
      </c>
      <c r="O138" s="8" t="n"/>
    </row>
    <row r="139" hidden="1" ht="15" customHeight="1" s="41">
      <c r="A139" s="8">
        <f>IF(B139="","",ROW()-1)</f>
        <v/>
      </c>
      <c r="B139" s="11" t="n"/>
      <c r="C139" s="8" t="n"/>
      <c r="D139" s="8" t="n"/>
      <c r="E139" s="8" t="n"/>
      <c r="F139" s="8" t="n"/>
      <c r="G139" s="8" t="n"/>
      <c r="H139" s="8" t="n"/>
      <c r="I139" s="8" t="n"/>
      <c r="J139" s="8">
        <f>IF(G139="","",IF(G139="SIM",1,0))</f>
        <v/>
      </c>
      <c r="K139" s="8">
        <f>IF(H139="","",IF(H139="Integral",1,IF(H139="Amostral",0.5,IF(H139="Não realizada",0,""))))</f>
        <v/>
      </c>
      <c r="L139" s="8">
        <f>IF(I139="","",IF(I139="Conformidade",1,IF(I139="Não Conformidade",0,IF(I139="Não Conformidade Grave",-1,""))))</f>
        <v/>
      </c>
      <c r="M139" s="8">
        <f>IF(COUNTA(G139:I139)=0,"",ROUND(AVERAGE(J139:L139)*100,0))</f>
        <v/>
      </c>
      <c r="N139" s="8">
        <f>IFERROR(AVERAGEIF(C$2:C$201,C139,M$2:M$201),"N/A")</f>
        <v/>
      </c>
      <c r="O139" s="8" t="n"/>
    </row>
    <row r="140" hidden="1" ht="15" customHeight="1" s="41">
      <c r="A140" s="8">
        <f>IF(B140="","",ROW()-1)</f>
        <v/>
      </c>
      <c r="B140" s="11" t="n"/>
      <c r="C140" s="8" t="n"/>
      <c r="D140" s="8" t="n"/>
      <c r="E140" s="8" t="n"/>
      <c r="F140" s="8" t="n"/>
      <c r="G140" s="8" t="n"/>
      <c r="H140" s="8" t="n"/>
      <c r="I140" s="8" t="n"/>
      <c r="J140" s="8">
        <f>IF(G140="","",IF(G140="SIM",1,0))</f>
        <v/>
      </c>
      <c r="K140" s="8">
        <f>IF(H140="","",IF(H140="Integral",1,IF(H140="Amostral",0.5,IF(H140="Não realizada",0,""))))</f>
        <v/>
      </c>
      <c r="L140" s="8">
        <f>IF(I140="","",IF(I140="Conformidade",1,IF(I140="Não Conformidade",0,IF(I140="Não Conformidade Grave",-1,""))))</f>
        <v/>
      </c>
      <c r="M140" s="8">
        <f>IF(COUNTA(G140:I140)=0,"",ROUND(AVERAGE(J140:L140)*100,0))</f>
        <v/>
      </c>
      <c r="N140" s="8">
        <f>IFERROR(AVERAGEIF(C$2:C$201,C140,M$2:M$201),"N/A")</f>
        <v/>
      </c>
      <c r="O140" s="8" t="n"/>
    </row>
    <row r="141" hidden="1" ht="15" customHeight="1" s="41">
      <c r="A141" s="8">
        <f>IF(B141="","",ROW()-1)</f>
        <v/>
      </c>
      <c r="B141" s="11" t="n"/>
      <c r="C141" s="8" t="n"/>
      <c r="D141" s="8" t="n"/>
      <c r="E141" s="8" t="n"/>
      <c r="F141" s="8" t="n"/>
      <c r="G141" s="8" t="n"/>
      <c r="H141" s="8" t="n"/>
      <c r="I141" s="8" t="n"/>
      <c r="J141" s="8">
        <f>IF(G141="","",IF(G141="SIM",1,0))</f>
        <v/>
      </c>
      <c r="K141" s="8">
        <f>IF(H141="","",IF(H141="Integral",1,IF(H141="Amostral",0.5,IF(H141="Não realizada",0,""))))</f>
        <v/>
      </c>
      <c r="L141" s="8">
        <f>IF(I141="","",IF(I141="Conformidade",1,IF(I141="Não Conformidade",0,IF(I141="Não Conformidade Grave",-1,""))))</f>
        <v/>
      </c>
      <c r="M141" s="8">
        <f>IF(COUNTA(G141:I141)=0,"",ROUND(AVERAGE(J141:L141)*100,0))</f>
        <v/>
      </c>
      <c r="N141" s="8">
        <f>IFERROR(AVERAGEIF(C$2:C$201,C141,M$2:M$201),"N/A")</f>
        <v/>
      </c>
      <c r="O141" s="8" t="n"/>
    </row>
    <row r="142" hidden="1" ht="15" customHeight="1" s="41">
      <c r="A142" s="8">
        <f>IF(B142="","",ROW()-1)</f>
        <v/>
      </c>
      <c r="B142" s="11" t="n"/>
      <c r="C142" s="8" t="n"/>
      <c r="D142" s="8" t="n"/>
      <c r="E142" s="8" t="n"/>
      <c r="F142" s="8" t="n"/>
      <c r="G142" s="8" t="n"/>
      <c r="H142" s="8" t="n"/>
      <c r="I142" s="8" t="n"/>
      <c r="J142" s="8">
        <f>IF(G142="","",IF(G142="SIM",1,0))</f>
        <v/>
      </c>
      <c r="K142" s="8">
        <f>IF(H142="","",IF(H142="Integral",1,IF(H142="Amostral",0.5,IF(H142="Não realizada",0,""))))</f>
        <v/>
      </c>
      <c r="L142" s="8">
        <f>IF(I142="","",IF(I142="Conformidade",1,IF(I142="Não Conformidade",0,IF(I142="Não Conformidade Grave",-1,""))))</f>
        <v/>
      </c>
      <c r="M142" s="8">
        <f>IF(COUNTA(G142:I142)=0,"",ROUND(AVERAGE(J142:L142)*100,0))</f>
        <v/>
      </c>
      <c r="N142" s="8">
        <f>IFERROR(AVERAGEIF(C$2:C$201,C142,M$2:M$201),"N/A")</f>
        <v/>
      </c>
      <c r="O142" s="8" t="n"/>
    </row>
    <row r="143" hidden="1" ht="15" customHeight="1" s="41">
      <c r="A143" s="8">
        <f>IF(B143="","",ROW()-1)</f>
        <v/>
      </c>
      <c r="B143" s="11" t="n"/>
      <c r="C143" s="8" t="n"/>
      <c r="D143" s="8" t="n"/>
      <c r="E143" s="8" t="n"/>
      <c r="F143" s="8" t="n"/>
      <c r="G143" s="8" t="n"/>
      <c r="H143" s="8" t="n"/>
      <c r="I143" s="8" t="n"/>
      <c r="J143" s="8">
        <f>IF(G143="","",IF(G143="SIM",1,0))</f>
        <v/>
      </c>
      <c r="K143" s="8">
        <f>IF(H143="","",IF(H143="Integral",1,IF(H143="Amostral",0.5,IF(H143="Não realizada",0,""))))</f>
        <v/>
      </c>
      <c r="L143" s="8">
        <f>IF(I143="","",IF(I143="Conformidade",1,IF(I143="Não Conformidade",0,IF(I143="Não Conformidade Grave",-1,""))))</f>
        <v/>
      </c>
      <c r="M143" s="8">
        <f>IF(COUNTA(G143:I143)=0,"",ROUND(AVERAGE(J143:L143)*100,0))</f>
        <v/>
      </c>
      <c r="N143" s="8">
        <f>IFERROR(AVERAGEIF(C$2:C$201,C143,M$2:M$201),"N/A")</f>
        <v/>
      </c>
      <c r="O143" s="8" t="n"/>
    </row>
    <row r="144" hidden="1" ht="15" customHeight="1" s="41">
      <c r="A144" s="8">
        <f>IF(B144="","",ROW()-1)</f>
        <v/>
      </c>
      <c r="B144" s="11" t="n"/>
      <c r="C144" s="8" t="n"/>
      <c r="D144" s="8" t="n"/>
      <c r="E144" s="8" t="n"/>
      <c r="F144" s="8" t="n"/>
      <c r="G144" s="8" t="n"/>
      <c r="H144" s="8" t="n"/>
      <c r="I144" s="8" t="n"/>
      <c r="J144" s="8">
        <f>IF(G144="","",IF(G144="SIM",1,0))</f>
        <v/>
      </c>
      <c r="K144" s="8">
        <f>IF(H144="","",IF(H144="Integral",1,IF(H144="Amostral",0.5,IF(H144="Não realizada",0,""))))</f>
        <v/>
      </c>
      <c r="L144" s="8">
        <f>IF(I144="","",IF(I144="Conformidade",1,IF(I144="Não Conformidade",0,IF(I144="Não Conformidade Grave",-1,""))))</f>
        <v/>
      </c>
      <c r="M144" s="8">
        <f>IF(COUNTA(G144:I144)=0,"",ROUND(AVERAGE(J144:L144)*100,0))</f>
        <v/>
      </c>
      <c r="N144" s="8">
        <f>IFERROR(AVERAGEIF(C$2:C$201,C144,M$2:M$201),"N/A")</f>
        <v/>
      </c>
      <c r="O144" s="8" t="n"/>
    </row>
    <row r="145" hidden="1" ht="15" customHeight="1" s="41">
      <c r="A145" s="8">
        <f>IF(B145="","",ROW()-1)</f>
        <v/>
      </c>
      <c r="B145" s="11" t="n"/>
      <c r="C145" s="8" t="n"/>
      <c r="D145" s="8" t="n"/>
      <c r="E145" s="8" t="n"/>
      <c r="F145" s="8" t="n"/>
      <c r="G145" s="8" t="n"/>
      <c r="H145" s="8" t="n"/>
      <c r="I145" s="8" t="n"/>
      <c r="J145" s="8">
        <f>IF(G145="","",IF(G145="SIM",1,0))</f>
        <v/>
      </c>
      <c r="K145" s="8">
        <f>IF(H145="","",IF(H145="Integral",1,IF(H145="Amostral",0.5,IF(H145="Não realizada",0,""))))</f>
        <v/>
      </c>
      <c r="L145" s="8">
        <f>IF(I145="","",IF(I145="Conformidade",1,IF(I145="Não Conformidade",0,IF(I145="Não Conformidade Grave",-1,""))))</f>
        <v/>
      </c>
      <c r="M145" s="8">
        <f>IF(COUNTA(G145:I145)=0,"",ROUND(AVERAGE(J145:L145)*100,0))</f>
        <v/>
      </c>
      <c r="N145" s="8">
        <f>IFERROR(AVERAGEIF(C$2:C$201,C145,M$2:M$201),"N/A")</f>
        <v/>
      </c>
      <c r="O145" s="8" t="n"/>
    </row>
    <row r="146" hidden="1" ht="15" customHeight="1" s="41">
      <c r="A146" s="8">
        <f>IF(B146="","",ROW()-1)</f>
        <v/>
      </c>
      <c r="B146" s="11" t="n"/>
      <c r="C146" s="8" t="n"/>
      <c r="D146" s="8" t="n"/>
      <c r="E146" s="8" t="n"/>
      <c r="F146" s="8" t="n"/>
      <c r="G146" s="8" t="n"/>
      <c r="H146" s="8" t="n"/>
      <c r="I146" s="8" t="n"/>
      <c r="J146" s="8">
        <f>IF(G146="","",IF(G146="SIM",1,0))</f>
        <v/>
      </c>
      <c r="K146" s="8">
        <f>IF(H146="","",IF(H146="Integral",1,IF(H146="Amostral",0.5,IF(H146="Não realizada",0,""))))</f>
        <v/>
      </c>
      <c r="L146" s="8">
        <f>IF(I146="","",IF(I146="Conformidade",1,IF(I146="Não Conformidade",0,IF(I146="Não Conformidade Grave",-1,""))))</f>
        <v/>
      </c>
      <c r="M146" s="8">
        <f>IF(COUNTA(G146:I146)=0,"",ROUND(AVERAGE(J146:L146)*100,0))</f>
        <v/>
      </c>
      <c r="N146" s="8">
        <f>IFERROR(AVERAGEIF(C$2:C$201,C146,M$2:M$201),"N/A")</f>
        <v/>
      </c>
      <c r="O146" s="8" t="n"/>
    </row>
    <row r="147" hidden="1" ht="15" customHeight="1" s="41">
      <c r="A147" s="8">
        <f>IF(B147="","",ROW()-1)</f>
        <v/>
      </c>
      <c r="B147" s="11" t="n"/>
      <c r="C147" s="8" t="n"/>
      <c r="D147" s="8" t="n"/>
      <c r="E147" s="8" t="n"/>
      <c r="F147" s="8" t="n"/>
      <c r="G147" s="8" t="n"/>
      <c r="H147" s="8" t="n"/>
      <c r="I147" s="8" t="n"/>
      <c r="J147" s="8">
        <f>IF(G147="","",IF(G147="SIM",1,0))</f>
        <v/>
      </c>
      <c r="K147" s="8">
        <f>IF(H147="","",IF(H147="Integral",1,IF(H147="Amostral",0.5,IF(H147="Não realizada",0,""))))</f>
        <v/>
      </c>
      <c r="L147" s="8">
        <f>IF(I147="","",IF(I147="Conformidade",1,IF(I147="Não Conformidade",0,IF(I147="Não Conformidade Grave",-1,""))))</f>
        <v/>
      </c>
      <c r="M147" s="8">
        <f>IF(COUNTA(G147:I147)=0,"",ROUND(AVERAGE(J147:L147)*100,0))</f>
        <v/>
      </c>
      <c r="N147" s="8">
        <f>IFERROR(AVERAGEIF(C$2:C$201,C147,M$2:M$201),"N/A")</f>
        <v/>
      </c>
      <c r="O147" s="8" t="n"/>
    </row>
    <row r="148" hidden="1" ht="15" customHeight="1" s="41">
      <c r="A148" s="8">
        <f>IF(B148="","",ROW()-1)</f>
        <v/>
      </c>
      <c r="B148" s="11" t="n"/>
      <c r="C148" s="8" t="n"/>
      <c r="D148" s="8" t="n"/>
      <c r="E148" s="8" t="n"/>
      <c r="F148" s="8" t="n"/>
      <c r="G148" s="8" t="n"/>
      <c r="H148" s="8" t="n"/>
      <c r="I148" s="8" t="n"/>
      <c r="J148" s="8">
        <f>IF(G148="","",IF(G148="SIM",1,0))</f>
        <v/>
      </c>
      <c r="K148" s="8">
        <f>IF(H148="","",IF(H148="Integral",1,IF(H148="Amostral",0.5,IF(H148="Não realizada",0,""))))</f>
        <v/>
      </c>
      <c r="L148" s="8">
        <f>IF(I148="","",IF(I148="Conformidade",1,IF(I148="Não Conformidade",0,IF(I148="Não Conformidade Grave",-1,""))))</f>
        <v/>
      </c>
      <c r="M148" s="8">
        <f>IF(COUNTA(G148:I148)=0,"",ROUND(AVERAGE(J148:L148)*100,0))</f>
        <v/>
      </c>
      <c r="N148" s="8">
        <f>IFERROR(AVERAGEIF(C$2:C$201,C148,M$2:M$201),"N/A")</f>
        <v/>
      </c>
      <c r="O148" s="8" t="n"/>
    </row>
    <row r="149" hidden="1" ht="15" customHeight="1" s="41">
      <c r="A149" s="8">
        <f>IF(B149="","",ROW()-1)</f>
        <v/>
      </c>
      <c r="B149" s="11" t="n"/>
      <c r="C149" s="8" t="n"/>
      <c r="D149" s="8" t="n"/>
      <c r="E149" s="8" t="n"/>
      <c r="F149" s="8" t="n"/>
      <c r="G149" s="8" t="n"/>
      <c r="H149" s="8" t="n"/>
      <c r="I149" s="8" t="n"/>
      <c r="J149" s="8">
        <f>IF(G149="","",IF(G149="SIM",1,0))</f>
        <v/>
      </c>
      <c r="K149" s="8">
        <f>IF(H149="","",IF(H149="Integral",1,IF(H149="Amostral",0.5,IF(H149="Não realizada",0,""))))</f>
        <v/>
      </c>
      <c r="L149" s="8">
        <f>IF(I149="","",IF(I149="Conformidade",1,IF(I149="Não Conformidade",0,IF(I149="Não Conformidade Grave",-1,""))))</f>
        <v/>
      </c>
      <c r="M149" s="8">
        <f>IF(COUNTA(G149:I149)=0,"",ROUND(AVERAGE(J149:L149)*100,0))</f>
        <v/>
      </c>
      <c r="N149" s="8">
        <f>IFERROR(AVERAGEIF(C$2:C$201,C149,M$2:M$201),"N/A")</f>
        <v/>
      </c>
      <c r="O149" s="8" t="n"/>
    </row>
    <row r="150" hidden="1" ht="15" customHeight="1" s="41">
      <c r="A150" s="8">
        <f>IF(B150="","",ROW()-1)</f>
        <v/>
      </c>
      <c r="B150" s="11" t="n"/>
      <c r="C150" s="8" t="n"/>
      <c r="D150" s="8" t="n"/>
      <c r="E150" s="8" t="n"/>
      <c r="F150" s="8" t="n"/>
      <c r="G150" s="8" t="n"/>
      <c r="H150" s="8" t="n"/>
      <c r="I150" s="8" t="n"/>
      <c r="J150" s="8">
        <f>IF(G150="","",IF(G150="SIM",1,0))</f>
        <v/>
      </c>
      <c r="K150" s="8">
        <f>IF(H150="","",IF(H150="Integral",1,IF(H150="Amostral",0.5,IF(H150="Não realizada",0,""))))</f>
        <v/>
      </c>
      <c r="L150" s="8">
        <f>IF(I150="","",IF(I150="Conformidade",1,IF(I150="Não Conformidade",0,IF(I150="Não Conformidade Grave",-1,""))))</f>
        <v/>
      </c>
      <c r="M150" s="8">
        <f>IF(COUNTA(G150:I150)=0,"",ROUND(AVERAGE(J150:L150)*100,0))</f>
        <v/>
      </c>
      <c r="N150" s="8">
        <f>IFERROR(AVERAGEIF(C$2:C$201,C150,M$2:M$201),"N/A")</f>
        <v/>
      </c>
      <c r="O150" s="8" t="n"/>
    </row>
    <row r="151" hidden="1" ht="15" customHeight="1" s="41">
      <c r="A151" s="8">
        <f>IF(B151="","",ROW()-1)</f>
        <v/>
      </c>
      <c r="B151" s="11" t="n"/>
      <c r="C151" s="8" t="n"/>
      <c r="D151" s="8" t="n"/>
      <c r="E151" s="8" t="n"/>
      <c r="F151" s="8" t="n"/>
      <c r="G151" s="8" t="n"/>
      <c r="H151" s="8" t="n"/>
      <c r="I151" s="8" t="n"/>
      <c r="J151" s="8">
        <f>IF(G151="","",IF(G151="SIM",1,0))</f>
        <v/>
      </c>
      <c r="K151" s="8">
        <f>IF(H151="","",IF(H151="Integral",1,IF(H151="Amostral",0.5,IF(H151="Não realizada",0,""))))</f>
        <v/>
      </c>
      <c r="L151" s="8">
        <f>IF(I151="","",IF(I151="Conformidade",1,IF(I151="Não Conformidade",0,IF(I151="Não Conformidade Grave",-1,""))))</f>
        <v/>
      </c>
      <c r="M151" s="8">
        <f>IF(COUNTA(G151:I151)=0,"",ROUND(AVERAGE(J151:L151)*100,0))</f>
        <v/>
      </c>
      <c r="N151" s="8">
        <f>IFERROR(AVERAGEIF(C$2:C$201,C151,M$2:M$201),"N/A")</f>
        <v/>
      </c>
      <c r="O151" s="8" t="n"/>
    </row>
    <row r="152" hidden="1" ht="15" customHeight="1" s="41">
      <c r="A152" s="8">
        <f>IF(B152="","",ROW()-1)</f>
        <v/>
      </c>
      <c r="B152" s="11" t="n"/>
      <c r="C152" s="8" t="n"/>
      <c r="D152" s="8" t="n"/>
      <c r="E152" s="8" t="n"/>
      <c r="F152" s="8" t="n"/>
      <c r="G152" s="8" t="n"/>
      <c r="H152" s="8" t="n"/>
      <c r="I152" s="8" t="n"/>
      <c r="J152" s="8">
        <f>IF(G152="","",IF(G152="SIM",1,0))</f>
        <v/>
      </c>
      <c r="K152" s="8">
        <f>IF(H152="","",IF(H152="Integral",1,IF(H152="Amostral",0.5,IF(H152="Não realizada",0,""))))</f>
        <v/>
      </c>
      <c r="L152" s="8">
        <f>IF(I152="","",IF(I152="Conformidade",1,IF(I152="Não Conformidade",0,IF(I152="Não Conformidade Grave",-1,""))))</f>
        <v/>
      </c>
      <c r="M152" s="8">
        <f>IF(COUNTA(G152:I152)=0,"",ROUND(AVERAGE(J152:L152)*100,0))</f>
        <v/>
      </c>
      <c r="N152" s="8">
        <f>IFERROR(AVERAGEIF(C$2:C$201,C152,M$2:M$201),"N/A")</f>
        <v/>
      </c>
      <c r="O152" s="8" t="n"/>
    </row>
    <row r="153" hidden="1" ht="15" customHeight="1" s="41">
      <c r="A153" s="8">
        <f>IF(B153="","",ROW()-1)</f>
        <v/>
      </c>
      <c r="B153" s="11" t="n"/>
      <c r="C153" s="8" t="n"/>
      <c r="D153" s="8" t="n"/>
      <c r="E153" s="8" t="n"/>
      <c r="F153" s="8" t="n"/>
      <c r="G153" s="8" t="n"/>
      <c r="H153" s="8" t="n"/>
      <c r="I153" s="8" t="n"/>
      <c r="J153" s="8">
        <f>IF(G153="","",IF(G153="SIM",1,0))</f>
        <v/>
      </c>
      <c r="K153" s="8">
        <f>IF(H153="","",IF(H153="Integral",1,IF(H153="Amostral",0.5,IF(H153="Não realizada",0,""))))</f>
        <v/>
      </c>
      <c r="L153" s="8">
        <f>IF(I153="","",IF(I153="Conformidade",1,IF(I153="Não Conformidade",0,IF(I153="Não Conformidade Grave",-1,""))))</f>
        <v/>
      </c>
      <c r="M153" s="8">
        <f>IF(COUNTA(G153:I153)=0,"",ROUND(AVERAGE(J153:L153)*100,0))</f>
        <v/>
      </c>
      <c r="N153" s="8">
        <f>IFERROR(AVERAGEIF(C$2:C$201,C153,M$2:M$201),"N/A")</f>
        <v/>
      </c>
      <c r="O153" s="8" t="n"/>
    </row>
    <row r="154" hidden="1" ht="15" customHeight="1" s="41">
      <c r="A154" s="8">
        <f>IF(B154="","",ROW()-1)</f>
        <v/>
      </c>
      <c r="B154" s="11" t="n"/>
      <c r="C154" s="8" t="n"/>
      <c r="D154" s="8" t="n"/>
      <c r="E154" s="8" t="n"/>
      <c r="F154" s="8" t="n"/>
      <c r="G154" s="8" t="n"/>
      <c r="H154" s="8" t="n"/>
      <c r="I154" s="8" t="n"/>
      <c r="J154" s="8">
        <f>IF(G154="","",IF(G154="SIM",1,0))</f>
        <v/>
      </c>
      <c r="K154" s="8">
        <f>IF(H154="","",IF(H154="Integral",1,IF(H154="Amostral",0.5,IF(H154="Não realizada",0,""))))</f>
        <v/>
      </c>
      <c r="L154" s="8">
        <f>IF(I154="","",IF(I154="Conformidade",1,IF(I154="Não Conformidade",0,IF(I154="Não Conformidade Grave",-1,""))))</f>
        <v/>
      </c>
      <c r="M154" s="8">
        <f>IF(COUNTA(G154:I154)=0,"",ROUND(AVERAGE(J154:L154)*100,0))</f>
        <v/>
      </c>
      <c r="N154" s="8">
        <f>IFERROR(AVERAGEIF(C$2:C$201,C154,M$2:M$201),"N/A")</f>
        <v/>
      </c>
      <c r="O154" s="8" t="n"/>
    </row>
    <row r="155" hidden="1" ht="15" customHeight="1" s="41">
      <c r="A155" s="8">
        <f>IF(B155="","",ROW()-1)</f>
        <v/>
      </c>
      <c r="B155" s="11" t="n"/>
      <c r="C155" s="8" t="n"/>
      <c r="D155" s="8" t="n"/>
      <c r="E155" s="8" t="n"/>
      <c r="F155" s="8" t="n"/>
      <c r="G155" s="8" t="n"/>
      <c r="H155" s="8" t="n"/>
      <c r="I155" s="8" t="n"/>
      <c r="J155" s="8">
        <f>IF(G155="","",IF(G155="SIM",1,0))</f>
        <v/>
      </c>
      <c r="K155" s="8">
        <f>IF(H155="","",IF(H155="Integral",1,IF(H155="Amostral",0.5,IF(H155="Não realizada",0,""))))</f>
        <v/>
      </c>
      <c r="L155" s="8">
        <f>IF(I155="","",IF(I155="Conformidade",1,IF(I155="Não Conformidade",0,IF(I155="Não Conformidade Grave",-1,""))))</f>
        <v/>
      </c>
      <c r="M155" s="8">
        <f>IF(COUNTA(G155:I155)=0,"",ROUND(AVERAGE(J155:L155)*100,0))</f>
        <v/>
      </c>
      <c r="N155" s="8">
        <f>IFERROR(AVERAGEIF(C$2:C$201,C155,M$2:M$201),"N/A")</f>
        <v/>
      </c>
      <c r="O155" s="8" t="n"/>
    </row>
    <row r="156" hidden="1" ht="15" customHeight="1" s="41">
      <c r="A156" s="8">
        <f>IF(B156="","",ROW()-1)</f>
        <v/>
      </c>
      <c r="B156" s="11" t="n"/>
      <c r="C156" s="8" t="n"/>
      <c r="D156" s="8" t="n"/>
      <c r="E156" s="8" t="n"/>
      <c r="F156" s="8" t="n"/>
      <c r="G156" s="8" t="n"/>
      <c r="H156" s="8" t="n"/>
      <c r="I156" s="8" t="n"/>
      <c r="J156" s="8">
        <f>IF(G156="","",IF(G156="SIM",1,0))</f>
        <v/>
      </c>
      <c r="K156" s="8">
        <f>IF(H156="","",IF(H156="Integral",1,IF(H156="Amostral",0.5,IF(H156="Não realizada",0,""))))</f>
        <v/>
      </c>
      <c r="L156" s="8">
        <f>IF(I156="","",IF(I156="Conformidade",1,IF(I156="Não Conformidade",0,IF(I156="Não Conformidade Grave",-1,""))))</f>
        <v/>
      </c>
      <c r="M156" s="8">
        <f>IF(COUNTA(G156:I156)=0,"",ROUND(AVERAGE(J156:L156)*100,0))</f>
        <v/>
      </c>
      <c r="N156" s="8">
        <f>IFERROR(AVERAGEIF(C$2:C$201,C156,M$2:M$201),"N/A")</f>
        <v/>
      </c>
      <c r="O156" s="8" t="n"/>
    </row>
    <row r="157" hidden="1" ht="15" customHeight="1" s="41">
      <c r="A157" s="8">
        <f>IF(B157="","",ROW()-1)</f>
        <v/>
      </c>
      <c r="B157" s="11" t="n"/>
      <c r="C157" s="8" t="n"/>
      <c r="D157" s="8" t="n"/>
      <c r="E157" s="8" t="n"/>
      <c r="F157" s="8" t="n"/>
      <c r="G157" s="8" t="n"/>
      <c r="H157" s="8" t="n"/>
      <c r="I157" s="8" t="n"/>
      <c r="J157" s="8">
        <f>IF(G157="","",IF(G157="SIM",1,0))</f>
        <v/>
      </c>
      <c r="K157" s="8">
        <f>IF(H157="","",IF(H157="Integral",1,IF(H157="Amostral",0.5,IF(H157="Não realizada",0,""))))</f>
        <v/>
      </c>
      <c r="L157" s="8">
        <f>IF(I157="","",IF(I157="Conformidade",1,IF(I157="Não Conformidade",0,IF(I157="Não Conformidade Grave",-1,""))))</f>
        <v/>
      </c>
      <c r="M157" s="8">
        <f>IF(COUNTA(G157:I157)=0,"",ROUND(AVERAGE(J157:L157)*100,0))</f>
        <v/>
      </c>
      <c r="N157" s="8">
        <f>IFERROR(AVERAGEIF(C$2:C$201,C157,M$2:M$201),"N/A")</f>
        <v/>
      </c>
      <c r="O157" s="8" t="n"/>
    </row>
    <row r="158" hidden="1" ht="15" customHeight="1" s="41">
      <c r="A158" s="8">
        <f>IF(B158="","",ROW()-1)</f>
        <v/>
      </c>
      <c r="B158" s="11" t="n"/>
      <c r="C158" s="8" t="n"/>
      <c r="D158" s="8" t="n"/>
      <c r="E158" s="8" t="n"/>
      <c r="F158" s="8" t="n"/>
      <c r="G158" s="8" t="n"/>
      <c r="H158" s="8" t="n"/>
      <c r="I158" s="8" t="n"/>
      <c r="J158" s="8">
        <f>IF(G158="","",IF(G158="SIM",1,0))</f>
        <v/>
      </c>
      <c r="K158" s="8">
        <f>IF(H158="","",IF(H158="Integral",1,IF(H158="Amostral",0.5,IF(H158="Não realizada",0,""))))</f>
        <v/>
      </c>
      <c r="L158" s="8">
        <f>IF(I158="","",IF(I158="Conformidade",1,IF(I158="Não Conformidade",0,IF(I158="Não Conformidade Grave",-1,""))))</f>
        <v/>
      </c>
      <c r="M158" s="8">
        <f>IF(COUNTA(G158:I158)=0,"",ROUND(AVERAGE(J158:L158)*100,0))</f>
        <v/>
      </c>
      <c r="N158" s="8">
        <f>IFERROR(AVERAGEIF(C$2:C$201,C158,M$2:M$201),"N/A")</f>
        <v/>
      </c>
      <c r="O158" s="8" t="n"/>
    </row>
    <row r="159" hidden="1" ht="15" customHeight="1" s="41">
      <c r="A159" s="8">
        <f>IF(B159="","",ROW()-1)</f>
        <v/>
      </c>
      <c r="B159" s="11" t="n"/>
      <c r="C159" s="8" t="n"/>
      <c r="D159" s="8" t="n"/>
      <c r="E159" s="8" t="n"/>
      <c r="F159" s="8" t="n"/>
      <c r="G159" s="8" t="n"/>
      <c r="H159" s="8" t="n"/>
      <c r="I159" s="8" t="n"/>
      <c r="J159" s="8">
        <f>IF(G159="","",IF(G159="SIM",1,0))</f>
        <v/>
      </c>
      <c r="K159" s="8">
        <f>IF(H159="","",IF(H159="Integral",1,IF(H159="Amostral",0.5,IF(H159="Não realizada",0,""))))</f>
        <v/>
      </c>
      <c r="L159" s="8">
        <f>IF(I159="","",IF(I159="Conformidade",1,IF(I159="Não Conformidade",0,IF(I159="Não Conformidade Grave",-1,""))))</f>
        <v/>
      </c>
      <c r="M159" s="8">
        <f>IF(COUNTA(G159:I159)=0,"",ROUND(AVERAGE(J159:L159)*100,0))</f>
        <v/>
      </c>
      <c r="N159" s="8">
        <f>IFERROR(AVERAGEIF(C$2:C$201,C159,M$2:M$201),"N/A")</f>
        <v/>
      </c>
      <c r="O159" s="8" t="n"/>
    </row>
    <row r="160" hidden="1" ht="15" customHeight="1" s="41">
      <c r="A160" s="8">
        <f>IF(B160="","",ROW()-1)</f>
        <v/>
      </c>
      <c r="B160" s="11" t="n"/>
      <c r="C160" s="8" t="n"/>
      <c r="D160" s="8" t="n"/>
      <c r="E160" s="8" t="n"/>
      <c r="F160" s="8" t="n"/>
      <c r="G160" s="8" t="n"/>
      <c r="H160" s="8" t="n"/>
      <c r="I160" s="8" t="n"/>
      <c r="J160" s="8">
        <f>IF(G160="","",IF(G160="SIM",1,0))</f>
        <v/>
      </c>
      <c r="K160" s="8">
        <f>IF(H160="","",IF(H160="Integral",1,IF(H160="Amostral",0.5,IF(H160="Não realizada",0,""))))</f>
        <v/>
      </c>
      <c r="L160" s="8">
        <f>IF(I160="","",IF(I160="Conformidade",1,IF(I160="Não Conformidade",0,IF(I160="Não Conformidade Grave",-1,""))))</f>
        <v/>
      </c>
      <c r="M160" s="8">
        <f>IF(COUNTA(G160:I160)=0,"",ROUND(AVERAGE(J160:L160)*100,0))</f>
        <v/>
      </c>
      <c r="N160" s="8">
        <f>IFERROR(AVERAGEIF(C$2:C$201,C160,M$2:M$201),"N/A")</f>
        <v/>
      </c>
      <c r="O160" s="8" t="n"/>
    </row>
    <row r="161" hidden="1" ht="15" customHeight="1" s="41">
      <c r="A161" s="8">
        <f>IF(B161="","",ROW()-1)</f>
        <v/>
      </c>
      <c r="B161" s="11" t="n"/>
      <c r="C161" s="8" t="n"/>
      <c r="D161" s="8" t="n"/>
      <c r="E161" s="8" t="n"/>
      <c r="F161" s="8" t="n"/>
      <c r="G161" s="8" t="n"/>
      <c r="H161" s="8" t="n"/>
      <c r="I161" s="8" t="n"/>
      <c r="J161" s="8">
        <f>IF(G161="","",IF(G161="SIM",1,0))</f>
        <v/>
      </c>
      <c r="K161" s="8">
        <f>IF(H161="","",IF(H161="Integral",1,IF(H161="Amostral",0.5,IF(H161="Não realizada",0,""))))</f>
        <v/>
      </c>
      <c r="L161" s="8">
        <f>IF(I161="","",IF(I161="Conformidade",1,IF(I161="Não Conformidade",0,IF(I161="Não Conformidade Grave",-1,""))))</f>
        <v/>
      </c>
      <c r="M161" s="8">
        <f>IF(COUNTA(G161:I161)=0,"",ROUND(AVERAGE(J161:L161)*100,0))</f>
        <v/>
      </c>
      <c r="N161" s="8">
        <f>IFERROR(AVERAGEIF(C$2:C$201,C161,M$2:M$201),"N/A")</f>
        <v/>
      </c>
      <c r="O161" s="8" t="n"/>
    </row>
    <row r="162" hidden="1" ht="15" customHeight="1" s="41">
      <c r="A162" s="8">
        <f>IF(B162="","",ROW()-1)</f>
        <v/>
      </c>
      <c r="B162" s="11" t="n"/>
      <c r="C162" s="8" t="n"/>
      <c r="D162" s="8" t="n"/>
      <c r="E162" s="8" t="n"/>
      <c r="F162" s="8" t="n"/>
      <c r="G162" s="8" t="n"/>
      <c r="H162" s="8" t="n"/>
      <c r="I162" s="8" t="n"/>
      <c r="J162" s="8">
        <f>IF(G162="","",IF(G162="SIM",1,0))</f>
        <v/>
      </c>
      <c r="K162" s="8">
        <f>IF(H162="","",IF(H162="Integral",1,IF(H162="Amostral",0.5,IF(H162="Não realizada",0,""))))</f>
        <v/>
      </c>
      <c r="L162" s="8">
        <f>IF(I162="","",IF(I162="Conformidade",1,IF(I162="Não Conformidade",0,IF(I162="Não Conformidade Grave",-1,""))))</f>
        <v/>
      </c>
      <c r="M162" s="8">
        <f>IF(COUNTA(G162:I162)=0,"",ROUND(AVERAGE(J162:L162)*100,0))</f>
        <v/>
      </c>
      <c r="N162" s="8">
        <f>IFERROR(AVERAGEIF(C$2:C$201,C162,M$2:M$201),"N/A")</f>
        <v/>
      </c>
      <c r="O162" s="8" t="n"/>
    </row>
    <row r="163" hidden="1" ht="15" customHeight="1" s="41">
      <c r="A163" s="8">
        <f>IF(B163="","",ROW()-1)</f>
        <v/>
      </c>
      <c r="B163" s="11" t="n"/>
      <c r="C163" s="8" t="n"/>
      <c r="D163" s="8" t="n"/>
      <c r="E163" s="8" t="n"/>
      <c r="F163" s="8" t="n"/>
      <c r="G163" s="8" t="n"/>
      <c r="H163" s="8" t="n"/>
      <c r="I163" s="8" t="n"/>
      <c r="J163" s="8">
        <f>IF(G163="","",IF(G163="SIM",1,0))</f>
        <v/>
      </c>
      <c r="K163" s="8">
        <f>IF(H163="","",IF(H163="Integral",1,IF(H163="Amostral",0.5,IF(H163="Não realizada",0,""))))</f>
        <v/>
      </c>
      <c r="L163" s="8">
        <f>IF(I163="","",IF(I163="Conformidade",1,IF(I163="Não Conformidade",0,IF(I163="Não Conformidade Grave",-1,""))))</f>
        <v/>
      </c>
      <c r="M163" s="8">
        <f>IF(COUNTA(G163:I163)=0,"",ROUND(AVERAGE(J163:L163)*100,0))</f>
        <v/>
      </c>
      <c r="N163" s="8">
        <f>IFERROR(AVERAGEIF(C$2:C$201,C163,M$2:M$201),"N/A")</f>
        <v/>
      </c>
      <c r="O163" s="8" t="n"/>
    </row>
    <row r="164" hidden="1" ht="15" customHeight="1" s="41">
      <c r="A164" s="8">
        <f>IF(B164="","",ROW()-1)</f>
        <v/>
      </c>
      <c r="B164" s="11" t="n"/>
      <c r="C164" s="8" t="n"/>
      <c r="D164" s="8" t="n"/>
      <c r="E164" s="8" t="n"/>
      <c r="F164" s="8" t="n"/>
      <c r="G164" s="8" t="n"/>
      <c r="H164" s="8" t="n"/>
      <c r="I164" s="8" t="n"/>
      <c r="J164" s="8">
        <f>IF(G164="","",IF(G164="SIM",1,0))</f>
        <v/>
      </c>
      <c r="K164" s="8">
        <f>IF(H164="","",IF(H164="Integral",1,IF(H164="Amostral",0.5,IF(H164="Não realizada",0,""))))</f>
        <v/>
      </c>
      <c r="L164" s="8">
        <f>IF(I164="","",IF(I164="Conformidade",1,IF(I164="Não Conformidade",0,IF(I164="Não Conformidade Grave",-1,""))))</f>
        <v/>
      </c>
      <c r="M164" s="8">
        <f>IF(COUNTA(G164:I164)=0,"",ROUND(AVERAGE(J164:L164)*100,0))</f>
        <v/>
      </c>
      <c r="N164" s="8">
        <f>IFERROR(AVERAGEIF(C$2:C$201,C164,M$2:M$201),"N/A")</f>
        <v/>
      </c>
      <c r="O164" s="8" t="n"/>
    </row>
    <row r="165" hidden="1" ht="15" customHeight="1" s="41">
      <c r="A165" s="8">
        <f>IF(B165="","",ROW()-1)</f>
        <v/>
      </c>
      <c r="B165" s="11" t="n"/>
      <c r="C165" s="8" t="n"/>
      <c r="D165" s="8" t="n"/>
      <c r="E165" s="8" t="n"/>
      <c r="F165" s="8" t="n"/>
      <c r="G165" s="8" t="n"/>
      <c r="H165" s="8" t="n"/>
      <c r="I165" s="8" t="n"/>
      <c r="J165" s="8">
        <f>IF(G165="","",IF(G165="SIM",1,0))</f>
        <v/>
      </c>
      <c r="K165" s="8">
        <f>IF(H165="","",IF(H165="Integral",1,IF(H165="Amostral",0.5,IF(H165="Não realizada",0,""))))</f>
        <v/>
      </c>
      <c r="L165" s="8">
        <f>IF(I165="","",IF(I165="Conformidade",1,IF(I165="Não Conformidade",0,IF(I165="Não Conformidade Grave",-1,""))))</f>
        <v/>
      </c>
      <c r="M165" s="8">
        <f>IF(COUNTA(G165:I165)=0,"",ROUND(AVERAGE(J165:L165)*100,0))</f>
        <v/>
      </c>
      <c r="N165" s="8">
        <f>IFERROR(AVERAGEIF(C$2:C$201,C165,M$2:M$201),"N/A")</f>
        <v/>
      </c>
      <c r="O165" s="8" t="n"/>
    </row>
    <row r="166" hidden="1" ht="15" customHeight="1" s="41">
      <c r="A166" s="8">
        <f>IF(B166="","",ROW()-1)</f>
        <v/>
      </c>
      <c r="B166" s="11" t="n"/>
      <c r="C166" s="8" t="n"/>
      <c r="D166" s="8" t="n"/>
      <c r="E166" s="8" t="n"/>
      <c r="F166" s="8" t="n"/>
      <c r="G166" s="8" t="n"/>
      <c r="H166" s="8" t="n"/>
      <c r="I166" s="8" t="n"/>
      <c r="J166" s="8">
        <f>IF(G166="","",IF(G166="SIM",1,0))</f>
        <v/>
      </c>
      <c r="K166" s="8">
        <f>IF(H166="","",IF(H166="Integral",1,IF(H166="Amostral",0.5,IF(H166="Não realizada",0,""))))</f>
        <v/>
      </c>
      <c r="L166" s="8">
        <f>IF(I166="","",IF(I166="Conformidade",1,IF(I166="Não Conformidade",0,IF(I166="Não Conformidade Grave",-1,""))))</f>
        <v/>
      </c>
      <c r="M166" s="8">
        <f>IF(COUNTA(G166:I166)=0,"",ROUND(AVERAGE(J166:L166)*100,0))</f>
        <v/>
      </c>
      <c r="N166" s="8">
        <f>IFERROR(AVERAGEIF(C$2:C$201,C166,M$2:M$201),"N/A")</f>
        <v/>
      </c>
      <c r="O166" s="8" t="n"/>
    </row>
    <row r="167" hidden="1" ht="15" customHeight="1" s="41">
      <c r="A167" s="8">
        <f>IF(B167="","",ROW()-1)</f>
        <v/>
      </c>
      <c r="B167" s="11" t="n"/>
      <c r="C167" s="8" t="n"/>
      <c r="D167" s="8" t="n"/>
      <c r="E167" s="8" t="n"/>
      <c r="F167" s="8" t="n"/>
      <c r="G167" s="8" t="n"/>
      <c r="H167" s="8" t="n"/>
      <c r="I167" s="8" t="n"/>
      <c r="J167" s="8">
        <f>IF(G167="","",IF(G167="SIM",1,0))</f>
        <v/>
      </c>
      <c r="K167" s="8">
        <f>IF(H167="","",IF(H167="Integral",1,IF(H167="Amostral",0.5,IF(H167="Não realizada",0,""))))</f>
        <v/>
      </c>
      <c r="L167" s="8">
        <f>IF(I167="","",IF(I167="Conformidade",1,IF(I167="Não Conformidade",0,IF(I167="Não Conformidade Grave",-1,""))))</f>
        <v/>
      </c>
      <c r="M167" s="8">
        <f>IF(COUNTA(G167:I167)=0,"",ROUND(AVERAGE(J167:L167)*100,0))</f>
        <v/>
      </c>
      <c r="N167" s="8">
        <f>IFERROR(AVERAGEIF(C$2:C$201,C167,M$2:M$201),"N/A")</f>
        <v/>
      </c>
      <c r="O167" s="8" t="n"/>
    </row>
    <row r="168" hidden="1" ht="15" customHeight="1" s="41">
      <c r="A168" s="8">
        <f>IF(B168="","",ROW()-1)</f>
        <v/>
      </c>
      <c r="B168" s="11" t="n"/>
      <c r="C168" s="8" t="n"/>
      <c r="D168" s="8" t="n"/>
      <c r="E168" s="8" t="n"/>
      <c r="F168" s="8" t="n"/>
      <c r="G168" s="8" t="n"/>
      <c r="H168" s="8" t="n"/>
      <c r="I168" s="8" t="n"/>
      <c r="J168" s="8">
        <f>IF(G168="","",IF(G168="SIM",1,0))</f>
        <v/>
      </c>
      <c r="K168" s="8">
        <f>IF(H168="","",IF(H168="Integral",1,IF(H168="Amostral",0.5,IF(H168="Não realizada",0,""))))</f>
        <v/>
      </c>
      <c r="L168" s="8">
        <f>IF(I168="","",IF(I168="Conformidade",1,IF(I168="Não Conformidade",0,IF(I168="Não Conformidade Grave",-1,""))))</f>
        <v/>
      </c>
      <c r="M168" s="8">
        <f>IF(COUNTA(G168:I168)=0,"",ROUND(AVERAGE(J168:L168)*100,0))</f>
        <v/>
      </c>
      <c r="N168" s="8">
        <f>IFERROR(AVERAGEIF(C$2:C$201,C168,M$2:M$201),"N/A")</f>
        <v/>
      </c>
      <c r="O168" s="8" t="n"/>
    </row>
    <row r="169" hidden="1" ht="15" customHeight="1" s="41">
      <c r="A169" s="8">
        <f>IF(B169="","",ROW()-1)</f>
        <v/>
      </c>
      <c r="B169" s="11" t="n"/>
      <c r="C169" s="8" t="n"/>
      <c r="D169" s="8" t="n"/>
      <c r="E169" s="8" t="n"/>
      <c r="F169" s="8" t="n"/>
      <c r="G169" s="8" t="n"/>
      <c r="H169" s="8" t="n"/>
      <c r="I169" s="8" t="n"/>
      <c r="J169" s="8">
        <f>IF(G169="","",IF(G169="SIM",1,0))</f>
        <v/>
      </c>
      <c r="K169" s="8">
        <f>IF(H169="","",IF(H169="Integral",1,IF(H169="Amostral",0.5,IF(H169="Não realizada",0,""))))</f>
        <v/>
      </c>
      <c r="L169" s="8">
        <f>IF(I169="","",IF(I169="Conformidade",1,IF(I169="Não Conformidade",0,IF(I169="Não Conformidade Grave",-1,""))))</f>
        <v/>
      </c>
      <c r="M169" s="8">
        <f>IF(COUNTA(G169:I169)=0,"",ROUND(AVERAGE(J169:L169)*100,0))</f>
        <v/>
      </c>
      <c r="N169" s="8">
        <f>IFERROR(AVERAGEIF(C$2:C$201,C169,M$2:M$201),"N/A")</f>
        <v/>
      </c>
      <c r="O169" s="8" t="n"/>
    </row>
    <row r="170" hidden="1" ht="15" customHeight="1" s="41">
      <c r="A170" s="8">
        <f>IF(B170="","",ROW()-1)</f>
        <v/>
      </c>
      <c r="B170" s="11" t="n"/>
      <c r="C170" s="8" t="n"/>
      <c r="D170" s="8" t="n"/>
      <c r="E170" s="8" t="n"/>
      <c r="F170" s="8" t="n"/>
      <c r="G170" s="8" t="n"/>
      <c r="H170" s="8" t="n"/>
      <c r="I170" s="8" t="n"/>
      <c r="J170" s="8">
        <f>IF(G170="","",IF(G170="SIM",1,0))</f>
        <v/>
      </c>
      <c r="K170" s="8">
        <f>IF(H170="","",IF(H170="Integral",1,IF(H170="Amostral",0.5,IF(H170="Não realizada",0,""))))</f>
        <v/>
      </c>
      <c r="L170" s="8">
        <f>IF(I170="","",IF(I170="Conformidade",1,IF(I170="Não Conformidade",0,IF(I170="Não Conformidade Grave",-1,""))))</f>
        <v/>
      </c>
      <c r="M170" s="8">
        <f>IF(COUNTA(G170:I170)=0,"",ROUND(AVERAGE(J170:L170)*100,0))</f>
        <v/>
      </c>
      <c r="N170" s="8">
        <f>IFERROR(AVERAGEIF(C$2:C$201,C170,M$2:M$201),"N/A")</f>
        <v/>
      </c>
      <c r="O170" s="8" t="n"/>
    </row>
    <row r="171" hidden="1" ht="15" customHeight="1" s="41">
      <c r="A171" s="8">
        <f>IF(B171="","",ROW()-1)</f>
        <v/>
      </c>
      <c r="B171" s="11" t="n"/>
      <c r="C171" s="8" t="n"/>
      <c r="D171" s="8" t="n"/>
      <c r="E171" s="8" t="n"/>
      <c r="F171" s="8" t="n"/>
      <c r="G171" s="8" t="n"/>
      <c r="H171" s="8" t="n"/>
      <c r="I171" s="8" t="n"/>
      <c r="J171" s="8">
        <f>IF(G171="","",IF(G171="SIM",1,0))</f>
        <v/>
      </c>
      <c r="K171" s="8">
        <f>IF(H171="","",IF(H171="Integral",1,IF(H171="Amostral",0.5,IF(H171="Não realizada",0,""))))</f>
        <v/>
      </c>
      <c r="L171" s="8">
        <f>IF(I171="","",IF(I171="Conformidade",1,IF(I171="Não Conformidade",0,IF(I171="Não Conformidade Grave",-1,""))))</f>
        <v/>
      </c>
      <c r="M171" s="8">
        <f>IF(COUNTA(G171:I171)=0,"",ROUND(AVERAGE(J171:L171)*100,0))</f>
        <v/>
      </c>
      <c r="N171" s="8">
        <f>IFERROR(AVERAGEIF(C$2:C$201,C171,M$2:M$201),"N/A")</f>
        <v/>
      </c>
      <c r="O171" s="8" t="n"/>
    </row>
    <row r="172" hidden="1" ht="15" customHeight="1" s="41">
      <c r="A172" s="8">
        <f>IF(B172="","",ROW()-1)</f>
        <v/>
      </c>
      <c r="B172" s="11" t="n"/>
      <c r="C172" s="8" t="n"/>
      <c r="D172" s="8" t="n"/>
      <c r="E172" s="8" t="n"/>
      <c r="F172" s="8" t="n"/>
      <c r="G172" s="8" t="n"/>
      <c r="H172" s="8" t="n"/>
      <c r="I172" s="8" t="n"/>
      <c r="J172" s="8">
        <f>IF(G172="","",IF(G172="SIM",1,0))</f>
        <v/>
      </c>
      <c r="K172" s="8">
        <f>IF(H172="","",IF(H172="Integral",1,IF(H172="Amostral",0.5,IF(H172="Não realizada",0,""))))</f>
        <v/>
      </c>
      <c r="L172" s="8">
        <f>IF(I172="","",IF(I172="Conformidade",1,IF(I172="Não Conformidade",0,IF(I172="Não Conformidade Grave",-1,""))))</f>
        <v/>
      </c>
      <c r="M172" s="8">
        <f>IF(COUNTA(G172:I172)=0,"",ROUND(AVERAGE(J172:L172)*100,0))</f>
        <v/>
      </c>
      <c r="N172" s="8">
        <f>IFERROR(AVERAGEIF(C$2:C$201,C172,M$2:M$201),"N/A")</f>
        <v/>
      </c>
      <c r="O172" s="8" t="n"/>
    </row>
    <row r="173" hidden="1" ht="15" customHeight="1" s="41">
      <c r="A173" s="8">
        <f>IF(B173="","",ROW()-1)</f>
        <v/>
      </c>
      <c r="B173" s="11" t="n"/>
      <c r="C173" s="8" t="n"/>
      <c r="D173" s="8" t="n"/>
      <c r="E173" s="8" t="n"/>
      <c r="F173" s="8" t="n"/>
      <c r="G173" s="8" t="n"/>
      <c r="H173" s="8" t="n"/>
      <c r="I173" s="8" t="n"/>
      <c r="J173" s="8">
        <f>IF(G173="","",IF(G173="SIM",1,0))</f>
        <v/>
      </c>
      <c r="K173" s="8">
        <f>IF(H173="","",IF(H173="Integral",1,IF(H173="Amostral",0.5,IF(H173="Não realizada",0,""))))</f>
        <v/>
      </c>
      <c r="L173" s="8">
        <f>IF(I173="","",IF(I173="Conformidade",1,IF(I173="Não Conformidade",0,IF(I173="Não Conformidade Grave",-1,""))))</f>
        <v/>
      </c>
      <c r="M173" s="8">
        <f>IF(COUNTA(G173:I173)=0,"",ROUND(AVERAGE(J173:L173)*100,0))</f>
        <v/>
      </c>
      <c r="N173" s="8">
        <f>IFERROR(AVERAGEIF(C$2:C$201,C173,M$2:M$201),"N/A")</f>
        <v/>
      </c>
      <c r="O173" s="8" t="n"/>
    </row>
    <row r="174" hidden="1" ht="15" customHeight="1" s="41">
      <c r="A174" s="8">
        <f>IF(B174="","",ROW()-1)</f>
        <v/>
      </c>
      <c r="B174" s="11" t="n"/>
      <c r="C174" s="8" t="n"/>
      <c r="D174" s="8" t="n"/>
      <c r="E174" s="8" t="n"/>
      <c r="F174" s="8" t="n"/>
      <c r="G174" s="8" t="n"/>
      <c r="H174" s="8" t="n"/>
      <c r="I174" s="8" t="n"/>
      <c r="J174" s="8">
        <f>IF(G174="","",IF(G174="SIM",1,0))</f>
        <v/>
      </c>
      <c r="K174" s="8">
        <f>IF(H174="","",IF(H174="Integral",1,IF(H174="Amostral",0.5,IF(H174="Não realizada",0,""))))</f>
        <v/>
      </c>
      <c r="L174" s="8">
        <f>IF(I174="","",IF(I174="Conformidade",1,IF(I174="Não Conformidade",0,IF(I174="Não Conformidade Grave",-1,""))))</f>
        <v/>
      </c>
      <c r="M174" s="8">
        <f>IF(COUNTA(G174:I174)=0,"",ROUND(AVERAGE(J174:L174)*100,0))</f>
        <v/>
      </c>
      <c r="N174" s="8">
        <f>IFERROR(AVERAGEIF(C$2:C$201,C174,M$2:M$201),"N/A")</f>
        <v/>
      </c>
      <c r="O174" s="8" t="n"/>
    </row>
    <row r="175" hidden="1" ht="15" customHeight="1" s="41">
      <c r="A175" s="8">
        <f>IF(B175="","",ROW()-1)</f>
        <v/>
      </c>
      <c r="B175" s="11" t="n"/>
      <c r="C175" s="8" t="n"/>
      <c r="D175" s="8" t="n"/>
      <c r="E175" s="8" t="n"/>
      <c r="F175" s="8" t="n"/>
      <c r="G175" s="8" t="n"/>
      <c r="H175" s="8" t="n"/>
      <c r="I175" s="8" t="n"/>
      <c r="J175" s="8">
        <f>IF(G175="","",IF(G175="SIM",1,0))</f>
        <v/>
      </c>
      <c r="K175" s="8">
        <f>IF(H175="","",IF(H175="Integral",1,IF(H175="Amostral",0.5,IF(H175="Não realizada",0,""))))</f>
        <v/>
      </c>
      <c r="L175" s="8">
        <f>IF(I175="","",IF(I175="Conformidade",1,IF(I175="Não Conformidade",0,IF(I175="Não Conformidade Grave",-1,""))))</f>
        <v/>
      </c>
      <c r="M175" s="8">
        <f>IF(COUNTA(G175:I175)=0,"",ROUND(AVERAGE(J175:L175)*100,0))</f>
        <v/>
      </c>
      <c r="N175" s="8">
        <f>IFERROR(AVERAGEIF(C$2:C$201,C175,M$2:M$201),"N/A")</f>
        <v/>
      </c>
      <c r="O175" s="8" t="n"/>
    </row>
    <row r="176" hidden="1" ht="15" customHeight="1" s="41">
      <c r="A176" s="8">
        <f>IF(B176="","",ROW()-1)</f>
        <v/>
      </c>
      <c r="B176" s="11" t="n"/>
      <c r="C176" s="8" t="n"/>
      <c r="D176" s="8" t="n"/>
      <c r="E176" s="8" t="n"/>
      <c r="F176" s="8" t="n"/>
      <c r="G176" s="8" t="n"/>
      <c r="H176" s="8" t="n"/>
      <c r="I176" s="8" t="n"/>
      <c r="J176" s="8">
        <f>IF(G176="","",IF(G176="SIM",1,0))</f>
        <v/>
      </c>
      <c r="K176" s="8">
        <f>IF(H176="","",IF(H176="Integral",1,IF(H176="Amostral",0.5,IF(H176="Não realizada",0,""))))</f>
        <v/>
      </c>
      <c r="L176" s="8">
        <f>IF(I176="","",IF(I176="Conformidade",1,IF(I176="Não Conformidade",0,IF(I176="Não Conformidade Grave",-1,""))))</f>
        <v/>
      </c>
      <c r="M176" s="8">
        <f>IF(COUNTA(G176:I176)=0,"",ROUND(AVERAGE(J176:L176)*100,0))</f>
        <v/>
      </c>
      <c r="N176" s="8">
        <f>IFERROR(AVERAGEIF(C$2:C$201,C176,M$2:M$201),"N/A")</f>
        <v/>
      </c>
      <c r="O176" s="8" t="n"/>
    </row>
    <row r="177" hidden="1" ht="15" customHeight="1" s="41">
      <c r="A177" s="8">
        <f>IF(B177="","",ROW()-1)</f>
        <v/>
      </c>
      <c r="B177" s="11" t="n"/>
      <c r="C177" s="8" t="n"/>
      <c r="D177" s="8" t="n"/>
      <c r="E177" s="8" t="n"/>
      <c r="F177" s="8" t="n"/>
      <c r="G177" s="8" t="n"/>
      <c r="H177" s="8" t="n"/>
      <c r="I177" s="8" t="n"/>
      <c r="J177" s="8">
        <f>IF(G177="","",IF(G177="SIM",1,0))</f>
        <v/>
      </c>
      <c r="K177" s="8">
        <f>IF(H177="","",IF(H177="Integral",1,IF(H177="Amostral",0.5,IF(H177="Não realizada",0,""))))</f>
        <v/>
      </c>
      <c r="L177" s="8">
        <f>IF(I177="","",IF(I177="Conformidade",1,IF(I177="Não Conformidade",0,IF(I177="Não Conformidade Grave",-1,""))))</f>
        <v/>
      </c>
      <c r="M177" s="8">
        <f>IF(COUNTA(G177:I177)=0,"",ROUND(AVERAGE(J177:L177)*100,0))</f>
        <v/>
      </c>
      <c r="N177" s="8">
        <f>IFERROR(AVERAGEIF(C$2:C$201,C177,M$2:M$201),"N/A")</f>
        <v/>
      </c>
      <c r="O177" s="8" t="n"/>
    </row>
    <row r="178" hidden="1" ht="15" customHeight="1" s="41">
      <c r="A178" s="8">
        <f>IF(B178="","",ROW()-1)</f>
        <v/>
      </c>
      <c r="B178" s="11" t="n"/>
      <c r="C178" s="8" t="n"/>
      <c r="D178" s="8" t="n"/>
      <c r="E178" s="8" t="n"/>
      <c r="F178" s="8" t="n"/>
      <c r="G178" s="8" t="n"/>
      <c r="H178" s="8" t="n"/>
      <c r="I178" s="8" t="n"/>
      <c r="J178" s="8">
        <f>IF(G178="","",IF(G178="SIM",1,0))</f>
        <v/>
      </c>
      <c r="K178" s="8">
        <f>IF(H178="","",IF(H178="Integral",1,IF(H178="Amostral",0.5,IF(H178="Não realizada",0,""))))</f>
        <v/>
      </c>
      <c r="L178" s="8">
        <f>IF(I178="","",IF(I178="Conformidade",1,IF(I178="Não Conformidade",0,IF(I178="Não Conformidade Grave",-1,""))))</f>
        <v/>
      </c>
      <c r="M178" s="8">
        <f>IF(COUNTA(G178:I178)=0,"",ROUND(AVERAGE(J178:L178)*100,0))</f>
        <v/>
      </c>
      <c r="N178" s="8">
        <f>IFERROR(AVERAGEIF(C$2:C$201,C178,M$2:M$201),"N/A")</f>
        <v/>
      </c>
      <c r="O178" s="8" t="n"/>
    </row>
    <row r="179" hidden="1" ht="15" customHeight="1" s="41">
      <c r="A179" s="8">
        <f>IF(B179="","",ROW()-1)</f>
        <v/>
      </c>
      <c r="B179" s="11" t="n"/>
      <c r="C179" s="8" t="n"/>
      <c r="D179" s="8" t="n"/>
      <c r="E179" s="8" t="n"/>
      <c r="F179" s="8" t="n"/>
      <c r="G179" s="8" t="n"/>
      <c r="H179" s="8" t="n"/>
      <c r="I179" s="8" t="n"/>
      <c r="J179" s="8">
        <f>IF(G179="","",IF(G179="SIM",1,0))</f>
        <v/>
      </c>
      <c r="K179" s="8">
        <f>IF(H179="","",IF(H179="Integral",1,IF(H179="Amostral",0.5,IF(H179="Não realizada",0,""))))</f>
        <v/>
      </c>
      <c r="L179" s="8">
        <f>IF(I179="","",IF(I179="Conformidade",1,IF(I179="Não Conformidade",0,IF(I179="Não Conformidade Grave",-1,""))))</f>
        <v/>
      </c>
      <c r="M179" s="8">
        <f>IF(COUNTA(G179:I179)=0,"",ROUND(AVERAGE(J179:L179)*100,0))</f>
        <v/>
      </c>
      <c r="N179" s="8">
        <f>IFERROR(AVERAGEIF(C$2:C$201,C179,M$2:M$201),"N/A")</f>
        <v/>
      </c>
      <c r="O179" s="8" t="n"/>
    </row>
    <row r="180" hidden="1" ht="15" customHeight="1" s="41">
      <c r="A180" s="8">
        <f>IF(B180="","",ROW()-1)</f>
        <v/>
      </c>
      <c r="B180" s="11" t="n"/>
      <c r="C180" s="8" t="n"/>
      <c r="D180" s="8" t="n"/>
      <c r="E180" s="8" t="n"/>
      <c r="F180" s="8" t="n"/>
      <c r="G180" s="8" t="n"/>
      <c r="H180" s="8" t="n"/>
      <c r="I180" s="8" t="n"/>
      <c r="J180" s="8">
        <f>IF(G180="","",IF(G180="SIM",1,0))</f>
        <v/>
      </c>
      <c r="K180" s="8">
        <f>IF(H180="","",IF(H180="Integral",1,IF(H180="Amostral",0.5,IF(H180="Não realizada",0,""))))</f>
        <v/>
      </c>
      <c r="L180" s="8">
        <f>IF(I180="","",IF(I180="Conformidade",1,IF(I180="Não Conformidade",0,IF(I180="Não Conformidade Grave",-1,""))))</f>
        <v/>
      </c>
      <c r="M180" s="8">
        <f>IF(COUNTA(G180:I180)=0,"",ROUND(AVERAGE(J180:L180)*100,0))</f>
        <v/>
      </c>
      <c r="N180" s="8">
        <f>IFERROR(AVERAGEIF(C$2:C$201,C180,M$2:M$201),"N/A")</f>
        <v/>
      </c>
      <c r="O180" s="8" t="n"/>
    </row>
    <row r="181" hidden="1" ht="15" customHeight="1" s="41">
      <c r="A181" s="8">
        <f>IF(B181="","",ROW()-1)</f>
        <v/>
      </c>
      <c r="B181" s="11" t="n"/>
      <c r="C181" s="8" t="n"/>
      <c r="D181" s="8" t="n"/>
      <c r="E181" s="8" t="n"/>
      <c r="F181" s="8" t="n"/>
      <c r="G181" s="8" t="n"/>
      <c r="H181" s="8" t="n"/>
      <c r="I181" s="8" t="n"/>
      <c r="J181" s="8">
        <f>IF(G181="","",IF(G181="SIM",1,0))</f>
        <v/>
      </c>
      <c r="K181" s="8">
        <f>IF(H181="","",IF(H181="Integral",1,IF(H181="Amostral",0.5,IF(H181="Não realizada",0,""))))</f>
        <v/>
      </c>
      <c r="L181" s="8">
        <f>IF(I181="","",IF(I181="Conformidade",1,IF(I181="Não Conformidade",0,IF(I181="Não Conformidade Grave",-1,""))))</f>
        <v/>
      </c>
      <c r="M181" s="8">
        <f>IF(COUNTA(G181:I181)=0,"",ROUND(AVERAGE(J181:L181)*100,0))</f>
        <v/>
      </c>
      <c r="N181" s="8">
        <f>IFERROR(AVERAGEIF(C$2:C$201,C181,M$2:M$201),"N/A")</f>
        <v/>
      </c>
      <c r="O181" s="8" t="n"/>
    </row>
    <row r="182" hidden="1" ht="15" customHeight="1" s="41">
      <c r="A182" s="8">
        <f>IF(B182="","",ROW()-1)</f>
        <v/>
      </c>
      <c r="B182" s="11" t="n"/>
      <c r="C182" s="8" t="n"/>
      <c r="D182" s="8" t="n"/>
      <c r="E182" s="8" t="n"/>
      <c r="F182" s="8" t="n"/>
      <c r="G182" s="8" t="n"/>
      <c r="H182" s="8" t="n"/>
      <c r="I182" s="8" t="n"/>
      <c r="J182" s="8">
        <f>IF(G182="","",IF(G182="SIM",1,0))</f>
        <v/>
      </c>
      <c r="K182" s="8">
        <f>IF(H182="","",IF(H182="Integral",1,IF(H182="Amostral",0.5,IF(H182="Não realizada",0,""))))</f>
        <v/>
      </c>
      <c r="L182" s="8">
        <f>IF(I182="","",IF(I182="Conformidade",1,IF(I182="Não Conformidade",0,IF(I182="Não Conformidade Grave",-1,""))))</f>
        <v/>
      </c>
      <c r="M182" s="8">
        <f>IF(COUNTA(G182:I182)=0,"",ROUND(AVERAGE(J182:L182)*100,0))</f>
        <v/>
      </c>
      <c r="N182" s="8">
        <f>IFERROR(AVERAGEIF(C$2:C$201,C182,M$2:M$201),"N/A")</f>
        <v/>
      </c>
      <c r="O182" s="8" t="n"/>
    </row>
    <row r="183" hidden="1" ht="15" customHeight="1" s="41">
      <c r="A183" s="8">
        <f>IF(B183="","",ROW()-1)</f>
        <v/>
      </c>
      <c r="B183" s="11" t="n"/>
      <c r="C183" s="8" t="n"/>
      <c r="D183" s="8" t="n"/>
      <c r="E183" s="8" t="n"/>
      <c r="F183" s="8" t="n"/>
      <c r="G183" s="8" t="n"/>
      <c r="H183" s="8" t="n"/>
      <c r="I183" s="8" t="n"/>
      <c r="J183" s="8">
        <f>IF(G183="","",IF(G183="SIM",1,0))</f>
        <v/>
      </c>
      <c r="K183" s="8">
        <f>IF(H183="","",IF(H183="Integral",1,IF(H183="Amostral",0.5,IF(H183="Não realizada",0,""))))</f>
        <v/>
      </c>
      <c r="L183" s="8">
        <f>IF(I183="","",IF(I183="Conformidade",1,IF(I183="Não Conformidade",0,IF(I183="Não Conformidade Grave",-1,""))))</f>
        <v/>
      </c>
      <c r="M183" s="8">
        <f>IF(COUNTA(G183:I183)=0,"",ROUND(AVERAGE(J183:L183)*100,0))</f>
        <v/>
      </c>
      <c r="N183" s="8">
        <f>IFERROR(AVERAGEIF(C$2:C$201,C183,M$2:M$201),"N/A")</f>
        <v/>
      </c>
      <c r="O183" s="8" t="n"/>
    </row>
    <row r="184" hidden="1" ht="15" customHeight="1" s="41">
      <c r="A184" s="8">
        <f>IF(B184="","",ROW()-1)</f>
        <v/>
      </c>
      <c r="B184" s="11" t="n"/>
      <c r="C184" s="8" t="n"/>
      <c r="D184" s="8" t="n"/>
      <c r="E184" s="8" t="n"/>
      <c r="F184" s="8" t="n"/>
      <c r="G184" s="8" t="n"/>
      <c r="H184" s="8" t="n"/>
      <c r="I184" s="8" t="n"/>
      <c r="J184" s="8">
        <f>IF(G184="","",IF(G184="SIM",1,0))</f>
        <v/>
      </c>
      <c r="K184" s="8">
        <f>IF(H184="","",IF(H184="Integral",1,IF(H184="Amostral",0.5,IF(H184="Não realizada",0,""))))</f>
        <v/>
      </c>
      <c r="L184" s="8">
        <f>IF(I184="","",IF(I184="Conformidade",1,IF(I184="Não Conformidade",0,IF(I184="Não Conformidade Grave",-1,""))))</f>
        <v/>
      </c>
      <c r="M184" s="8">
        <f>IF(COUNTA(G184:I184)=0,"",ROUND(AVERAGE(J184:L184)*100,0))</f>
        <v/>
      </c>
      <c r="N184" s="8">
        <f>IFERROR(AVERAGEIF(C$2:C$201,C184,M$2:M$201),"N/A")</f>
        <v/>
      </c>
      <c r="O184" s="8" t="n"/>
    </row>
    <row r="185" hidden="1" ht="15" customHeight="1" s="41">
      <c r="A185" s="8">
        <f>IF(B185="","",ROW()-1)</f>
        <v/>
      </c>
      <c r="B185" s="11" t="n"/>
      <c r="C185" s="8" t="n"/>
      <c r="D185" s="8" t="n"/>
      <c r="E185" s="8" t="n"/>
      <c r="F185" s="8" t="n"/>
      <c r="G185" s="8" t="n"/>
      <c r="H185" s="8" t="n"/>
      <c r="I185" s="8" t="n"/>
      <c r="J185" s="8">
        <f>IF(G185="","",IF(G185="SIM",1,0))</f>
        <v/>
      </c>
      <c r="K185" s="8">
        <f>IF(H185="","",IF(H185="Integral",1,IF(H185="Amostral",0.5,IF(H185="Não realizada",0,""))))</f>
        <v/>
      </c>
      <c r="L185" s="8">
        <f>IF(I185="","",IF(I185="Conformidade",1,IF(I185="Não Conformidade",0,IF(I185="Não Conformidade Grave",-1,""))))</f>
        <v/>
      </c>
      <c r="M185" s="8">
        <f>IF(COUNTA(G185:I185)=0,"",ROUND(AVERAGE(J185:L185)*100,0))</f>
        <v/>
      </c>
      <c r="N185" s="8">
        <f>IFERROR(AVERAGEIF(C$2:C$201,C185,M$2:M$201),"N/A")</f>
        <v/>
      </c>
      <c r="O185" s="8" t="n"/>
    </row>
    <row r="186" hidden="1" ht="15" customHeight="1" s="41">
      <c r="A186" s="8">
        <f>IF(B186="","",ROW()-1)</f>
        <v/>
      </c>
      <c r="B186" s="11" t="n"/>
      <c r="C186" s="8" t="n"/>
      <c r="D186" s="8" t="n"/>
      <c r="E186" s="8" t="n"/>
      <c r="F186" s="8" t="n"/>
      <c r="G186" s="8" t="n"/>
      <c r="H186" s="8" t="n"/>
      <c r="I186" s="8" t="n"/>
      <c r="J186" s="8">
        <f>IF(G186="","",IF(G186="SIM",1,0))</f>
        <v/>
      </c>
      <c r="K186" s="8">
        <f>IF(H186="","",IF(H186="Integral",1,IF(H186="Amostral",0.5,IF(H186="Não realizada",0,""))))</f>
        <v/>
      </c>
      <c r="L186" s="8">
        <f>IF(I186="","",IF(I186="Conformidade",1,IF(I186="Não Conformidade",0,IF(I186="Não Conformidade Grave",-1,""))))</f>
        <v/>
      </c>
      <c r="M186" s="8">
        <f>IF(COUNTA(G186:I186)=0,"",ROUND(AVERAGE(J186:L186)*100,0))</f>
        <v/>
      </c>
      <c r="N186" s="8">
        <f>IFERROR(AVERAGEIF(C$2:C$201,C186,M$2:M$201),"N/A")</f>
        <v/>
      </c>
      <c r="O186" s="8" t="n"/>
    </row>
    <row r="187" hidden="1" ht="15" customHeight="1" s="41">
      <c r="A187" s="8">
        <f>IF(B187="","",ROW()-1)</f>
        <v/>
      </c>
      <c r="B187" s="11" t="n"/>
      <c r="C187" s="8" t="n"/>
      <c r="D187" s="8" t="n"/>
      <c r="E187" s="8" t="n"/>
      <c r="F187" s="8" t="n"/>
      <c r="G187" s="8" t="n"/>
      <c r="H187" s="8" t="n"/>
      <c r="I187" s="8" t="n"/>
      <c r="J187" s="8">
        <f>IF(G187="","",IF(G187="SIM",1,0))</f>
        <v/>
      </c>
      <c r="K187" s="8">
        <f>IF(H187="","",IF(H187="Integral",1,IF(H187="Amostral",0.5,IF(H187="Não realizada",0,""))))</f>
        <v/>
      </c>
      <c r="L187" s="8">
        <f>IF(I187="","",IF(I187="Conformidade",1,IF(I187="Não Conformidade",0,IF(I187="Não Conformidade Grave",-1,""))))</f>
        <v/>
      </c>
      <c r="M187" s="8">
        <f>IF(COUNTA(G187:I187)=0,"",ROUND(AVERAGE(J187:L187)*100,0))</f>
        <v/>
      </c>
      <c r="N187" s="8">
        <f>IFERROR(AVERAGEIF(C$2:C$201,C187,M$2:M$201),"N/A")</f>
        <v/>
      </c>
      <c r="O187" s="8" t="n"/>
    </row>
    <row r="188" hidden="1" ht="15" customHeight="1" s="41">
      <c r="A188" s="8">
        <f>IF(B188="","",ROW()-1)</f>
        <v/>
      </c>
      <c r="B188" s="11" t="n"/>
      <c r="C188" s="8" t="n"/>
      <c r="D188" s="8" t="n"/>
      <c r="E188" s="8" t="n"/>
      <c r="F188" s="8" t="n"/>
      <c r="G188" s="8" t="n"/>
      <c r="H188" s="8" t="n"/>
      <c r="I188" s="8" t="n"/>
      <c r="J188" s="8">
        <f>IF(G188="","",IF(G188="SIM",1,0))</f>
        <v/>
      </c>
      <c r="K188" s="8">
        <f>IF(H188="","",IF(H188="Integral",1,IF(H188="Amostral",0.5,IF(H188="Não realizada",0,""))))</f>
        <v/>
      </c>
      <c r="L188" s="8">
        <f>IF(I188="","",IF(I188="Conformidade",1,IF(I188="Não Conformidade",0,IF(I188="Não Conformidade Grave",-1,""))))</f>
        <v/>
      </c>
      <c r="M188" s="8">
        <f>IF(COUNTA(G188:I188)=0,"",ROUND(AVERAGE(J188:L188)*100,0))</f>
        <v/>
      </c>
      <c r="N188" s="8">
        <f>IFERROR(AVERAGEIF(C$2:C$201,C188,M$2:M$201),"N/A")</f>
        <v/>
      </c>
      <c r="O188" s="8" t="n"/>
    </row>
    <row r="189" hidden="1" ht="15" customHeight="1" s="41">
      <c r="A189" s="8">
        <f>IF(B189="","",ROW()-1)</f>
        <v/>
      </c>
      <c r="B189" s="11" t="n"/>
      <c r="C189" s="8" t="n"/>
      <c r="D189" s="8" t="n"/>
      <c r="E189" s="8" t="n"/>
      <c r="F189" s="8" t="n"/>
      <c r="G189" s="8" t="n"/>
      <c r="H189" s="8" t="n"/>
      <c r="I189" s="8" t="n"/>
      <c r="J189" s="8">
        <f>IF(G189="","",IF(G189="SIM",1,0))</f>
        <v/>
      </c>
      <c r="K189" s="8">
        <f>IF(H189="","",IF(H189="Integral",1,IF(H189="Amostral",0.5,IF(H189="Não realizada",0,""))))</f>
        <v/>
      </c>
      <c r="L189" s="8">
        <f>IF(I189="","",IF(I189="Conformidade",1,IF(I189="Não Conformidade",0,IF(I189="Não Conformidade Grave",-1,""))))</f>
        <v/>
      </c>
      <c r="M189" s="8">
        <f>IF(COUNTA(G189:I189)=0,"",ROUND(AVERAGE(J189:L189)*100,0))</f>
        <v/>
      </c>
      <c r="N189" s="8">
        <f>IFERROR(AVERAGEIF(C$2:C$201,C189,M$2:M$201),"N/A")</f>
        <v/>
      </c>
      <c r="O189" s="8" t="n"/>
    </row>
    <row r="190" hidden="1" ht="15" customHeight="1" s="41">
      <c r="A190" s="8">
        <f>IF(B190="","",ROW()-1)</f>
        <v/>
      </c>
      <c r="B190" s="11" t="n"/>
      <c r="C190" s="8" t="n"/>
      <c r="D190" s="8" t="n"/>
      <c r="E190" s="8" t="n"/>
      <c r="F190" s="8" t="n"/>
      <c r="G190" s="8" t="n"/>
      <c r="H190" s="8" t="n"/>
      <c r="I190" s="8" t="n"/>
      <c r="J190" s="8">
        <f>IF(G190="","",IF(G190="SIM",1,0))</f>
        <v/>
      </c>
      <c r="K190" s="8">
        <f>IF(H190="","",IF(H190="Integral",1,IF(H190="Amostral",0.5,IF(H190="Não realizada",0,""))))</f>
        <v/>
      </c>
      <c r="L190" s="8">
        <f>IF(I190="","",IF(I190="Conformidade",1,IF(I190="Não Conformidade",0,IF(I190="Não Conformidade Grave",-1,""))))</f>
        <v/>
      </c>
      <c r="M190" s="8">
        <f>IF(COUNTA(G190:I190)=0,"",ROUND(AVERAGE(J190:L190)*100,0))</f>
        <v/>
      </c>
      <c r="N190" s="8">
        <f>IFERROR(AVERAGEIF(C$2:C$201,C190,M$2:M$201),"N/A")</f>
        <v/>
      </c>
      <c r="O190" s="8" t="n"/>
    </row>
    <row r="191" hidden="1" ht="15" customHeight="1" s="41">
      <c r="A191" s="8">
        <f>IF(B191="","",ROW()-1)</f>
        <v/>
      </c>
      <c r="B191" s="11" t="n"/>
      <c r="C191" s="8" t="n"/>
      <c r="D191" s="8" t="n"/>
      <c r="E191" s="8" t="n"/>
      <c r="F191" s="8" t="n"/>
      <c r="G191" s="8" t="n"/>
      <c r="H191" s="8" t="n"/>
      <c r="I191" s="8" t="n"/>
      <c r="J191" s="8">
        <f>IF(G191="","",IF(G191="SIM",1,0))</f>
        <v/>
      </c>
      <c r="K191" s="8">
        <f>IF(H191="","",IF(H191="Integral",1,IF(H191="Amostral",0.5,IF(H191="Não realizada",0,""))))</f>
        <v/>
      </c>
      <c r="L191" s="8">
        <f>IF(I191="","",IF(I191="Conformidade",1,IF(I191="Não Conformidade",0,IF(I191="Não Conformidade Grave",-1,""))))</f>
        <v/>
      </c>
      <c r="M191" s="8">
        <f>IF(COUNTA(G191:I191)=0,"",ROUND(AVERAGE(J191:L191)*100,0))</f>
        <v/>
      </c>
      <c r="N191" s="8">
        <f>IFERROR(AVERAGEIF(C$2:C$201,C191,M$2:M$201),"N/A")</f>
        <v/>
      </c>
      <c r="O191" s="8" t="n"/>
    </row>
    <row r="192" hidden="1" ht="15" customHeight="1" s="41">
      <c r="A192" s="8">
        <f>IF(B192="","",ROW()-1)</f>
        <v/>
      </c>
      <c r="B192" s="11" t="n"/>
      <c r="C192" s="8" t="n"/>
      <c r="D192" s="8" t="n"/>
      <c r="E192" s="8" t="n"/>
      <c r="F192" s="8" t="n"/>
      <c r="G192" s="8" t="n"/>
      <c r="H192" s="8" t="n"/>
      <c r="I192" s="8" t="n"/>
      <c r="J192" s="8">
        <f>IF(G192="","",IF(G192="SIM",1,0))</f>
        <v/>
      </c>
      <c r="K192" s="8">
        <f>IF(H192="","",IF(H192="Integral",1,IF(H192="Amostral",0.5,IF(H192="Não realizada",0,""))))</f>
        <v/>
      </c>
      <c r="L192" s="8">
        <f>IF(I192="","",IF(I192="Conformidade",1,IF(I192="Não Conformidade",0,IF(I192="Não Conformidade Grave",-1,""))))</f>
        <v/>
      </c>
      <c r="M192" s="8">
        <f>IF(COUNTA(G192:I192)=0,"",ROUND(AVERAGE(J192:L192)*100,0))</f>
        <v/>
      </c>
      <c r="N192" s="8">
        <f>IFERROR(AVERAGEIF(C$2:C$201,C192,M$2:M$201),"N/A")</f>
        <v/>
      </c>
      <c r="O192" s="8" t="n"/>
    </row>
    <row r="193" hidden="1" ht="15" customHeight="1" s="41">
      <c r="A193" s="8">
        <f>IF(B193="","",ROW()-1)</f>
        <v/>
      </c>
      <c r="B193" s="11" t="n"/>
      <c r="C193" s="8" t="n"/>
      <c r="D193" s="8" t="n"/>
      <c r="E193" s="8" t="n"/>
      <c r="F193" s="8" t="n"/>
      <c r="G193" s="8" t="n"/>
      <c r="H193" s="8" t="n"/>
      <c r="I193" s="8" t="n"/>
      <c r="J193" s="8">
        <f>IF(G193="","",IF(G193="SIM",1,0))</f>
        <v/>
      </c>
      <c r="K193" s="8">
        <f>IF(H193="","",IF(H193="Integral",1,IF(H193="Amostral",0.5,IF(H193="Não realizada",0,""))))</f>
        <v/>
      </c>
      <c r="L193" s="8">
        <f>IF(I193="","",IF(I193="Conformidade",1,IF(I193="Não Conformidade",0,IF(I193="Não Conformidade Grave",-1,""))))</f>
        <v/>
      </c>
      <c r="M193" s="8">
        <f>IF(COUNTA(G193:I193)=0,"",ROUND(AVERAGE(J193:L193)*100,0))</f>
        <v/>
      </c>
      <c r="N193" s="8">
        <f>IFERROR(AVERAGEIF(C$2:C$201,C193,M$2:M$201),"N/A")</f>
        <v/>
      </c>
      <c r="O193" s="8" t="n"/>
    </row>
    <row r="194" hidden="1" ht="15" customHeight="1" s="41">
      <c r="A194" s="8">
        <f>IF(B194="","",ROW()-1)</f>
        <v/>
      </c>
      <c r="B194" s="11" t="n"/>
      <c r="C194" s="8" t="n"/>
      <c r="D194" s="8" t="n"/>
      <c r="E194" s="8" t="n"/>
      <c r="F194" s="8" t="n"/>
      <c r="G194" s="8" t="n"/>
      <c r="H194" s="8" t="n"/>
      <c r="I194" s="8" t="n"/>
      <c r="J194" s="8">
        <f>IF(G194="","",IF(G194="SIM",1,0))</f>
        <v/>
      </c>
      <c r="K194" s="8">
        <f>IF(H194="","",IF(H194="Integral",1,IF(H194="Amostral",0.5,IF(H194="Não realizada",0,""))))</f>
        <v/>
      </c>
      <c r="L194" s="8">
        <f>IF(I194="","",IF(I194="Conformidade",1,IF(I194="Não Conformidade",0,IF(I194="Não Conformidade Grave",-1,""))))</f>
        <v/>
      </c>
      <c r="M194" s="8">
        <f>IF(COUNTA(G194:I194)=0,"",ROUND(AVERAGE(J194:L194)*100,0))</f>
        <v/>
      </c>
      <c r="N194" s="8">
        <f>IFERROR(AVERAGEIF(C$2:C$201,C194,M$2:M$201),"N/A")</f>
        <v/>
      </c>
      <c r="O194" s="8" t="n"/>
    </row>
    <row r="195" hidden="1" ht="15" customHeight="1" s="41">
      <c r="A195" s="8">
        <f>IF(B195="","",ROW()-1)</f>
        <v/>
      </c>
      <c r="B195" s="11" t="n"/>
      <c r="C195" s="8" t="n"/>
      <c r="D195" s="8" t="n"/>
      <c r="E195" s="8" t="n"/>
      <c r="F195" s="8" t="n"/>
      <c r="G195" s="8" t="n"/>
      <c r="H195" s="8" t="n"/>
      <c r="I195" s="8" t="n"/>
      <c r="J195" s="8">
        <f>IF(G195="","",IF(G195="SIM",1,0))</f>
        <v/>
      </c>
      <c r="K195" s="8">
        <f>IF(H195="","",IF(H195="Integral",1,IF(H195="Amostral",0.5,IF(H195="Não realizada",0,""))))</f>
        <v/>
      </c>
      <c r="L195" s="8">
        <f>IF(I195="","",IF(I195="Conformidade",1,IF(I195="Não Conformidade",0,IF(I195="Não Conformidade Grave",-1,""))))</f>
        <v/>
      </c>
      <c r="M195" s="8">
        <f>IF(COUNTA(G195:I195)=0,"",ROUND(AVERAGE(J195:L195)*100,0))</f>
        <v/>
      </c>
      <c r="N195" s="8">
        <f>IFERROR(AVERAGEIF(C$2:C$201,C195,M$2:M$201),"N/A")</f>
        <v/>
      </c>
      <c r="O195" s="8" t="n"/>
    </row>
    <row r="196" hidden="1" ht="15" customHeight="1" s="41">
      <c r="A196" s="8">
        <f>IF(B196="","",ROW()-1)</f>
        <v/>
      </c>
      <c r="B196" s="11" t="n"/>
      <c r="C196" s="8" t="n"/>
      <c r="D196" s="8" t="n"/>
      <c r="E196" s="8" t="n"/>
      <c r="F196" s="8" t="n"/>
      <c r="G196" s="8" t="n"/>
      <c r="H196" s="8" t="n"/>
      <c r="I196" s="8" t="n"/>
      <c r="J196" s="8">
        <f>IF(G196="","",IF(G196="SIM",1,0))</f>
        <v/>
      </c>
      <c r="K196" s="8">
        <f>IF(H196="","",IF(H196="Integral",1,IF(H196="Amostral",0.5,IF(H196="Não realizada",0,""))))</f>
        <v/>
      </c>
      <c r="L196" s="8">
        <f>IF(I196="","",IF(I196="Conformidade",1,IF(I196="Não Conformidade",0,IF(I196="Não Conformidade Grave",-1,""))))</f>
        <v/>
      </c>
      <c r="M196" s="8">
        <f>IF(COUNTA(G196:I196)=0,"",ROUND(AVERAGE(J196:L196)*100,0))</f>
        <v/>
      </c>
      <c r="N196" s="8">
        <f>IFERROR(AVERAGEIF(C$2:C$201,C196,M$2:M$201),"N/A")</f>
        <v/>
      </c>
      <c r="O196" s="8" t="n"/>
    </row>
    <row r="197" hidden="1" ht="15" customHeight="1" s="41">
      <c r="A197" s="8">
        <f>IF(B197="","",ROW()-1)</f>
        <v/>
      </c>
      <c r="B197" s="11" t="n"/>
      <c r="C197" s="8" t="n"/>
      <c r="D197" s="8" t="n"/>
      <c r="E197" s="8" t="n"/>
      <c r="F197" s="8" t="n"/>
      <c r="G197" s="8" t="n"/>
      <c r="H197" s="8" t="n"/>
      <c r="I197" s="8" t="n"/>
      <c r="J197" s="8">
        <f>IF(G197="","",IF(G197="SIM",1,0))</f>
        <v/>
      </c>
      <c r="K197" s="8">
        <f>IF(H197="","",IF(H197="Integral",1,IF(H197="Amostral",0.5,IF(H197="Não realizada",0,""))))</f>
        <v/>
      </c>
      <c r="L197" s="8">
        <f>IF(I197="","",IF(I197="Conformidade",1,IF(I197="Não Conformidade",0,IF(I197="Não Conformidade Grave",-1,""))))</f>
        <v/>
      </c>
      <c r="M197" s="8">
        <f>IF(COUNTA(G197:I197)=0,"",ROUND(AVERAGE(J197:L197)*100,0))</f>
        <v/>
      </c>
      <c r="N197" s="8">
        <f>IFERROR(AVERAGEIF(C$2:C$201,C197,M$2:M$201),"N/A")</f>
        <v/>
      </c>
      <c r="O197" s="8" t="n"/>
    </row>
    <row r="198" hidden="1" ht="15" customHeight="1" s="41">
      <c r="A198" s="8">
        <f>IF(B198="","",ROW()-1)</f>
        <v/>
      </c>
      <c r="B198" s="11" t="n"/>
      <c r="C198" s="8" t="n"/>
      <c r="D198" s="8" t="n"/>
      <c r="E198" s="8" t="n"/>
      <c r="F198" s="8" t="n"/>
      <c r="G198" s="8" t="n"/>
      <c r="H198" s="8" t="n"/>
      <c r="I198" s="8" t="n"/>
      <c r="J198" s="8">
        <f>IF(G198="","",IF(G198="SIM",1,0))</f>
        <v/>
      </c>
      <c r="K198" s="8">
        <f>IF(H198="","",IF(H198="Integral",1,IF(H198="Amostral",0.5,IF(H198="Não realizada",0,""))))</f>
        <v/>
      </c>
      <c r="L198" s="8">
        <f>IF(I198="","",IF(I198="Conformidade",1,IF(I198="Não Conformidade",0,IF(I198="Não Conformidade Grave",-1,""))))</f>
        <v/>
      </c>
      <c r="M198" s="8">
        <f>IF(COUNTA(G198:I198)=0,"",ROUND(AVERAGE(J198:L198)*100,0))</f>
        <v/>
      </c>
      <c r="N198" s="8">
        <f>IFERROR(AVERAGEIF(C$2:C$201,C198,M$2:M$201),"N/A")</f>
        <v/>
      </c>
      <c r="O198" s="8" t="n"/>
    </row>
    <row r="199" hidden="1" ht="15" customHeight="1" s="41">
      <c r="A199" s="8">
        <f>IF(B199="","",ROW()-1)</f>
        <v/>
      </c>
      <c r="B199" s="11" t="n"/>
      <c r="C199" s="8" t="n"/>
      <c r="D199" s="8" t="n"/>
      <c r="E199" s="8" t="n"/>
      <c r="F199" s="8" t="n"/>
      <c r="G199" s="8" t="n"/>
      <c r="H199" s="8" t="n"/>
      <c r="I199" s="8" t="n"/>
      <c r="J199" s="8">
        <f>IF(G199="","",IF(G199="SIM",1,0))</f>
        <v/>
      </c>
      <c r="K199" s="8">
        <f>IF(H199="","",IF(H199="Integral",1,IF(H199="Amostral",0.5,IF(H199="Não realizada",0,""))))</f>
        <v/>
      </c>
      <c r="L199" s="8">
        <f>IF(I199="","",IF(I199="Conformidade",1,IF(I199="Não Conformidade",0,IF(I199="Não Conformidade Grave",-1,""))))</f>
        <v/>
      </c>
      <c r="M199" s="8">
        <f>IF(COUNTA(G199:I199)=0,"",ROUND(AVERAGE(J199:L199)*100,0))</f>
        <v/>
      </c>
      <c r="N199" s="8">
        <f>IFERROR(AVERAGEIF(C$2:C$201,C199,M$2:M$201),"N/A")</f>
        <v/>
      </c>
      <c r="O199" s="8" t="n"/>
    </row>
    <row r="200" hidden="1" ht="15" customHeight="1" s="41">
      <c r="A200" s="8">
        <f>IF(B200="","",ROW()-1)</f>
        <v/>
      </c>
      <c r="B200" s="11" t="n"/>
      <c r="C200" s="8" t="n"/>
      <c r="D200" s="8" t="n"/>
      <c r="E200" s="8" t="n"/>
      <c r="F200" s="8" t="n"/>
      <c r="G200" s="8" t="n"/>
      <c r="H200" s="8" t="n"/>
      <c r="I200" s="8" t="n"/>
      <c r="J200" s="8">
        <f>IF(G200="","",IF(G200="SIM",1,0))</f>
        <v/>
      </c>
      <c r="K200" s="8">
        <f>IF(H200="","",IF(H200="Integral",1,IF(H200="Amostral",0.5,IF(H200="Não realizada",0,""))))</f>
        <v/>
      </c>
      <c r="L200" s="8">
        <f>IF(I200="","",IF(I200="Conformidade",1,IF(I200="Não Conformidade",0,IF(I200="Não Conformidade Grave",-1,""))))</f>
        <v/>
      </c>
      <c r="M200" s="8">
        <f>IF(COUNTA(G200:I200)=0,"",ROUND(AVERAGE(J200:L200)*100,0))</f>
        <v/>
      </c>
      <c r="N200" s="8">
        <f>IFERROR(AVERAGEIF(C$2:C$201,C200,M$2:M$201),"N/A")</f>
        <v/>
      </c>
      <c r="O200" s="8" t="n"/>
    </row>
    <row r="201" hidden="1" ht="15" customHeight="1" s="41">
      <c r="A201" s="8">
        <f>IF(B201="","",ROW()-1)</f>
        <v/>
      </c>
      <c r="B201" s="11" t="n"/>
      <c r="C201" s="8" t="n"/>
      <c r="D201" s="8" t="n"/>
      <c r="E201" s="8" t="n"/>
      <c r="F201" s="8" t="n"/>
      <c r="G201" s="8" t="n"/>
      <c r="H201" s="8" t="n"/>
      <c r="I201" s="8" t="n"/>
      <c r="J201" s="8">
        <f>IF(G201="","",IF(G201="SIM",1,0))</f>
        <v/>
      </c>
      <c r="K201" s="8">
        <f>IF(H201="","",IF(H201="Integral",1,IF(H201="Amostral",0.5,IF(H201="Não realizada",0,""))))</f>
        <v/>
      </c>
      <c r="L201" s="8">
        <f>IF(I201="","",IF(I201="Conformidade",1,IF(I201="Não Conformidade",0,IF(I201="Não Conformidade Grave",-1,""))))</f>
        <v/>
      </c>
      <c r="M201" s="8">
        <f>IF(COUNTA(G201:I201)=0,"",ROUND(AVERAGE(J201:L201)*100,0))</f>
        <v/>
      </c>
      <c r="N201" s="8">
        <f>IFERROR(AVERAGEIF(C$2:C$201,C201,M$2:M$201),"N/A")</f>
        <v/>
      </c>
      <c r="O201" s="8" t="n"/>
    </row>
    <row r="202">
      <c r="A202" t="n">
        <v>1</v>
      </c>
      <c r="B202" t="inlineStr">
        <is>
          <t>18/09/2026</t>
        </is>
      </c>
      <c r="C202" t="inlineStr">
        <is>
          <t>Mobilize</t>
        </is>
      </c>
      <c r="D202" t="inlineStr">
        <is>
          <t>Qualidade</t>
        </is>
      </c>
      <c r="E202" t="inlineStr">
        <is>
          <t>Monitoria - Portal da Qualidade</t>
        </is>
      </c>
      <c r="F202" t="n">
        <v>1</v>
      </c>
      <c r="G202" t="inlineStr">
        <is>
          <t>SIM</t>
        </is>
      </c>
      <c r="H202" t="inlineStr">
        <is>
          <t>Amostral</t>
        </is>
      </c>
      <c r="I202" t="inlineStr">
        <is>
          <t>Conformidade</t>
        </is>
      </c>
      <c r="J202" t="n">
        <v>1</v>
      </c>
    </row>
    <row r="203">
      <c r="A203" t="n">
        <v>2</v>
      </c>
      <c r="B203" t="inlineStr">
        <is>
          <t>18/09/2026</t>
        </is>
      </c>
      <c r="C203" t="inlineStr">
        <is>
          <t>Mobilize</t>
        </is>
      </c>
      <c r="D203" t="inlineStr">
        <is>
          <t>Qualidade</t>
        </is>
      </c>
      <c r="E203" t="inlineStr">
        <is>
          <t>Monitoria - Cessão de Direitos</t>
        </is>
      </c>
      <c r="F203" t="n">
        <v>1</v>
      </c>
      <c r="G203" t="inlineStr">
        <is>
          <t>SIM</t>
        </is>
      </c>
      <c r="H203" t="inlineStr">
        <is>
          <t>Amostral</t>
        </is>
      </c>
      <c r="I203" t="inlineStr">
        <is>
          <t>Conformidade</t>
        </is>
      </c>
      <c r="J203" t="n">
        <v>1</v>
      </c>
    </row>
    <row r="204">
      <c r="A204" t="n">
        <v>3</v>
      </c>
      <c r="B204" t="inlineStr">
        <is>
          <t>18/09/2026</t>
        </is>
      </c>
      <c r="C204" t="inlineStr">
        <is>
          <t>Mobilize</t>
        </is>
      </c>
      <c r="D204" t="inlineStr">
        <is>
          <t>Qualidade</t>
        </is>
      </c>
      <c r="E204" t="inlineStr">
        <is>
          <t>Monitoria - Clube FIQ</t>
        </is>
      </c>
      <c r="F204" t="n">
        <v>1</v>
      </c>
      <c r="G204" t="inlineStr">
        <is>
          <t>NÃO</t>
        </is>
      </c>
      <c r="H204" t="inlineStr">
        <is>
          <t>Não realizada</t>
        </is>
      </c>
      <c r="I204" t="inlineStr">
        <is>
          <t>Não Conformidade Grave</t>
        </is>
      </c>
      <c r="J204" t="n">
        <v>0</v>
      </c>
    </row>
  </sheetData>
  <autoFilter ref="A1:O201">
    <filterColumn colId="2" hiddenButton="0" showButton="1">
      <filters>
        <filter val="PROCESSOS"/>
      </filters>
    </filterColumn>
  </autoFilter>
  <conditionalFormatting sqref="G2:G201">
    <cfRule type="cellIs" priority="2" operator="equal" dxfId="0">
      <formula>"SIM"</formula>
    </cfRule>
    <cfRule type="cellIs" priority="3" operator="equal" dxfId="2">
      <formula>"NÃO"</formula>
    </cfRule>
  </conditionalFormatting>
  <conditionalFormatting sqref="M2:N201">
    <cfRule type="cellIs" priority="4" operator="lessThan" dxfId="2">
      <formula>50</formula>
    </cfRule>
    <cfRule type="cellIs" priority="5" operator="between" dxfId="1">
      <formula>50</formula>
      <formula>79</formula>
    </cfRule>
    <cfRule type="cellIs" priority="6" operator="greaterThanOrEqual" dxfId="0">
      <formula>80</formula>
    </cfRule>
  </conditionalFormatting>
  <dataValidations count="5">
    <dataValidation sqref="F2:F201" showDropDown="0" showInputMessage="0" showErrorMessage="0" allowBlank="1" type="decimal" operator="greaterThanOrEqual">
      <formula1>0</formula1>
      <formula2>0</formula2>
    </dataValidation>
    <dataValidation sqref="G2:G201" showDropDown="0" showInputMessage="0" showErrorMessage="0" allowBlank="1" type="list">
      <formula1>"SIM,NÃO"</formula1>
      <formula2>0</formula2>
    </dataValidation>
    <dataValidation sqref="H2:H201" showDropDown="0" showInputMessage="0" showErrorMessage="0" allowBlank="1" type="list">
      <formula1>"Integral,Amostral,Não realizada"</formula1>
      <formula2>0</formula2>
    </dataValidation>
    <dataValidation sqref="I2:I201" showDropDown="0" showInputMessage="0" showErrorMessage="0" allowBlank="1" type="list">
      <formula1>"Não Conformidade Grave,Não Conformidade,Conformidade,Observação"</formula1>
      <formula2>0</formula2>
    </dataValidation>
    <dataValidation sqref="B2:B201" showDropDown="0" showInputMessage="0" showErrorMessage="0" allowBlank="1" type="date">
      <formula1>DATE(2000,1,1)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zoomScaleNormal="100" workbookViewId="0">
      <selection activeCell="A1" sqref="A1:H1"/>
    </sheetView>
  </sheetViews>
  <sheetFormatPr baseColWidth="8" defaultColWidth="14.42578125" defaultRowHeight="15"/>
  <cols>
    <col width="36.42578125" customWidth="1" style="41" min="1" max="1"/>
    <col width="22" customWidth="1" style="41" min="2" max="2"/>
    <col width="3" customWidth="1" style="41" min="3" max="3"/>
    <col width="32.140625" customWidth="1" style="41" min="4" max="4"/>
    <col width="39.7109375" customWidth="1" style="41" min="5" max="5"/>
    <col width="15" customWidth="1" style="41" min="6" max="8"/>
    <col width="8.7109375" customWidth="1" style="41" min="9" max="26"/>
  </cols>
  <sheetData>
    <row r="1" ht="25.5" customHeight="1" s="41">
      <c r="A1" s="40" t="inlineStr">
        <is>
          <t>RESUMO DA AVALIAÇÃO</t>
        </is>
      </c>
    </row>
    <row r="3" ht="15" customHeight="1" s="41">
      <c r="A3" s="12" t="inlineStr">
        <is>
          <t>Indicador</t>
        </is>
      </c>
      <c r="B3" s="12" t="inlineStr">
        <is>
          <t>Resultado</t>
        </is>
      </c>
      <c r="D3" s="44" t="inlineStr">
        <is>
          <t>Faixa do Score</t>
        </is>
      </c>
      <c r="E3" s="44" t="inlineStr">
        <is>
          <t>Interpretação</t>
        </is>
      </c>
    </row>
    <row r="4" ht="15" customHeight="1" s="41">
      <c r="A4" s="14" t="inlineStr">
        <is>
          <t>Documentações avaliadas</t>
        </is>
      </c>
      <c r="B4" s="15">
        <f>COUNT(Avaliação!P2:P57)</f>
        <v/>
      </c>
      <c r="D4" s="14" t="inlineStr">
        <is>
          <t>0–25</t>
        </is>
      </c>
      <c r="E4" t="inlineStr">
        <is>
          <t>Baixissíma maturidade documental</t>
        </is>
      </c>
      <c r="F4" s="16" t="n"/>
    </row>
    <row r="5" ht="15" customHeight="1" s="41">
      <c r="A5" s="14" t="inlineStr">
        <is>
          <t>Documentações existentes</t>
        </is>
      </c>
      <c r="B5" s="15">
        <f>COUNTIF(Avaliação!G2:G57,"SIM")</f>
        <v/>
      </c>
      <c r="D5" s="14" t="inlineStr">
        <is>
          <t>26-35</t>
        </is>
      </c>
      <c r="E5" t="inlineStr">
        <is>
          <t>Baixa maturidade documental</t>
        </is>
      </c>
      <c r="F5" s="16" t="n"/>
    </row>
    <row r="6" ht="15" customHeight="1" s="41">
      <c r="A6" s="52" t="inlineStr">
        <is>
          <t>Documentações avaliadas</t>
        </is>
      </c>
      <c r="B6" s="53" t="n">
        <v>15</v>
      </c>
      <c r="C6" s="35" t="inlineStr">
        <is>
          <t>0-25</t>
        </is>
      </c>
      <c r="D6" s="52" t="inlineStr">
        <is>
          <t>Baixíssima maturidade documental</t>
        </is>
      </c>
      <c r="E6" t="inlineStr">
        <is>
          <t>Maturidade intermediária</t>
        </is>
      </c>
      <c r="F6" s="17" t="n"/>
    </row>
    <row r="7" ht="15" customHeight="1" s="41">
      <c r="A7" s="52" t="inlineStr">
        <is>
          <t>Documentações existentes</t>
        </is>
      </c>
      <c r="B7" s="53" t="n">
        <v>15</v>
      </c>
      <c r="C7" s="35" t="inlineStr">
        <is>
          <t>26-35</t>
        </is>
      </c>
      <c r="D7" s="52" t="inlineStr">
        <is>
          <t>Baixa maturidade documental</t>
        </is>
      </c>
      <c r="E7" t="inlineStr">
        <is>
          <t>Boa maturidade documental</t>
        </is>
      </c>
      <c r="F7" s="17" t="n"/>
    </row>
    <row r="8" ht="15" customHeight="1" s="41">
      <c r="A8" s="52" t="inlineStr">
        <is>
          <t>Documentações atualizadas</t>
        </is>
      </c>
      <c r="B8" s="53" t="n">
        <v>0</v>
      </c>
      <c r="C8" s="35" t="inlineStr">
        <is>
          <t>0-25</t>
        </is>
      </c>
      <c r="D8" s="52" t="inlineStr">
        <is>
          <t>Baixíssima maturidade documental</t>
        </is>
      </c>
      <c r="E8" t="inlineStr">
        <is>
          <t>Excelente maturidade documental</t>
        </is>
      </c>
      <c r="F8" s="18" t="n"/>
    </row>
    <row r="9" ht="15" customHeight="1" s="41">
      <c r="A9" s="52" t="inlineStr">
        <is>
          <t>Indicadores avaliados</t>
        </is>
      </c>
      <c r="B9" s="54" t="n">
        <v>10</v>
      </c>
      <c r="C9" s="35" t="inlineStr">
        <is>
          <t>26-35</t>
        </is>
      </c>
      <c r="D9" s="35" t="inlineStr">
        <is>
          <t>Baixa maturidade de indicadores</t>
        </is>
      </c>
    </row>
    <row r="10" ht="15" customHeight="1" s="41">
      <c r="A10" s="52" t="inlineStr">
        <is>
          <t>Indicadores existentes</t>
        </is>
      </c>
      <c r="B10" s="55" t="n">
        <v>10</v>
      </c>
      <c r="C10" s="35" t="inlineStr">
        <is>
          <t>26-35</t>
        </is>
      </c>
      <c r="D10" s="35" t="inlineStr">
        <is>
          <t>Baixa maturidade de indicadores</t>
        </is>
      </c>
    </row>
    <row r="11" ht="15" customHeight="1" s="41">
      <c r="A11" s="52" t="inlineStr">
        <is>
          <t>Treinamentos avaliados</t>
        </is>
      </c>
      <c r="B11" s="55" t="n">
        <v>3</v>
      </c>
      <c r="C11" s="35" t="inlineStr">
        <is>
          <t>26-35</t>
        </is>
      </c>
      <c r="D11" s="56" t="inlineStr">
        <is>
          <t>Baixa maturidade de treinamento</t>
        </is>
      </c>
    </row>
    <row r="12" ht="15" customHeight="1" s="41">
      <c r="A12" s="52" t="inlineStr">
        <is>
          <t>Treinamentos aplicados</t>
        </is>
      </c>
      <c r="B12" s="55" t="n">
        <v>3</v>
      </c>
      <c r="C12" s="35" t="inlineStr">
        <is>
          <t>26-35</t>
        </is>
      </c>
      <c r="D12" s="35" t="inlineStr">
        <is>
          <t>Baixa maturidade de treinamento</t>
        </is>
      </c>
    </row>
    <row r="13" ht="15" customHeight="1" s="41">
      <c r="A13" s="35" t="inlineStr">
        <is>
          <t>Monitorias avaliadas</t>
        </is>
      </c>
      <c r="B13" s="35" t="n">
        <v>3</v>
      </c>
      <c r="C13" s="35" t="inlineStr">
        <is>
          <t>26-35</t>
        </is>
      </c>
      <c r="D13" s="35" t="inlineStr">
        <is>
          <t>Baixa maturidade de qualidade</t>
        </is>
      </c>
    </row>
    <row r="14" ht="15" customHeight="1" s="41">
      <c r="A14" s="35" t="inlineStr">
        <is>
          <t>Monitorias realizadas</t>
        </is>
      </c>
      <c r="B14" s="35" t="n">
        <v>2</v>
      </c>
      <c r="C14" s="35" t="inlineStr">
        <is>
          <t>26-35</t>
        </is>
      </c>
      <c r="D14" s="35" t="inlineStr">
        <is>
          <t>Baixa maturidade de qualidade</t>
        </is>
      </c>
    </row>
    <row r="15" ht="15" customHeight="1" s="41"/>
    <row r="17" ht="19.5" customHeight="1" s="41">
      <c r="A17" s="43" t="inlineStr">
        <is>
          <t>INDICADORES</t>
        </is>
      </c>
    </row>
    <row r="18" ht="15" customHeight="1" s="41">
      <c r="A18" s="22" t="inlineStr">
        <is>
          <t>Indicadores avaliados</t>
        </is>
      </c>
      <c r="B18" s="23">
        <f>COUNT(Indicadores!O2:O201)</f>
        <v/>
      </c>
    </row>
    <row r="19" ht="15" customHeight="1" s="41">
      <c r="A19" s="22" t="inlineStr">
        <is>
          <t>Indicadores existentes</t>
        </is>
      </c>
      <c r="B19" s="23">
        <f>COUNTIF(Indicadores!G2:G201,"SIM")</f>
        <v/>
      </c>
    </row>
    <row r="20" ht="15" customHeight="1" s="41">
      <c r="A20" s="22" t="inlineStr">
        <is>
          <t>Indicadores atualizados (automático ou manual)</t>
        </is>
      </c>
      <c r="B20" s="23">
        <f>COUNTIF(Indicadores!H2:H201,"Automático")+COUNTIF(Indicadores!H2:H201,"Manual")</f>
        <v/>
      </c>
    </row>
    <row r="21" ht="15.75" customHeight="1" s="41">
      <c r="A21" s="22" t="inlineStr">
        <is>
          <t>Indicadores no padrão</t>
        </is>
      </c>
      <c r="B21" s="23">
        <f>COUNTIF(Indicadores!I2:I201,"SIM")</f>
        <v/>
      </c>
    </row>
    <row r="22" ht="15.75" customHeight="1" s="41">
      <c r="A22" s="22" t="inlineStr">
        <is>
          <t>Indicadores em conformidade</t>
        </is>
      </c>
      <c r="B22" s="23">
        <f>IFERROR(COUNTIF(Indicadores!J2:J201,"Conformidade")*1+COUNTIF(Indicadores!J2:J201,"Não Conformidade")*0+COUNTIF(Indicadores!J2:J201,"Não Conformidade Grave")*-1,"")</f>
        <v/>
      </c>
    </row>
    <row r="23" ht="15.75" customHeight="1" s="41">
      <c r="A23" s="22" t="inlineStr">
        <is>
          <t>Score médio de Indicadores</t>
        </is>
      </c>
      <c r="B23" s="24">
        <f>IFERROR(AVERAGE(Indicadores!O2:O201),0)</f>
        <v/>
      </c>
    </row>
    <row r="24" ht="15.75" customHeight="1" s="41">
      <c r="A24" s="22" t="inlineStr">
        <is>
          <t>% de existência</t>
        </is>
      </c>
      <c r="B24" s="25">
        <f>IFERROR(COUNTIF(Indicadores!G2:G201,"SIM")/COUNTA(Indicadores!G2:G201),0)</f>
        <v/>
      </c>
    </row>
    <row r="25" ht="15.75" customHeight="1" s="41">
      <c r="A25" s="22" t="inlineStr">
        <is>
          <t>% atualizado (automático/manual)</t>
        </is>
      </c>
      <c r="B25" s="25">
        <f>IFERROR((COUNTIF(Indicadores!H2:H201,"Automático")+COUNTIF(Indicadores!H2:H201,"Manual"))/COUNTA(Indicadores!H2:H201),0)</f>
        <v/>
      </c>
    </row>
    <row r="26" ht="15.75" customHeight="1" s="41">
      <c r="A26" s="22" t="inlineStr">
        <is>
          <t>% no padrão</t>
        </is>
      </c>
      <c r="B26" s="25">
        <f>IFERROR(COUNTIF(Indicadores!I2:I201,"SIM")/COUNTA(Indicadores!I2:I201),0)</f>
        <v/>
      </c>
    </row>
    <row r="27" ht="15.75" customHeight="1" s="41"/>
    <row r="28" ht="19.5" customHeight="1" s="41">
      <c r="A28" s="43" t="inlineStr">
        <is>
          <t>TREINAMENTO</t>
        </is>
      </c>
    </row>
    <row r="29" ht="15.75" customHeight="1" s="41">
      <c r="A29" s="22" t="inlineStr">
        <is>
          <t>Treinamentos avaliados</t>
        </is>
      </c>
      <c r="B29" s="23">
        <f>COUNT(Treinamento!O2:O201)</f>
        <v/>
      </c>
    </row>
    <row r="30" ht="15.75" customHeight="1" s="41">
      <c r="A30" s="22" t="inlineStr">
        <is>
          <t>Treinamentos coerentes aos documentos</t>
        </is>
      </c>
      <c r="B30" s="23">
        <f>COUNTIF(Treinamento!G2:G201,"SIM")</f>
        <v/>
      </c>
    </row>
    <row r="31" ht="15.75" customHeight="1" s="41">
      <c r="A31" s="22" t="inlineStr">
        <is>
          <t>Treinamentos aplicados</t>
        </is>
      </c>
      <c r="B31" s="23">
        <f>COUNTIF(Treinamento!H2:H201,"SIM")</f>
        <v/>
      </c>
    </row>
    <row r="32" ht="15.75" customHeight="1" s="41">
      <c r="A32" s="22" t="inlineStr">
        <is>
          <t>Treinamentos atualizados</t>
        </is>
      </c>
      <c r="B32" s="23">
        <f>COUNTIF(Treinamento!I2:I201,"SIM")</f>
        <v/>
      </c>
    </row>
    <row r="33" ht="15.75" customHeight="1" s="41">
      <c r="A33" s="22" t="inlineStr">
        <is>
          <t>Treinamentos em conformidade</t>
        </is>
      </c>
      <c r="B33" s="23">
        <f>IFERROR(COUNTIF(Treinamento!J2:J201,"Conformidade")*1+COUNTIF(Treinamento!J2:J201,"Não Conformidade")*0+COUNTIF(Treinamento!J2:J201,"Não Conformidade Grave")*-1,"")</f>
        <v/>
      </c>
    </row>
    <row r="34" ht="15.75" customHeight="1" s="41">
      <c r="A34" s="22" t="inlineStr">
        <is>
          <t>Score médio de Treinamento</t>
        </is>
      </c>
      <c r="B34" s="24">
        <f>IFERROR(AVERAGE(Treinamento!O2:O201),0)</f>
        <v/>
      </c>
    </row>
    <row r="35" ht="15.75" customHeight="1" s="41">
      <c r="A35" s="22" t="inlineStr">
        <is>
          <t>% coerente aos documentos</t>
        </is>
      </c>
      <c r="B35" s="25">
        <f>IFERROR(COUNTIF(Treinamento!G2:G201,"SIM")/COUNTA(Treinamento!G2:G201),0)</f>
        <v/>
      </c>
    </row>
    <row r="36" ht="15.75" customHeight="1" s="41">
      <c r="A36" s="22" t="inlineStr">
        <is>
          <t>% aplicado</t>
        </is>
      </c>
      <c r="B36" s="25">
        <f>IFERROR(COUNTIF(Treinamento!H2:H201,"SIM")/COUNTA(Treinamento!H2:H201),0)</f>
        <v/>
      </c>
    </row>
    <row r="37" ht="15.75" customHeight="1" s="41">
      <c r="A37" s="22" t="inlineStr">
        <is>
          <t>% atualizado</t>
        </is>
      </c>
      <c r="B37" s="25">
        <f>IFERROR(COUNTIF(Treinamento!I2:I201,"SIM")/COUNTA(Treinamento!I2:I201),0)</f>
        <v/>
      </c>
    </row>
    <row r="38" ht="15.75" customHeight="1" s="41"/>
    <row r="39" ht="19.5" customHeight="1" s="41">
      <c r="A39" s="43" t="inlineStr">
        <is>
          <t>QUALIDADE</t>
        </is>
      </c>
    </row>
    <row r="40" ht="15.75" customHeight="1" s="41">
      <c r="A40" s="22" t="inlineStr">
        <is>
          <t>Processos avaliados (monitorias)</t>
        </is>
      </c>
      <c r="B40" s="23">
        <f>COUNT(Qualidade!M2:M201)</f>
        <v/>
      </c>
    </row>
    <row r="41" ht="15.75" customHeight="1" s="41">
      <c r="A41" s="22" t="inlineStr">
        <is>
          <t>Processos com monitoria realizada</t>
        </is>
      </c>
      <c r="B41" s="23">
        <f>COUNTIF(Qualidade!G2:G201,"SIM")</f>
        <v/>
      </c>
    </row>
    <row r="42" ht="15.75" customHeight="1" s="41">
      <c r="A42" s="22" t="inlineStr">
        <is>
          <t>Monitorias integrais</t>
        </is>
      </c>
      <c r="B42" s="23">
        <f>COUNTIF(Qualidade!H2:H201,"Integral")</f>
        <v/>
      </c>
    </row>
    <row r="43" ht="15.75" customHeight="1" s="41">
      <c r="A43" s="22" t="inlineStr">
        <is>
          <t>Monitorias amostrais</t>
        </is>
      </c>
      <c r="B43" s="23">
        <f>COUNTIF(Qualidade!H2:H201,"Amostral")</f>
        <v/>
      </c>
    </row>
    <row r="44" ht="15.75" customHeight="1" s="41">
      <c r="A44" s="22" t="inlineStr">
        <is>
          <t>Processos em conformidade</t>
        </is>
      </c>
      <c r="B44" s="23">
        <f>IFERROR(COUNTIF(Qualidade!I2:I201,"Conformidade")*1+COUNTIF(Qualidade!I2:I201,"Não Conformidade")*0+COUNTIF(Qualidade!I2:I201,"Não Conformidade Grave")*-1,"")</f>
        <v/>
      </c>
    </row>
    <row r="45" ht="15.75" customHeight="1" s="41">
      <c r="A45" s="22" t="inlineStr">
        <is>
          <t>Score médio de Qualidade</t>
        </is>
      </c>
      <c r="B45" s="24">
        <f>IFERROR(AVERAGE(Qualidade!M2:M201),0)</f>
        <v/>
      </c>
    </row>
    <row r="46" ht="15.75" customHeight="1" s="41">
      <c r="A46" s="22" t="inlineStr">
        <is>
          <t>% de monitorias realizadas</t>
        </is>
      </c>
      <c r="B46" s="25">
        <f>IFERROR(COUNTIF(Qualidade!G2:G201,"SIM")/COUNTA(Qualidade!G2:G201),0)</f>
        <v/>
      </c>
    </row>
    <row r="47" ht="15.75" customHeight="1" s="41"/>
    <row r="48" ht="19.5" customHeight="1" s="41">
      <c r="A48" s="43" t="inlineStr">
        <is>
          <t>SCORE GERAL DE MATURIDADE (Documentação + Indicadores + Treinamento + Qualidade)</t>
        </is>
      </c>
    </row>
    <row r="49" ht="15.75" customHeight="1" s="41">
      <c r="A49" s="22" t="inlineStr">
        <is>
          <t>Score Documentação</t>
        </is>
      </c>
      <c r="B49" s="24">
        <f>B9</f>
        <v/>
      </c>
    </row>
    <row r="50" ht="15.75" customHeight="1" s="41">
      <c r="A50" s="22" t="inlineStr">
        <is>
          <t>Score Indicadores</t>
        </is>
      </c>
      <c r="B50" s="24">
        <f>B23</f>
        <v/>
      </c>
    </row>
    <row r="51" ht="15.75" customHeight="1" s="41">
      <c r="A51" s="22" t="inlineStr">
        <is>
          <t>Score Treinamento</t>
        </is>
      </c>
      <c r="B51" s="24">
        <f>B34</f>
        <v/>
      </c>
    </row>
    <row r="52" ht="15.75" customHeight="1" s="41">
      <c r="A52" s="22" t="inlineStr">
        <is>
          <t>Score Qualidade</t>
        </is>
      </c>
      <c r="B52" s="24">
        <f>B45</f>
        <v/>
      </c>
    </row>
    <row r="53" ht="15.75" customHeight="1" s="41"/>
    <row r="54" ht="15.75" customHeight="1" s="41">
      <c r="A54" s="26" t="inlineStr">
        <is>
          <t>SCORE GERAL DE MATURIDADE</t>
        </is>
      </c>
      <c r="B54" s="27">
        <f>IFERROR(AVERAGE(B49:B52),0)</f>
        <v/>
      </c>
    </row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1">
    <mergeCell ref="A1:H1"/>
  </mergeCells>
  <conditionalFormatting sqref="B9">
    <cfRule type="cellIs" priority="2" operator="lessThan" dxfId="2">
      <formula>26</formula>
    </cfRule>
    <cfRule type="cellIs" priority="3" operator="between" dxfId="1">
      <formula>26</formula>
      <formula>75</formula>
    </cfRule>
    <cfRule type="cellIs" priority="4" operator="greaterThanOrEqual" dxfId="0">
      <formula>76</formula>
    </cfRule>
  </conditionalFormatting>
  <conditionalFormatting sqref="B23">
    <cfRule type="cellIs" priority="5" operator="lessThan" dxfId="2">
      <formula>26</formula>
    </cfRule>
    <cfRule type="cellIs" priority="6" operator="between" dxfId="1">
      <formula>26</formula>
      <formula>75</formula>
    </cfRule>
    <cfRule type="cellIs" priority="7" operator="greaterThanOrEqual" dxfId="0">
      <formula>76</formula>
    </cfRule>
  </conditionalFormatting>
  <conditionalFormatting sqref="B34">
    <cfRule type="cellIs" priority="8" operator="lessThan" dxfId="2">
      <formula>26</formula>
    </cfRule>
    <cfRule type="cellIs" priority="9" operator="between" dxfId="1">
      <formula>26</formula>
      <formula>75</formula>
    </cfRule>
    <cfRule type="cellIs" priority="10" operator="greaterThanOrEqual" dxfId="0">
      <formula>76</formula>
    </cfRule>
  </conditionalFormatting>
  <conditionalFormatting sqref="B45">
    <cfRule type="cellIs" priority="11" operator="lessThan" dxfId="2">
      <formula>26</formula>
    </cfRule>
    <cfRule type="cellIs" priority="12" operator="between" dxfId="1">
      <formula>26</formula>
      <formula>75</formula>
    </cfRule>
    <cfRule type="cellIs" priority="13" operator="greaterThanOrEqual" dxfId="0">
      <formula>76</formula>
    </cfRule>
  </conditionalFormatting>
  <conditionalFormatting sqref="B48:B52">
    <cfRule type="cellIs" priority="14" operator="lessThan" dxfId="2">
      <formula>26</formula>
    </cfRule>
    <cfRule type="cellIs" priority="15" operator="between" dxfId="1">
      <formula>26</formula>
      <formula>75</formula>
    </cfRule>
    <cfRule type="cellIs" priority="16" operator="greaterThanOrEqual" dxfId="0">
      <formula>76</formula>
    </cfRule>
  </conditionalFormatting>
  <conditionalFormatting sqref="B54">
    <cfRule type="cellIs" priority="29" operator="lessThan" dxfId="2">
      <formula>26</formula>
    </cfRule>
    <cfRule type="cellIs" priority="30" operator="between" dxfId="1">
      <formula>26</formula>
      <formula>75</formula>
    </cfRule>
    <cfRule type="cellIs" priority="31" operator="greaterThanOrEqual" dxfId="0">
      <formula>76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A1" sqref="A1"/>
    </sheetView>
  </sheetViews>
  <sheetFormatPr baseColWidth="8" defaultColWidth="14.42578125" defaultRowHeight="15"/>
  <cols>
    <col width="24" customWidth="1" style="41" min="1" max="1"/>
    <col width="48" customWidth="1" style="41" min="2" max="2"/>
    <col width="18" customWidth="1" style="41" min="3" max="4"/>
    <col width="55" customWidth="1" style="41" min="5" max="5"/>
    <col width="28" customWidth="1" style="41" min="6" max="6"/>
    <col width="8.7109375" customWidth="1" style="41" min="7" max="26"/>
  </cols>
  <sheetData>
    <row r="1" ht="17.45" customHeight="1" s="41">
      <c r="A1" s="40" t="inlineStr">
        <is>
          <t>CRITÉRIOS E REGRAS DE PREENCHIMENTO</t>
        </is>
      </c>
    </row>
    <row r="3" ht="15" customHeight="1" s="41">
      <c r="A3" s="28" t="inlineStr">
        <is>
          <t>Campo</t>
        </is>
      </c>
      <c r="B3" s="28" t="inlineStr">
        <is>
          <t>O que registrar</t>
        </is>
      </c>
      <c r="C3" s="28" t="inlineStr">
        <is>
          <t>Tipo</t>
        </is>
      </c>
      <c r="D3" s="28" t="inlineStr">
        <is>
          <t>Obrigatório?</t>
        </is>
      </c>
      <c r="E3" s="28" t="inlineStr">
        <is>
          <t>Regra</t>
        </is>
      </c>
      <c r="F3" s="28" t="inlineStr">
        <is>
          <t>Exemplo</t>
        </is>
      </c>
    </row>
    <row r="4" ht="15" customHeight="1" s="41">
      <c r="A4" s="4" t="inlineStr">
        <is>
          <t>Data da avaliação</t>
        </is>
      </c>
      <c r="B4" s="4" t="inlineStr">
        <is>
          <t>Data em que a análise foi realizada.</t>
        </is>
      </c>
      <c r="C4" s="4" t="inlineStr">
        <is>
          <t>Data</t>
        </is>
      </c>
      <c r="D4" s="4" t="inlineStr">
        <is>
          <t>Sim</t>
        </is>
      </c>
      <c r="E4" s="4" t="inlineStr">
        <is>
          <t>Usar dd/mm/aaaa.</t>
        </is>
      </c>
      <c r="F4" s="4" t="inlineStr">
        <is>
          <t>11/08/2026</t>
        </is>
      </c>
    </row>
    <row r="5" ht="15" customHeight="1" s="41">
      <c r="A5" s="4" t="inlineStr">
        <is>
          <t>Operação</t>
        </is>
      </c>
      <c r="B5" s="4" t="inlineStr">
        <is>
          <t>Nome da operação analisada.</t>
        </is>
      </c>
      <c r="C5" s="4" t="inlineStr">
        <is>
          <t>Texto</t>
        </is>
      </c>
      <c r="D5" s="4" t="inlineStr">
        <is>
          <t>Sim</t>
        </is>
      </c>
      <c r="E5" s="4" t="inlineStr">
        <is>
          <t>Padronizar nomenclatura.</t>
        </is>
      </c>
      <c r="F5" s="4" t="inlineStr">
        <is>
          <t>Operação A</t>
        </is>
      </c>
    </row>
    <row r="6" ht="15" customHeight="1" s="41">
      <c r="A6" s="4" t="inlineStr">
        <is>
          <t>Processo avaliado</t>
        </is>
      </c>
      <c r="B6" s="4" t="inlineStr">
        <is>
          <t>Processo ao qual a documentação pertence.</t>
        </is>
      </c>
      <c r="C6" s="4" t="inlineStr">
        <is>
          <t>Texto</t>
        </is>
      </c>
      <c r="D6" s="4" t="inlineStr">
        <is>
          <t>Sim</t>
        </is>
      </c>
      <c r="E6" s="4" t="inlineStr">
        <is>
          <t>Um processo pode ter vários documentos.</t>
        </is>
      </c>
      <c r="F6" s="4" t="inlineStr">
        <is>
          <t>Admissão</t>
        </is>
      </c>
    </row>
    <row r="7" ht="15" customHeight="1" s="41">
      <c r="A7" s="4" t="inlineStr">
        <is>
          <t>Documentação</t>
        </is>
      </c>
      <c r="B7" s="4" t="inlineStr">
        <is>
          <t>Nome do documento analisado.</t>
        </is>
      </c>
      <c r="C7" s="4" t="inlineStr">
        <is>
          <t>Texto</t>
        </is>
      </c>
      <c r="D7" s="4" t="inlineStr">
        <is>
          <t>Sim</t>
        </is>
      </c>
      <c r="E7" s="4" t="inlineStr">
        <is>
          <t>Uma linha por documento.</t>
        </is>
      </c>
      <c r="F7" s="4" t="inlineStr">
        <is>
          <t>POP - Admissão</t>
        </is>
      </c>
    </row>
    <row r="8" ht="28.35" customHeight="1" s="41">
      <c r="A8" s="4" t="inlineStr">
        <is>
          <t>Quantidade</t>
        </is>
      </c>
      <c r="B8" s="4" t="inlineStr">
        <is>
          <t>Quantidade/volumetria relacionada ao processo ou documentação.</t>
        </is>
      </c>
      <c r="C8" s="4" t="inlineStr">
        <is>
          <t>Número</t>
        </is>
      </c>
      <c r="D8" s="4" t="inlineStr">
        <is>
          <t>Sim</t>
        </is>
      </c>
      <c r="E8" s="4" t="inlineStr">
        <is>
          <t>Use para análises de cobertura e ponderação futura.</t>
        </is>
      </c>
      <c r="F8" s="4" t="inlineStr">
        <is>
          <t>3</t>
        </is>
      </c>
    </row>
    <row r="9" ht="28.35" customHeight="1" s="41">
      <c r="A9" s="4" t="inlineStr">
        <is>
          <t>Existência</t>
        </is>
      </c>
      <c r="B9" s="4" t="inlineStr">
        <is>
          <t>Se existe documentação suficiente para a necessidade avaliada.</t>
        </is>
      </c>
      <c r="C9" s="4" t="inlineStr">
        <is>
          <t>SIM/NÃO</t>
        </is>
      </c>
      <c r="D9" s="4" t="inlineStr">
        <is>
          <t>Sim</t>
        </is>
      </c>
      <c r="E9" s="4" t="inlineStr">
        <is>
          <t>SIM = existe; NÃO = não existe.</t>
        </is>
      </c>
      <c r="F9" s="4" t="inlineStr">
        <is>
          <t>SIM</t>
        </is>
      </c>
    </row>
    <row r="10" ht="15" customHeight="1" s="41">
      <c r="A10" s="4" t="inlineStr">
        <is>
          <t>Atualização</t>
        </is>
      </c>
      <c r="B10" s="4" t="inlineStr">
        <is>
          <t>Se a documentação está vigente/atualizada.</t>
        </is>
      </c>
      <c r="C10" s="4" t="inlineStr">
        <is>
          <t>SIM/NÃO</t>
        </is>
      </c>
      <c r="D10" s="4" t="inlineStr">
        <is>
          <t>Sim</t>
        </is>
      </c>
      <c r="E10" s="4" t="inlineStr">
        <is>
          <t>Avaliar conforme periodicidade ou necessidade definida.</t>
        </is>
      </c>
      <c r="F10" s="4" t="inlineStr">
        <is>
          <t>SIM</t>
        </is>
      </c>
    </row>
    <row r="11" ht="15" customHeight="1" s="41">
      <c r="A11" s="4" t="inlineStr">
        <is>
          <t>Última atualização</t>
        </is>
      </c>
      <c r="B11" s="4" t="inlineStr">
        <is>
          <t>Data da última revisão/atualização conhecida.</t>
        </is>
      </c>
      <c r="C11" s="4" t="inlineStr">
        <is>
          <t>Data</t>
        </is>
      </c>
      <c r="D11" s="4" t="inlineStr">
        <is>
          <t>Quando houver</t>
        </is>
      </c>
      <c r="E11" s="4" t="inlineStr">
        <is>
          <t>Se não houver registro, deixar em branco e avaliar Atualização.</t>
        </is>
      </c>
      <c r="F11" s="4" t="inlineStr">
        <is>
          <t>05/06/2026</t>
        </is>
      </c>
    </row>
    <row r="12" ht="28.35" customHeight="1" s="41">
      <c r="A12" s="4" t="inlineStr">
        <is>
          <t>No padrão?</t>
        </is>
      </c>
      <c r="B12" s="4" t="inlineStr">
        <is>
          <t>Se atende ao padrão documental definido pela empresa.</t>
        </is>
      </c>
      <c r="C12" s="4" t="inlineStr">
        <is>
          <t>SIM/NÃO</t>
        </is>
      </c>
      <c r="D12" s="4" t="inlineStr">
        <is>
          <t>Sim</t>
        </is>
      </c>
      <c r="E12" s="4" t="inlineStr">
        <is>
          <t>Considerar template, identificação, aprovação, versionamento etc.</t>
        </is>
      </c>
      <c r="F12" s="4" t="inlineStr">
        <is>
          <t>NÃO</t>
        </is>
      </c>
    </row>
    <row r="13" ht="15" customHeight="1" s="41">
      <c r="A13" s="4" t="inlineStr">
        <is>
          <t>Score Documentação</t>
        </is>
      </c>
      <c r="B13" s="4" t="inlineStr">
        <is>
          <t>Resultado automático.</t>
        </is>
      </c>
      <c r="C13" s="4" t="inlineStr">
        <is>
          <t>Fórmula</t>
        </is>
      </c>
      <c r="D13" s="4" t="inlineStr">
        <is>
          <t>Automático</t>
        </is>
      </c>
      <c r="E13" s="4" t="inlineStr">
        <is>
          <t>Média de Existência, Atualização e Padrão × 100.</t>
        </is>
      </c>
      <c r="F13" s="4" t="inlineStr">
        <is>
          <t>67</t>
        </is>
      </c>
    </row>
    <row r="14" ht="28.35" customHeight="1" s="41">
      <c r="A14" s="42" t="inlineStr">
        <is>
          <t>Conforme?</t>
        </is>
      </c>
      <c r="B14" s="42" t="inlineStr">
        <is>
          <t>Não Conformidade Grave, Não Conformidade Pontual , Conformidade</t>
        </is>
      </c>
      <c r="C14" s="42" t="n"/>
      <c r="D14" s="42" t="n"/>
      <c r="E14" s="42" t="n"/>
      <c r="F14" s="42" t="n"/>
    </row>
    <row r="15" ht="15" customHeight="1" s="41">
      <c r="A15" s="42" t="inlineStr">
        <is>
          <t>Observação</t>
        </is>
      </c>
      <c r="B15" s="42" t="inlineStr">
        <is>
          <t>Texto livre para definir especificidades</t>
        </is>
      </c>
      <c r="C15" s="42" t="inlineStr">
        <is>
          <t>Texto</t>
        </is>
      </c>
      <c r="D15" s="42" t="inlineStr">
        <is>
          <t>Sim</t>
        </is>
      </c>
    </row>
    <row r="17" ht="19.5" customHeight="1" s="41">
      <c r="A17" s="44" t="inlineStr">
        <is>
          <t>INDICADORES</t>
        </is>
      </c>
    </row>
    <row r="18" ht="15" customHeight="1" s="41">
      <c r="A18" s="29" t="inlineStr">
        <is>
          <t>Nome_Indicador</t>
        </is>
      </c>
      <c r="B18" s="29" t="inlineStr">
        <is>
          <t>Nome do indicador avaliado.</t>
        </is>
      </c>
      <c r="C18" s="29" t="inlineStr">
        <is>
          <t>Texto</t>
        </is>
      </c>
      <c r="D18" s="29" t="inlineStr">
        <is>
          <t>Sim</t>
        </is>
      </c>
      <c r="E18" s="29" t="inlineStr">
        <is>
          <t>Um indicador por linha.</t>
        </is>
      </c>
      <c r="F18" s="29" t="inlineStr">
        <is>
          <t>Taxa de Absenteísmo</t>
        </is>
      </c>
    </row>
    <row r="19" ht="28.35" customHeight="1" s="41">
      <c r="A19" s="29" t="inlineStr">
        <is>
          <t>Existe indicador?</t>
        </is>
      </c>
      <c r="B19" s="29" t="inlineStr">
        <is>
          <t>Se existe indicador formalizado para o processo/área avaliada.</t>
        </is>
      </c>
      <c r="C19" s="29" t="inlineStr">
        <is>
          <t>SIM/NÃO</t>
        </is>
      </c>
      <c r="D19" s="29" t="inlineStr">
        <is>
          <t>Sim</t>
        </is>
      </c>
      <c r="E19" s="29" t="inlineStr">
        <is>
          <t>SIM = existe; NÃO = não existe.</t>
        </is>
      </c>
      <c r="F19" s="29" t="inlineStr">
        <is>
          <t>SIM</t>
        </is>
      </c>
    </row>
    <row r="20" ht="41.85" customHeight="1" s="41">
      <c r="A20" s="29" t="inlineStr">
        <is>
          <t>Como é atualizado?</t>
        </is>
      </c>
      <c r="B20" s="29" t="inlineStr">
        <is>
          <t>Forma como o indicador é atualizado.</t>
        </is>
      </c>
      <c r="C20" s="29" t="inlineStr">
        <is>
          <t>Lista</t>
        </is>
      </c>
      <c r="D20" s="29" t="inlineStr">
        <is>
          <t>Sim</t>
        </is>
      </c>
      <c r="E20" s="29" t="inlineStr">
        <is>
          <t>Automático = atualização via sistema/BI; Manual = planilha/atualização manual; Não atualizado = sem rotina de atualização.</t>
        </is>
      </c>
      <c r="F20" s="29" t="inlineStr">
        <is>
          <t>Automático</t>
        </is>
      </c>
    </row>
    <row r="21" ht="15.75" customHeight="1" s="41">
      <c r="A21" s="29" t="inlineStr">
        <is>
          <t>No padrão?</t>
        </is>
      </c>
      <c r="B21" s="29" t="inlineStr">
        <is>
          <t>Se o indicador segue o padrão definido (meta, periodicidade, dono, fórmula documentada).</t>
        </is>
      </c>
      <c r="C21" s="29" t="inlineStr">
        <is>
          <t>SIM/NÃO</t>
        </is>
      </c>
      <c r="D21" s="29" t="inlineStr">
        <is>
          <t>Sim</t>
        </is>
      </c>
      <c r="E21" s="29" t="inlineStr">
        <is>
          <t>Considerar meta, periodicidade e responsável definidos.</t>
        </is>
      </c>
      <c r="F21" s="29" t="inlineStr">
        <is>
          <t>SIM</t>
        </is>
      </c>
    </row>
    <row r="22" ht="15.75" customHeight="1" s="41">
      <c r="A22" s="29" t="inlineStr">
        <is>
          <t>Score Indicadores</t>
        </is>
      </c>
      <c r="B22" s="29" t="inlineStr">
        <is>
          <t>Resultado automático.</t>
        </is>
      </c>
      <c r="C22" s="29" t="inlineStr">
        <is>
          <t>Fórmula</t>
        </is>
      </c>
      <c r="D22" s="29" t="inlineStr">
        <is>
          <t>Automático</t>
        </is>
      </c>
      <c r="E22" s="29" t="inlineStr">
        <is>
          <t>Média de Existência, Atualização, Padrão e Conformidade × 100.</t>
        </is>
      </c>
      <c r="F22" s="29" t="inlineStr">
        <is>
          <t>75</t>
        </is>
      </c>
    </row>
    <row r="23" ht="15.75" customHeight="1" s="41"/>
    <row r="24" ht="19.5" customHeight="1" s="41">
      <c r="A24" s="44" t="inlineStr">
        <is>
          <t>TREINAMENTO</t>
        </is>
      </c>
    </row>
    <row r="25" ht="15.75" customHeight="1" s="41">
      <c r="A25" s="29" t="inlineStr">
        <is>
          <t>Nome_Treinamento</t>
        </is>
      </c>
      <c r="B25" s="29" t="inlineStr">
        <is>
          <t>Nome do treinamento avaliado.</t>
        </is>
      </c>
      <c r="C25" s="29" t="inlineStr">
        <is>
          <t>Texto</t>
        </is>
      </c>
      <c r="D25" s="29" t="inlineStr">
        <is>
          <t>Sim</t>
        </is>
      </c>
      <c r="E25" s="29" t="inlineStr">
        <is>
          <t>Um treinamento por linha.</t>
        </is>
      </c>
      <c r="F25" s="29" t="inlineStr">
        <is>
          <t>Treinamento - Admissão</t>
        </is>
      </c>
    </row>
    <row r="26" ht="15.75" customHeight="1" s="41">
      <c r="A26" s="29" t="inlineStr">
        <is>
          <t>Treinamento está coerente aos documentos?</t>
        </is>
      </c>
      <c r="B26" s="29" t="inlineStr">
        <is>
          <t>Se o conteúdo do treinamento reflete o que está documentado (POP/Política).</t>
        </is>
      </c>
      <c r="C26" s="29" t="inlineStr">
        <is>
          <t>SIM/NÃO</t>
        </is>
      </c>
      <c r="D26" s="29" t="inlineStr">
        <is>
          <t>Sim</t>
        </is>
      </c>
      <c r="E26" s="29" t="inlineStr">
        <is>
          <t>Comparar treinamento vigente com a documentação vigente.</t>
        </is>
      </c>
      <c r="F26" s="29" t="inlineStr">
        <is>
          <t>SIM</t>
        </is>
      </c>
    </row>
    <row r="27" ht="15.75" customHeight="1" s="41">
      <c r="A27" s="29" t="inlineStr">
        <is>
          <t>Treinamento foi aplicado?</t>
        </is>
      </c>
      <c r="B27" s="29" t="inlineStr">
        <is>
          <t>Se o treinamento foi de fato aplicado ao time.</t>
        </is>
      </c>
      <c r="C27" s="29" t="inlineStr">
        <is>
          <t>SIM/NÃO</t>
        </is>
      </c>
      <c r="D27" s="29" t="inlineStr">
        <is>
          <t>Sim</t>
        </is>
      </c>
      <c r="E27" s="29" t="inlineStr">
        <is>
          <t>Considerar evidência de aplicação (lista de presença, LMS etc.).</t>
        </is>
      </c>
      <c r="F27" s="29" t="inlineStr">
        <is>
          <t>SIM</t>
        </is>
      </c>
    </row>
    <row r="28" ht="15.75" customHeight="1" s="41">
      <c r="A28" s="29" t="inlineStr">
        <is>
          <t>Houve atualização?</t>
        </is>
      </c>
      <c r="B28" s="29" t="inlineStr">
        <is>
          <t>Se o treinamento foi atualizado após a última mudança no processo/documento.</t>
        </is>
      </c>
      <c r="C28" s="29" t="inlineStr">
        <is>
          <t>SIM/NÃO</t>
        </is>
      </c>
      <c r="D28" s="29" t="inlineStr">
        <is>
          <t>Sim</t>
        </is>
      </c>
      <c r="E28" s="29" t="inlineStr">
        <is>
          <t>SIM = atualizado após última mudança; NÃO = desatualizado.</t>
        </is>
      </c>
      <c r="F28" s="29" t="inlineStr">
        <is>
          <t>NÃO</t>
        </is>
      </c>
    </row>
    <row r="29" ht="15.75" customHeight="1" s="41">
      <c r="A29" s="29" t="inlineStr">
        <is>
          <t>Score Treinamento</t>
        </is>
      </c>
      <c r="B29" s="29" t="inlineStr">
        <is>
          <t>Resultado automático.</t>
        </is>
      </c>
      <c r="C29" s="29" t="inlineStr">
        <is>
          <t>Fórmula</t>
        </is>
      </c>
      <c r="D29" s="29" t="inlineStr">
        <is>
          <t>Automático</t>
        </is>
      </c>
      <c r="E29" s="29" t="inlineStr">
        <is>
          <t>Média de Coerência, Aplicação, Atualização e Conformidade × 100.</t>
        </is>
      </c>
      <c r="F29" s="29" t="inlineStr">
        <is>
          <t>75</t>
        </is>
      </c>
    </row>
    <row r="30" ht="15.75" customHeight="1" s="41"/>
    <row r="31" ht="19.5" customHeight="1" s="41">
      <c r="A31" s="44" t="inlineStr">
        <is>
          <t>QUALIDADE</t>
        </is>
      </c>
    </row>
    <row r="32" ht="15.75" customHeight="1" s="41">
      <c r="A32" s="29" t="inlineStr">
        <is>
          <t>Processo Monitorado</t>
        </is>
      </c>
      <c r="B32" s="29" t="inlineStr">
        <is>
          <t>Nome do processo objeto da monitoria de qualidade.</t>
        </is>
      </c>
      <c r="C32" s="29" t="inlineStr">
        <is>
          <t>Texto</t>
        </is>
      </c>
      <c r="D32" s="29" t="inlineStr">
        <is>
          <t>Sim</t>
        </is>
      </c>
      <c r="E32" s="29" t="inlineStr">
        <is>
          <t>Uma linha por processo monitorado.</t>
        </is>
      </c>
      <c r="F32" s="29" t="inlineStr">
        <is>
          <t>Admissão</t>
        </is>
      </c>
    </row>
    <row r="33" ht="15.75" customHeight="1" s="41">
      <c r="A33" s="29" t="inlineStr">
        <is>
          <t>Foram feitas monitorias de qualidade?</t>
        </is>
      </c>
      <c r="B33" s="29" t="inlineStr">
        <is>
          <t>Se existe rotina de monitoria de qualidade para o processo.</t>
        </is>
      </c>
      <c r="C33" s="29" t="inlineStr">
        <is>
          <t>SIM/NÃO</t>
        </is>
      </c>
      <c r="D33" s="29" t="inlineStr">
        <is>
          <t>Sim</t>
        </is>
      </c>
      <c r="E33" s="29" t="inlineStr">
        <is>
          <t>SIM = existe monitoria; NÃO = não existe.</t>
        </is>
      </c>
      <c r="F33" s="29" t="inlineStr">
        <is>
          <t>SIM</t>
        </is>
      </c>
    </row>
    <row r="34" ht="15.75" customHeight="1" s="41">
      <c r="A34" s="29" t="inlineStr">
        <is>
          <t>Como são feitas as monitorias?</t>
        </is>
      </c>
      <c r="B34" s="29" t="inlineStr">
        <is>
          <t>Abrangência da monitoria realizada.</t>
        </is>
      </c>
      <c r="C34" s="29" t="inlineStr">
        <is>
          <t>Lista</t>
        </is>
      </c>
      <c r="D34" s="29" t="inlineStr">
        <is>
          <t>Sim</t>
        </is>
      </c>
      <c r="E34" s="29" t="inlineStr">
        <is>
          <t>Integral = 100% dos casos; Amostral = por amostragem; Não realizada = sem monitoria.</t>
        </is>
      </c>
      <c r="F34" s="29" t="inlineStr">
        <is>
          <t>Amostral</t>
        </is>
      </c>
    </row>
    <row r="35" ht="15.75" customHeight="1" s="41">
      <c r="A35" s="29" t="inlineStr">
        <is>
          <t>Score Qualidade</t>
        </is>
      </c>
      <c r="B35" s="29" t="inlineStr">
        <is>
          <t>Resultado automático.</t>
        </is>
      </c>
      <c r="C35" s="29" t="inlineStr">
        <is>
          <t>Fórmula</t>
        </is>
      </c>
      <c r="D35" s="29" t="inlineStr">
        <is>
          <t>Automático</t>
        </is>
      </c>
      <c r="E35" s="29" t="inlineStr">
        <is>
          <t>Média de Existência, Abrangência e Conformidade × 100.</t>
        </is>
      </c>
      <c r="F35" s="29" t="inlineStr">
        <is>
          <t>75</t>
        </is>
      </c>
    </row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4">
    <mergeCell ref="A24:F24"/>
    <mergeCell ref="A31:F31"/>
    <mergeCell ref="A1:F1"/>
    <mergeCell ref="A17:F17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zoomScaleNormal="100" workbookViewId="0">
      <selection activeCell="A1" sqref="A1"/>
    </sheetView>
  </sheetViews>
  <sheetFormatPr baseColWidth="8" defaultColWidth="14.42578125" defaultRowHeight="15"/>
  <cols>
    <col width="20" customWidth="1" style="41" min="1" max="1"/>
    <col width="30" customWidth="1" style="41" min="2" max="2"/>
    <col width="25" customWidth="1" style="41" min="3" max="3"/>
    <col width="18" customWidth="1" style="41" min="4" max="4"/>
    <col width="25" customWidth="1" style="41" min="5" max="5"/>
    <col width="20" customWidth="1" style="41" min="6" max="6"/>
    <col width="55" customWidth="1" style="41" min="7" max="7"/>
    <col width="8.7109375" customWidth="1" style="41" min="8" max="26"/>
  </cols>
  <sheetData>
    <row r="1" ht="17.45" customHeight="1" s="41">
      <c r="A1" s="40" t="inlineStr">
        <is>
          <t>MODELO DE SCORE — BASE PARA EVOLUÇÃO DA MATURIDADE</t>
        </is>
      </c>
    </row>
    <row r="3" ht="15" customHeight="1" s="41">
      <c r="A3" s="28" t="inlineStr">
        <is>
          <t>Dimensão</t>
        </is>
      </c>
      <c r="B3" s="28" t="inlineStr">
        <is>
          <t>Indicador</t>
        </is>
      </c>
      <c r="C3" s="28" t="inlineStr">
        <is>
          <t>Pontuação atual</t>
        </is>
      </c>
      <c r="D3" s="28" t="inlineStr">
        <is>
          <t>Peso sugerido</t>
        </is>
      </c>
      <c r="E3" s="28" t="inlineStr">
        <is>
          <t>Score ponderado</t>
        </is>
      </c>
      <c r="F3" s="28" t="inlineStr">
        <is>
          <t>Fonte</t>
        </is>
      </c>
      <c r="G3" s="28" t="inlineStr">
        <is>
          <t>Observação</t>
        </is>
      </c>
    </row>
    <row r="4" ht="15" customHeight="1" s="41">
      <c r="A4" s="4" t="inlineStr">
        <is>
          <t>Existência</t>
        </is>
      </c>
      <c r="B4" s="4" t="inlineStr">
        <is>
          <t>Existe documentação?</t>
        </is>
      </c>
      <c r="C4" s="4" t="inlineStr">
        <is>
          <t>1 = SIM / 0 = NÃO</t>
        </is>
      </c>
      <c r="D4" s="4" t="n">
        <v>0.3333</v>
      </c>
      <c r="E4" s="4">
        <f>IFERROR(COUNTIF(Avaliação!G2:G7,"SIM")/COUNTA(Avaliação!G2:G7)*D4,0)</f>
        <v/>
      </c>
      <c r="F4" s="4" t="inlineStr">
        <is>
          <t>Avaliação</t>
        </is>
      </c>
      <c r="G4" s="4" t="inlineStr">
        <is>
          <t>Pode ser refinado para medir cobertura do processo.</t>
        </is>
      </c>
    </row>
    <row r="5" ht="15" customHeight="1" s="41">
      <c r="A5" s="4" t="inlineStr">
        <is>
          <t>Atualização</t>
        </is>
      </c>
      <c r="B5" s="4" t="inlineStr">
        <is>
          <t>Está atualizado?</t>
        </is>
      </c>
      <c r="C5" s="4" t="inlineStr">
        <is>
          <t>1 = SIM / 0 = NÃO</t>
        </is>
      </c>
      <c r="D5" s="4" t="n">
        <v>0.3333</v>
      </c>
      <c r="E5" s="4">
        <f>IFERROR(COUNTIF(Avaliação!H2:H7,"SIM")/COUNTA(Avaliação!H2:H7)*D5,0)</f>
        <v/>
      </c>
      <c r="F5" s="4" t="inlineStr">
        <is>
          <t>Avaliação</t>
        </is>
      </c>
      <c r="G5" s="4" t="inlineStr">
        <is>
          <t>Pode incorporar faixas por idade da revisão.</t>
        </is>
      </c>
    </row>
    <row r="6" ht="15" customHeight="1" s="41">
      <c r="A6" s="4" t="inlineStr">
        <is>
          <t>Padrão</t>
        </is>
      </c>
      <c r="B6" s="4" t="inlineStr">
        <is>
          <t>Está no padrão?</t>
        </is>
      </c>
      <c r="C6" s="4" t="inlineStr">
        <is>
          <t>1 = SIM / 0 = NÃO</t>
        </is>
      </c>
      <c r="D6" s="4" t="n">
        <v>0.3334</v>
      </c>
      <c r="E6" s="4">
        <f>IFERROR(COUNTIF(Avaliação!J2:J7,"SIM")/COUNTA(Avaliação!J2:J7)*D6,0)</f>
        <v/>
      </c>
      <c r="F6" s="4" t="inlineStr">
        <is>
          <t>Avaliação</t>
        </is>
      </c>
      <c r="G6" s="4" t="inlineStr">
        <is>
          <t>Pode evoluir para checklist de conformidade.</t>
        </is>
      </c>
    </row>
    <row r="7" ht="28.35" customHeight="1" s="41">
      <c r="A7" s="4" t="inlineStr">
        <is>
          <t>Volumetria</t>
        </is>
      </c>
      <c r="B7" s="4" t="inlineStr">
        <is>
          <t>Quantidade</t>
        </is>
      </c>
      <c r="C7" s="4" t="inlineStr">
        <is>
          <t>Valor registrado</t>
        </is>
      </c>
      <c r="D7" s="4" t="n"/>
      <c r="E7" s="4" t="n"/>
      <c r="F7" s="4" t="inlineStr">
        <is>
          <t>Avaliação</t>
        </is>
      </c>
      <c r="G7" s="4" t="inlineStr">
        <is>
          <t>Não entra no score inicial; recomenda-se usar depois como peso de criticidade/cobertura.</t>
        </is>
      </c>
    </row>
    <row r="8" ht="15" customHeight="1" s="41">
      <c r="E8" s="30" t="inlineStr">
        <is>
          <t>Score consolidado</t>
        </is>
      </c>
      <c r="F8" s="31">
        <f>SUM(E4:E6)*100</f>
        <v/>
      </c>
    </row>
    <row r="10" ht="19.5" customHeight="1" s="41">
      <c r="A10" s="44" t="inlineStr">
        <is>
          <t>INDICADORES — PESO 1/4 DO SCORE GERAL</t>
        </is>
      </c>
    </row>
    <row r="11" ht="15" customHeight="1" s="41">
      <c r="A11" s="29" t="inlineStr">
        <is>
          <t>Existência</t>
        </is>
      </c>
      <c r="B11" s="29" t="inlineStr">
        <is>
          <t>Existe indicador?</t>
        </is>
      </c>
      <c r="C11" s="29" t="inlineStr">
        <is>
          <t>1 = SIM / 0 = NÃO</t>
        </is>
      </c>
      <c r="D11" s="32" t="n">
        <v>0.3333</v>
      </c>
      <c r="E11" s="29">
        <f>IFERROR(COUNTIF(Indicadores!G2:G201,"SIM")/COUNTA(Indicadores!G2:G201)*D11,0)</f>
        <v/>
      </c>
      <c r="F11" s="29" t="inlineStr">
        <is>
          <t>Avaliação</t>
        </is>
      </c>
      <c r="G11" s="29" t="inlineStr">
        <is>
          <t>Indicador formalizado para o processo/área.</t>
        </is>
      </c>
    </row>
    <row r="12" ht="41.85" customHeight="1" s="41">
      <c r="A12" s="29" t="inlineStr">
        <is>
          <t>Atualização</t>
        </is>
      </c>
      <c r="B12" s="29" t="inlineStr">
        <is>
          <t>Como é atualizado?</t>
        </is>
      </c>
      <c r="C12" s="29" t="inlineStr">
        <is>
          <t>1=Automático / 0,5=Manual / 0=Não atualizado</t>
        </is>
      </c>
      <c r="D12" s="32" t="n">
        <v>0.3333</v>
      </c>
      <c r="E12" s="29">
        <f>IFERROR((COUNTIF(Indicadores!H2:H201,"Automático")+COUNTIF(Indicadores!H2:H201,"Manual")*0.5)/COUNTA(Indicadores!H2:H201)*D12,0)</f>
        <v/>
      </c>
      <c r="F12" s="29" t="inlineStr">
        <is>
          <t>Avaliação</t>
        </is>
      </c>
      <c r="G12" s="29" t="inlineStr">
        <is>
          <t>Automação da atualização eleva a maturidade.</t>
        </is>
      </c>
    </row>
    <row r="13" ht="15" customHeight="1" s="41">
      <c r="A13" s="29" t="inlineStr">
        <is>
          <t>Padrão</t>
        </is>
      </c>
      <c r="B13" s="29" t="inlineStr">
        <is>
          <t>Está no padrão?</t>
        </is>
      </c>
      <c r="C13" s="29" t="inlineStr">
        <is>
          <t>1 = SIM / 0 = NÃO</t>
        </is>
      </c>
      <c r="D13" s="32" t="n">
        <v>0.3334</v>
      </c>
      <c r="E13" s="29">
        <f>IFERROR(COUNTIF(Indicadores!I2:I201,"SIM")/COUNTA(Indicadores!I2:I201)*D13,0)</f>
        <v/>
      </c>
      <c r="F13" s="29" t="inlineStr">
        <is>
          <t>Avaliação</t>
        </is>
      </c>
      <c r="G13" s="29" t="inlineStr">
        <is>
          <t>Meta, periodicidade e dono definidos.</t>
        </is>
      </c>
    </row>
    <row r="14" ht="15" customHeight="1" s="41">
      <c r="E14" s="44" t="inlineStr">
        <is>
          <t>Score consolidado</t>
        </is>
      </c>
      <c r="F14" s="33">
        <f>SUM(E11:E13)*100</f>
        <v/>
      </c>
    </row>
    <row r="16" ht="19.5" customHeight="1" s="41">
      <c r="A16" s="44" t="inlineStr">
        <is>
          <t>TREINAMENTO — PESO 1/4 DO SCORE GERAL</t>
        </is>
      </c>
    </row>
    <row r="17" ht="28.35" customHeight="1" s="41">
      <c r="A17" s="29" t="inlineStr">
        <is>
          <t>Coerência</t>
        </is>
      </c>
      <c r="B17" s="29" t="inlineStr">
        <is>
          <t>Treinamento coerente aos documentos?</t>
        </is>
      </c>
      <c r="C17" s="29" t="inlineStr">
        <is>
          <t>1 = SIM / 0 = NÃO</t>
        </is>
      </c>
      <c r="D17" s="32" t="n">
        <v>0.3333</v>
      </c>
      <c r="E17" s="29">
        <f>IFERROR(COUNTIF(Treinamento!G2:G201,"SIM")/COUNTA(Treinamento!G2:G201)*D17,0)</f>
        <v/>
      </c>
      <c r="F17" s="29" t="inlineStr">
        <is>
          <t>Avaliação</t>
        </is>
      </c>
      <c r="G17" s="29" t="inlineStr">
        <is>
          <t>Conteúdo alinhado ao documento vigente.</t>
        </is>
      </c>
    </row>
    <row r="18" ht="15" customHeight="1" s="41">
      <c r="A18" s="29" t="inlineStr">
        <is>
          <t>Aplicação</t>
        </is>
      </c>
      <c r="B18" s="29" t="inlineStr">
        <is>
          <t>Treinamento foi aplicado?</t>
        </is>
      </c>
      <c r="C18" s="29" t="inlineStr">
        <is>
          <t>1 = SIM / 0 = NÃO</t>
        </is>
      </c>
      <c r="D18" s="32" t="n">
        <v>0.3333</v>
      </c>
      <c r="E18" s="29">
        <f>IFERROR(COUNTIF(Treinamento!H2:H201,"SIM")/COUNTA(Treinamento!H2:H201)*D18,0)</f>
        <v/>
      </c>
      <c r="F18" s="29" t="inlineStr">
        <is>
          <t>Avaliação</t>
        </is>
      </c>
      <c r="G18" s="29" t="inlineStr">
        <is>
          <t>Evidência de aplicação ao time.</t>
        </is>
      </c>
    </row>
    <row r="19" ht="15" customHeight="1" s="41">
      <c r="A19" s="29" t="inlineStr">
        <is>
          <t>Atualização</t>
        </is>
      </c>
      <c r="B19" s="29" t="inlineStr">
        <is>
          <t>Houve atualização?</t>
        </is>
      </c>
      <c r="C19" s="29" t="inlineStr">
        <is>
          <t>1 = SIM / 0 = NÃO</t>
        </is>
      </c>
      <c r="D19" s="32" t="n">
        <v>0.3334</v>
      </c>
      <c r="E19" s="29">
        <f>IFERROR(COUNTIF(Treinamento!I2:I201,"SIM")/COUNTA(Treinamento!I2:I201)*D19,0)</f>
        <v/>
      </c>
      <c r="F19" s="29" t="inlineStr">
        <is>
          <t>Avaliação</t>
        </is>
      </c>
      <c r="G19" s="29" t="inlineStr">
        <is>
          <t>Atualizado após última mudança no processo.</t>
        </is>
      </c>
    </row>
    <row r="20" ht="15" customHeight="1" s="41">
      <c r="E20" s="44" t="inlineStr">
        <is>
          <t>Score consolidado</t>
        </is>
      </c>
      <c r="F20" s="33">
        <f>SUM(E17:E19)*100</f>
        <v/>
      </c>
    </row>
    <row r="21" ht="15.75" customHeight="1" s="41"/>
    <row r="22" ht="19.5" customHeight="1" s="41">
      <c r="A22" s="44" t="inlineStr">
        <is>
          <t>QUALIDADE — PESO 1/4 DO SCORE GERAL</t>
        </is>
      </c>
    </row>
    <row r="23" ht="15.75" customHeight="1" s="41">
      <c r="A23" s="29" t="inlineStr">
        <is>
          <t>Existência</t>
        </is>
      </c>
      <c r="B23" s="29" t="inlineStr">
        <is>
          <t>Foram feitas monitorias de qualidade?</t>
        </is>
      </c>
      <c r="C23" s="29" t="inlineStr">
        <is>
          <t>1 = SIM / 0 = NÃO</t>
        </is>
      </c>
      <c r="D23" s="32" t="n">
        <v>0.5</v>
      </c>
      <c r="E23" s="29">
        <f>IFERROR(COUNTIF(Qualidade!G2:G201,"SIM")/COUNTA(Qualidade!G2:G201)*D23,0)</f>
        <v/>
      </c>
      <c r="F23" s="29" t="inlineStr">
        <is>
          <t>Avaliação</t>
        </is>
      </c>
      <c r="G23" s="29" t="inlineStr">
        <is>
          <t>Rotina de monitoria existente.</t>
        </is>
      </c>
    </row>
    <row r="24" ht="15.75" customHeight="1" s="41">
      <c r="A24" s="29" t="inlineStr">
        <is>
          <t>Abrangência</t>
        </is>
      </c>
      <c r="B24" s="29" t="inlineStr">
        <is>
          <t>Como são feitas as monitorias?</t>
        </is>
      </c>
      <c r="C24" s="29" t="inlineStr">
        <is>
          <t>1=Integral / 0,5=Amostral / 0=Não realizada</t>
        </is>
      </c>
      <c r="D24" s="32" t="n">
        <v>0.5</v>
      </c>
      <c r="E24" s="29">
        <f>IFERROR((COUNTIF(Qualidade!H2:H201,"Integral")+COUNTIF(Qualidade!H2:H201,"Amostral")*0.5)/COUNTA(Qualidade!H2:H201)*D24,0)</f>
        <v/>
      </c>
      <c r="F24" s="29" t="inlineStr">
        <is>
          <t>Avaliação</t>
        </is>
      </c>
      <c r="G24" s="29" t="inlineStr">
        <is>
          <t>Monitoria integral indica maior maturidade.</t>
        </is>
      </c>
    </row>
    <row r="25" ht="15.75" customHeight="1" s="41">
      <c r="E25" s="44" t="inlineStr">
        <is>
          <t>Score consolidado</t>
        </is>
      </c>
      <c r="F25" s="33">
        <f>SUM(E23:E24)*100</f>
        <v/>
      </c>
    </row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4">
    <mergeCell ref="A16:G16"/>
    <mergeCell ref="A22:G22"/>
    <mergeCell ref="A1:G1"/>
    <mergeCell ref="A10:G10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A1" sqref="A1"/>
    </sheetView>
  </sheetViews>
  <sheetFormatPr baseColWidth="8" defaultColWidth="14.42578125" defaultRowHeight="15"/>
  <cols>
    <col width="22" customWidth="1" style="41" min="1" max="1"/>
    <col width="28" customWidth="1" style="41" min="2" max="2"/>
    <col width="85" customWidth="1" style="41" min="3" max="3"/>
    <col width="15" customWidth="1" style="41" min="4" max="6"/>
    <col width="8.7109375" customWidth="1" style="41" min="7" max="26"/>
  </cols>
  <sheetData>
    <row r="1" ht="17.45" customHeight="1" s="41">
      <c r="A1" s="40" t="inlineStr">
        <is>
          <t>COMO UTILIZAR O FORMULÁRIO</t>
        </is>
      </c>
    </row>
    <row r="3" ht="15" customHeight="1" s="41">
      <c r="A3" s="4" t="inlineStr">
        <is>
          <t>1</t>
        </is>
      </c>
      <c r="B3" s="4" t="inlineStr">
        <is>
          <t>Defina a operação</t>
        </is>
      </c>
      <c r="C3" s="4" t="inlineStr">
        <is>
          <t>Informe a operação que será avaliada.</t>
        </is>
      </c>
    </row>
    <row r="4" ht="15" customHeight="1" s="41">
      <c r="A4" s="4" t="inlineStr">
        <is>
          <t>2</t>
        </is>
      </c>
      <c r="B4" s="4" t="inlineStr">
        <is>
          <t>Liste os processos</t>
        </is>
      </c>
      <c r="C4" s="4" t="inlineStr">
        <is>
          <t>Registre cada processo que será objeto da análise.</t>
        </is>
      </c>
    </row>
    <row r="5" ht="28.35" customHeight="1" s="41">
      <c r="A5" s="4" t="inlineStr">
        <is>
          <t>3</t>
        </is>
      </c>
      <c r="B5" s="4" t="inlineStr">
        <is>
          <t>Registre as documentações</t>
        </is>
      </c>
      <c r="C5" s="4" t="inlineStr">
        <is>
          <t>Para cada documento, use uma nova linha. Se um processo possuir 3 documentos, serão 3 linhas para o mesmo processo.</t>
        </is>
      </c>
    </row>
    <row r="6" ht="15" customHeight="1" s="41">
      <c r="A6" s="4" t="inlineStr">
        <is>
          <t>4</t>
        </is>
      </c>
      <c r="B6" s="4" t="inlineStr">
        <is>
          <t>Avalie cada documento</t>
        </is>
      </c>
      <c r="C6" s="4" t="inlineStr">
        <is>
          <t>Preencha Existência, Atualização, Última atualização e No padrão?.</t>
        </is>
      </c>
    </row>
    <row r="7" ht="28.35" customHeight="1" s="41">
      <c r="A7" s="4" t="inlineStr">
        <is>
          <t>5</t>
        </is>
      </c>
      <c r="B7" s="4" t="inlineStr">
        <is>
          <t>Observe a volumetria</t>
        </is>
      </c>
      <c r="C7" s="4" t="inlineStr">
        <is>
          <t>Use Quantidade para registrar a dimensão do processo/documentação. Essa informação ficará disponível para o score de cobertura/criticidade em uma etapa posterior.</t>
        </is>
      </c>
    </row>
    <row r="8" ht="15" customHeight="1" s="41">
      <c r="A8" s="4" t="inlineStr">
        <is>
          <t>6</t>
        </is>
      </c>
      <c r="B8" s="4" t="inlineStr">
        <is>
          <t>Consulte o resumo</t>
        </is>
      </c>
      <c r="C8" s="4" t="inlineStr">
        <is>
          <t>A aba Resumo consolida os principais indicadores e o score documental.</t>
        </is>
      </c>
    </row>
    <row r="10" ht="15" customHeight="1" s="41">
      <c r="A10" s="34" t="inlineStr">
        <is>
          <t>Estrutura recomendada</t>
        </is>
      </c>
    </row>
    <row r="11" ht="55.15" customHeight="1" s="41">
      <c r="A11" s="35" t="inlineStr">
        <is>
          <t>1 Processo → 1 ou N Documentações → 1 avaliação por documentação</t>
        </is>
      </c>
    </row>
    <row r="13" ht="15" customHeight="1" s="41">
      <c r="A13" s="36" t="inlineStr">
        <is>
          <t>Novos módulos</t>
        </is>
      </c>
    </row>
    <row r="14" ht="28.35" customHeight="1" s="41">
      <c r="A14" s="37" t="inlineStr">
        <is>
          <t>7</t>
        </is>
      </c>
      <c r="B14" s="37" t="inlineStr">
        <is>
          <t>Preencha Indicadores</t>
        </is>
      </c>
      <c r="C14" s="38" t="inlineStr">
        <is>
          <t>Aba "Indicadores": para cada indicador do processo, informe se existe, como é atualizado (Automático/Manual/Não atualizado) e se está no padrão.</t>
        </is>
      </c>
    </row>
    <row r="15" ht="28.35" customHeight="1" s="41">
      <c r="A15" s="37" t="inlineStr">
        <is>
          <t>8</t>
        </is>
      </c>
      <c r="B15" s="37" t="inlineStr">
        <is>
          <t>Preencha Treinamento</t>
        </is>
      </c>
      <c r="C15" s="38" t="inlineStr">
        <is>
          <t>Aba "Treinamento": para cada treinamento, informe se está coerente aos documentos, se foi aplicado e se houve atualização.</t>
        </is>
      </c>
    </row>
    <row r="16" ht="28.35" customHeight="1" s="41">
      <c r="A16" s="37" t="inlineStr">
        <is>
          <t>9</t>
        </is>
      </c>
      <c r="B16" s="37" t="inlineStr">
        <is>
          <t>Preencha Qualidade</t>
        </is>
      </c>
      <c r="C16" s="38" t="inlineStr">
        <is>
          <t>Aba "Qualidade": para cada processo, informe se há monitoria de qualidade e como ela é feita (Integral/Amostral/Não realizada).</t>
        </is>
      </c>
    </row>
    <row r="17" ht="28.35" customHeight="1" s="41">
      <c r="A17" s="37" t="inlineStr">
        <is>
          <t>10</t>
        </is>
      </c>
      <c r="B17" s="37" t="inlineStr">
        <is>
          <t>Consulte o Score Geral</t>
        </is>
      </c>
      <c r="C17" s="38" t="inlineStr">
        <is>
          <t>A aba Resumo agora consolida o Score Documentação, Indicadores, Treinamento e Qualidade em um "Score Geral de Maturidade" (média dos 4 pilares).</t>
        </is>
      </c>
    </row>
    <row r="19" ht="15" customHeight="1" s="41">
      <c r="A19" s="39" t="inlineStr">
        <is>
          <t>Compatibilidade Google Sheets</t>
        </is>
      </c>
    </row>
    <row r="20" ht="45" customHeight="1" s="41">
      <c r="A20" s="45" t="inlineStr">
        <is>
          <t>As fórmulas dos módulos Indicadores, Treinamento e Qualidade usam apenas funções padrão (IF, IFERROR, COUNTIF, COUNTA, AVERAGE, AVERAGEIF, ROUND, SUM) — totalmente compatíveis ao importar/recriar este arquivo no Google Sheets, sem necessidade de ajuste de sintaxe.</t>
        </is>
      </c>
    </row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2">
    <mergeCell ref="A20:F20"/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2026-08-13T11:49:46Z</dcterms:created>
  <dcterms:modified xmlns:dcterms="http://purl.org/dc/terms/" xmlns:xsi="http://www.w3.org/2001/XMLSchema-instance" xsi:type="dcterms:W3CDTF">2026-09-23T11:38:30Z</dcterms:modified>
  <cp:lastModifiedBy>Lucas Santos</cp:lastModifiedBy>
  <cp:revision>0</cp:revision>
</cp:coreProperties>
</file>